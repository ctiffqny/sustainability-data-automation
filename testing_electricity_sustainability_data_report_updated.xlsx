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40" yWindow="680" windowWidth="29400" windowHeight="15700" tabRatio="600" firstSheet="31" autoFilterDateGrouping="1"/>
  </bookViews>
  <sheets>
    <sheet xmlns:r="http://schemas.openxmlformats.org/officeDocument/2006/relationships" name="Monthly Electricity (Overview)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2">
    <numFmt numFmtId="164" formatCode="0.0"/>
    <numFmt numFmtId="165" formatCode="[$-409]mmm\-yy;@"/>
    <numFmt numFmtId="166" formatCode="#,##0.0"/>
    <numFmt numFmtId="167" formatCode="0.0%"/>
    <numFmt numFmtId="168" formatCode="#,##0.000"/>
    <numFmt numFmtId="169" formatCode="0.000"/>
    <numFmt numFmtId="170" formatCode="#,##0.0000"/>
    <numFmt numFmtId="171" formatCode="dd/mm/yyyy;@"/>
    <numFmt numFmtId="172" formatCode="_(* #,##0_);_(* \(#,##0\);_(* &quot;-&quot;??_);_(@_)"/>
    <numFmt numFmtId="173" formatCode="yyyy\-mm\-dd"/>
    <numFmt numFmtId="174" formatCode="0.0000"/>
    <numFmt numFmtId="175" formatCode="_-* #,##0_-;\-* #,##0_-;_-* &quot;-&quot;??_-;_-@_-"/>
  </numFmts>
  <fonts count="51">
    <font>
      <name val="Calibri"/>
      <charset val="136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charset val="136"/>
      <family val="2"/>
      <color theme="1"/>
      <sz val="11"/>
      <scheme val="minor"/>
    </font>
    <font>
      <name val="Calibri"/>
      <charset val="136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sz val="12"/>
    </font>
    <font>
      <name val="Arial"/>
      <family val="2"/>
      <color rgb="FFFF0000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Calibri"/>
      <charset val="136"/>
      <family val="2"/>
      <sz val="8"/>
      <scheme val="minor"/>
    </font>
    <font>
      <name val="Calibri"/>
      <family val="2"/>
      <color rgb="FFFF0000"/>
      <sz val="12"/>
      <scheme val="minor"/>
    </font>
    <font>
      <name val="Arial"/>
      <family val="2"/>
      <b val="1"/>
      <color theme="1"/>
      <sz val="11"/>
    </font>
    <font>
      <name val="Calibri"/>
      <charset val="136"/>
      <family val="1"/>
      <color theme="1"/>
      <sz val="11"/>
      <scheme val="minor"/>
    </font>
    <font>
      <name val="Arial"/>
      <family val="2"/>
      <color theme="1"/>
      <sz val="11"/>
    </font>
    <font>
      <name val="Calibri"/>
      <charset val="136"/>
      <family val="2"/>
      <color theme="10"/>
      <sz val="11"/>
      <u val="single"/>
      <scheme val="minor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theme="10"/>
      <sz val="12"/>
      <u val="single"/>
    </font>
    <font>
      <name val="Calibri"/>
      <family val="2"/>
      <b val="1"/>
      <color theme="3"/>
      <sz val="13"/>
      <scheme val="minor"/>
    </font>
    <font>
      <name val="Arial"/>
      <family val="2"/>
      <b val="1"/>
      <color theme="1"/>
      <sz val="12"/>
      <u val="single"/>
    </font>
    <font>
      <name val="Times New Roman"/>
      <family val="1"/>
      <sz val="8.5"/>
    </font>
    <font>
      <name val="Arial"/>
      <family val="2"/>
      <b val="1"/>
      <color theme="1"/>
      <sz val="14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Arial"/>
      <family val="2"/>
      <color rgb="FF231F20"/>
      <sz val="12"/>
    </font>
    <font>
      <name val="Arial"/>
      <family val="2"/>
      <b val="1"/>
      <color theme="0"/>
      <sz val="12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Helvetica Neue"/>
      <family val="2"/>
      <color theme="1"/>
      <sz val="12"/>
    </font>
    <font>
      <name val="Helvetica Neue"/>
      <family val="2"/>
      <color rgb="FF666666"/>
      <sz val="12"/>
    </font>
    <font>
      <name val="Helvetica Neue"/>
      <family val="2"/>
      <b val="1"/>
      <color rgb="FF666666"/>
      <sz val="12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</font>
    <font>
      <name val="Arial"/>
      <family val="2"/>
      <b val="1"/>
      <color theme="1"/>
      <sz val="15"/>
    </font>
    <font>
      <name val="Arial"/>
      <family val="2"/>
      <color theme="1"/>
      <sz val="15"/>
    </font>
    <font>
      <name val="Arial"/>
      <family val="2"/>
      <sz val="15"/>
    </font>
    <font>
      <name val="Calibri"/>
      <family val="2"/>
      <color rgb="FF212121"/>
      <sz val="12"/>
    </font>
    <font>
      <name val="PMingLiU"/>
      <charset val="136"/>
      <family val="1"/>
      <color rgb="FF212121"/>
      <sz val="12"/>
    </font>
    <font>
      <name val="Calibri"/>
      <family val="2"/>
      <b val="1"/>
      <color rgb="FF000000"/>
      <sz val="20"/>
    </font>
    <font>
      <name val="Calibri"/>
      <family val="2"/>
      <color rgb="FFFF0000"/>
      <sz val="20"/>
    </font>
    <font>
      <name val="Calibri"/>
      <family val="2"/>
      <b val="1"/>
      <sz val="11"/>
    </font>
    <font>
      <name val="Calibri"/>
      <family val="2"/>
      <b val="1"/>
      <color rgb="FF212121"/>
      <sz val="12"/>
    </font>
    <font>
      <name val="Calibri"/>
      <family val="2"/>
      <color rgb="FF9C0006"/>
      <sz val="12"/>
      <scheme val="minor"/>
    </font>
    <font>
      <name val="Calibri"/>
      <family val="2"/>
      <color rgb="FF9C0006"/>
      <sz val="30"/>
      <scheme val="minor"/>
    </font>
    <font>
      <name val="Tahoma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B8E68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7CE"/>
      </patternFill>
    </fill>
    <fill>
      <patternFill patternType="solid">
        <fgColor rgb="FF956D9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00FFFF00"/>
        <bgColor rgb="00FFFF00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30549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2" fillId="0" borderId="0"/>
    <xf numFmtId="43" fontId="2" fillId="0" borderId="0"/>
    <xf numFmtId="9" fontId="2" fillId="0" borderId="0"/>
    <xf numFmtId="0" fontId="2" fillId="0" borderId="0" applyAlignment="1">
      <alignment vertical="center"/>
    </xf>
    <xf numFmtId="0" fontId="12" fillId="0" borderId="0" applyAlignment="1">
      <alignment vertical="center"/>
    </xf>
    <xf numFmtId="0" fontId="14" fillId="0" borderId="0"/>
    <xf numFmtId="0" fontId="29" fillId="0" borderId="0"/>
    <xf numFmtId="0" fontId="45" fillId="32" borderId="0"/>
  </cellStyleXfs>
  <cellXfs count="699">
    <xf numFmtId="0" fontId="0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right" vertical="center" wrapText="1"/>
    </xf>
    <xf numFmtId="164" fontId="4" fillId="0" borderId="0" applyAlignment="1" pivotButton="0" quotePrefix="0" xfId="0">
      <alignment vertical="center" wrapText="1"/>
    </xf>
    <xf numFmtId="165" fontId="5" fillId="2" borderId="1" applyAlignment="1" pivotButton="0" quotePrefix="0" xfId="0">
      <alignment horizontal="right" vertical="center"/>
    </xf>
    <xf numFmtId="164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5" fillId="2" borderId="5" applyAlignment="1" pivotButton="0" quotePrefix="0" xfId="0">
      <alignment horizontal="right" vertical="center" wrapText="1"/>
    </xf>
    <xf numFmtId="165" fontId="5" fillId="2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166" fontId="4" fillId="0" borderId="0" pivotButton="0" quotePrefix="0" xfId="0"/>
    <xf numFmtId="0" fontId="8" fillId="5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5" borderId="1" applyAlignment="1" pivotButton="0" quotePrefix="0" xfId="0">
      <alignment vertical="center"/>
    </xf>
    <xf numFmtId="0" fontId="11" fillId="5" borderId="3" applyAlignment="1" pivotButton="0" quotePrefix="0" xfId="0">
      <alignment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5" borderId="1" applyAlignment="1" pivotButton="0" quotePrefix="0" xfId="0">
      <alignment vertical="center" wrapText="1"/>
    </xf>
    <xf numFmtId="0" fontId="11" fillId="5" borderId="3" applyAlignment="1" pivotButton="0" quotePrefix="0" xfId="0">
      <alignment vertical="center" wrapText="1"/>
    </xf>
    <xf numFmtId="0" fontId="11" fillId="0" borderId="0" applyAlignment="1" applyProtection="1" pivotButton="0" quotePrefix="0" xfId="0">
      <alignment vertical="center" wrapText="1"/>
      <protection locked="0" hidden="0"/>
    </xf>
    <xf numFmtId="17" fontId="11" fillId="5" borderId="1" applyAlignment="1" pivotButton="0" quotePrefix="0" xfId="0">
      <alignment vertical="center"/>
    </xf>
    <xf numFmtId="3" fontId="13" fillId="0" borderId="8" applyAlignment="1" pivotButton="0" quotePrefix="0" xfId="4">
      <alignment vertical="center"/>
    </xf>
    <xf numFmtId="3" fontId="11" fillId="0" borderId="8" applyAlignment="1" pivotButton="0" quotePrefix="0" xfId="4">
      <alignment vertical="center"/>
    </xf>
    <xf numFmtId="0" fontId="13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3" fontId="13" fillId="5" borderId="8" applyAlignment="1" pivotButton="0" quotePrefix="0" xfId="0">
      <alignment vertical="center"/>
    </xf>
    <xf numFmtId="0" fontId="13" fillId="0" borderId="0" applyAlignment="1" applyProtection="1" pivotButton="0" quotePrefix="0" xfId="0">
      <alignment vertical="center"/>
      <protection locked="0" hidden="0"/>
    </xf>
    <xf numFmtId="3" fontId="11" fillId="0" borderId="8" applyAlignment="1" pivotButton="0" quotePrefix="0" xfId="0">
      <alignment vertical="center"/>
    </xf>
    <xf numFmtId="3" fontId="13" fillId="5" borderId="8" applyAlignment="1" pivotButton="0" quotePrefix="0" xfId="4">
      <alignment vertical="center"/>
    </xf>
    <xf numFmtId="0" fontId="13" fillId="5" borderId="8" applyAlignment="1" applyProtection="1" pivotButton="0" quotePrefix="0" xfId="0">
      <alignment vertical="center"/>
      <protection locked="0" hidden="0"/>
    </xf>
    <xf numFmtId="3" fontId="13" fillId="5" borderId="8" applyAlignment="1" applyProtection="1" pivotButton="0" quotePrefix="0" xfId="4">
      <alignment vertical="center"/>
      <protection locked="0" hidden="0"/>
    </xf>
    <xf numFmtId="3" fontId="11" fillId="5" borderId="8" applyAlignment="1" applyProtection="1" pivotButton="0" quotePrefix="0" xfId="4">
      <alignment vertical="center"/>
      <protection locked="0" hidden="0"/>
    </xf>
    <xf numFmtId="3" fontId="11" fillId="5" borderId="8" applyAlignment="1" applyProtection="1" pivotButton="0" quotePrefix="0" xfId="0">
      <alignment vertical="center"/>
      <protection locked="0" hidden="0"/>
    </xf>
    <xf numFmtId="3" fontId="13" fillId="5" borderId="8" applyAlignment="1" applyProtection="1" pivotButton="0" quotePrefix="0" xfId="0">
      <alignment vertical="center"/>
      <protection locked="0" hidden="0"/>
    </xf>
    <xf numFmtId="0" fontId="13" fillId="0" borderId="8" applyAlignment="1" applyProtection="1" pivotButton="0" quotePrefix="0" xfId="0">
      <alignment vertical="center"/>
      <protection locked="0" hidden="0"/>
    </xf>
    <xf numFmtId="3" fontId="13" fillId="0" borderId="8" applyAlignment="1" applyProtection="1" pivotButton="0" quotePrefix="0" xfId="4">
      <alignment vertical="center"/>
      <protection locked="0" hidden="0"/>
    </xf>
    <xf numFmtId="3" fontId="11" fillId="0" borderId="8" applyAlignment="1" applyProtection="1" pivotButton="0" quotePrefix="0" xfId="4">
      <alignment vertical="center"/>
      <protection locked="0" hidden="0"/>
    </xf>
    <xf numFmtId="3" fontId="11" fillId="0" borderId="8" applyAlignment="1" applyProtection="1" pivotButton="0" quotePrefix="0" xfId="0">
      <alignment vertical="center"/>
      <protection locked="0" hidden="0"/>
    </xf>
    <xf numFmtId="17" fontId="11" fillId="5" borderId="1" applyAlignment="1" applyProtection="1" pivotButton="0" quotePrefix="0" xfId="0">
      <alignment vertical="center"/>
      <protection locked="0" hidden="0"/>
    </xf>
    <xf numFmtId="3" fontId="13" fillId="0" borderId="8" applyAlignment="1" applyProtection="1" pivotButton="0" quotePrefix="0" xfId="0">
      <alignment vertical="center"/>
      <protection locked="0" hidden="0"/>
    </xf>
    <xf numFmtId="0" fontId="11" fillId="0" borderId="8" applyAlignment="1" applyProtection="1" pivotButton="0" quotePrefix="0" xfId="0">
      <alignment vertical="center"/>
      <protection locked="0" hidden="0"/>
    </xf>
    <xf numFmtId="3" fontId="13" fillId="0" borderId="0" applyAlignment="1" applyProtection="1" pivotButton="0" quotePrefix="0" xfId="0">
      <alignment vertical="center"/>
      <protection locked="0" hidden="0"/>
    </xf>
    <xf numFmtId="0" fontId="13" fillId="0" borderId="8" applyAlignment="1" applyProtection="1" pivotButton="0" quotePrefix="0" xfId="0">
      <alignment horizontal="right" vertical="center"/>
      <protection locked="0" hidden="0"/>
    </xf>
    <xf numFmtId="1" fontId="13" fillId="0" borderId="8" applyAlignment="1" applyProtection="1" pivotButton="0" quotePrefix="0" xfId="0">
      <alignment vertical="center"/>
      <protection locked="0" hidden="0"/>
    </xf>
    <xf numFmtId="1" fontId="11" fillId="0" borderId="8" applyAlignment="1" applyProtection="1" pivotButton="0" quotePrefix="0" xfId="0">
      <alignment vertical="center"/>
      <protection locked="0" hidden="0"/>
    </xf>
    <xf numFmtId="0" fontId="13" fillId="5" borderId="1" applyAlignment="1" applyProtection="1" pivotButton="0" quotePrefix="0" xfId="0">
      <alignment vertical="center"/>
      <protection locked="0" hidden="0"/>
    </xf>
    <xf numFmtId="0" fontId="8" fillId="5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3" fontId="4" fillId="0" borderId="0" applyAlignment="1" pivotButton="0" quotePrefix="0" xfId="0">
      <alignment vertical="center" wrapText="1"/>
    </xf>
    <xf numFmtId="167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vertical="center"/>
    </xf>
    <xf numFmtId="4" fontId="4" fillId="0" borderId="0" applyAlignment="1" pivotButton="0" quotePrefix="0" xfId="0">
      <alignment vertical="center"/>
    </xf>
    <xf numFmtId="4" fontId="4" fillId="4" borderId="0" applyAlignment="1" pivotButton="0" quotePrefix="0" xfId="0">
      <alignment vertical="center"/>
    </xf>
    <xf numFmtId="165" fontId="8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168" fontId="8" fillId="2" borderId="0" applyAlignment="1" pivotButton="0" quotePrefix="0" xfId="0">
      <alignment horizontal="center" vertical="center" wrapText="1"/>
    </xf>
    <xf numFmtId="4" fontId="8" fillId="2" borderId="0" applyAlignment="1" pivotButton="0" quotePrefix="0" xfId="0">
      <alignment horizontal="center" vertical="center" wrapText="1"/>
    </xf>
    <xf numFmtId="165" fontId="8" fillId="2" borderId="0" applyAlignment="1" pivotButton="0" quotePrefix="0" xfId="3">
      <alignment horizontal="left" vertical="center" wrapText="1"/>
    </xf>
    <xf numFmtId="165" fontId="8" fillId="2" borderId="0" applyAlignment="1" pivotButton="0" quotePrefix="0" xfId="0">
      <alignment horizontal="left" vertical="center"/>
    </xf>
    <xf numFmtId="3" fontId="4" fillId="6" borderId="0" pivotButton="0" quotePrefix="0" xfId="0"/>
    <xf numFmtId="4" fontId="4" fillId="6" borderId="0" applyAlignment="1" pivotButton="0" quotePrefix="0" xfId="0">
      <alignment horizontal="right" vertical="center" wrapText="1"/>
    </xf>
    <xf numFmtId="4" fontId="4" fillId="6" borderId="0" pivotButton="0" quotePrefix="0" xfId="0"/>
    <xf numFmtId="0" fontId="4" fillId="6" borderId="0" applyAlignment="1" pivotButton="0" quotePrefix="0" xfId="0">
      <alignment vertical="center"/>
    </xf>
    <xf numFmtId="4" fontId="4" fillId="6" borderId="0" applyAlignment="1" pivotButton="0" quotePrefix="0" xfId="0">
      <alignment vertical="center"/>
    </xf>
    <xf numFmtId="3" fontId="4" fillId="6" borderId="0" applyAlignment="1" pivotButton="0" quotePrefix="0" xfId="0">
      <alignment vertical="center"/>
    </xf>
    <xf numFmtId="166" fontId="4" fillId="6" borderId="0" applyAlignment="1" pivotButton="0" quotePrefix="0" xfId="0">
      <alignment vertical="center"/>
    </xf>
    <xf numFmtId="3" fontId="4" fillId="6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3" fontId="15" fillId="0" borderId="9" applyAlignment="1" pivotButton="0" quotePrefix="0" xfId="0">
      <alignment vertical="center"/>
    </xf>
    <xf numFmtId="3" fontId="15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16" fillId="0" borderId="0" applyAlignment="1" pivotButton="0" quotePrefix="0" xfId="0">
      <alignment vertical="center"/>
    </xf>
    <xf numFmtId="0" fontId="17" fillId="0" borderId="0" applyAlignment="1" pivotButton="0" quotePrefix="0" xfId="5">
      <alignment vertical="center"/>
    </xf>
    <xf numFmtId="0" fontId="16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vertical="center"/>
    </xf>
    <xf numFmtId="165" fontId="16" fillId="2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vertical="center"/>
    </xf>
    <xf numFmtId="165" fontId="8" fillId="2" borderId="5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 wrapText="1"/>
    </xf>
    <xf numFmtId="169" fontId="16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70" fontId="4" fillId="0" borderId="0" applyAlignment="1" pivotButton="0" quotePrefix="0" xfId="0">
      <alignment vertical="center"/>
    </xf>
    <xf numFmtId="4" fontId="15" fillId="0" borderId="0" applyAlignment="1" pivotButton="0" quotePrefix="0" xfId="0">
      <alignment vertical="center"/>
    </xf>
    <xf numFmtId="3" fontId="15" fillId="7" borderId="9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7" fontId="8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1" applyAlignment="1" pivotButton="0" quotePrefix="0" xfId="0">
      <alignment vertical="center"/>
    </xf>
    <xf numFmtId="9" fontId="4" fillId="0" borderId="0" applyAlignment="1" pivotButton="0" quotePrefix="0" xfId="2">
      <alignment vertical="center"/>
    </xf>
    <xf numFmtId="0" fontId="4" fillId="0" borderId="4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169" fontId="4" fillId="4" borderId="1" applyAlignment="1" pivotButton="0" quotePrefix="0" xfId="0">
      <alignment vertical="center"/>
    </xf>
    <xf numFmtId="0" fontId="4" fillId="4" borderId="8" applyAlignment="1" pivotButton="0" quotePrefix="0" xfId="0">
      <alignment vertical="center"/>
    </xf>
    <xf numFmtId="0" fontId="4" fillId="10" borderId="0" applyAlignment="1" pivotButton="0" quotePrefix="0" xfId="0">
      <alignment horizontal="center" vertical="center" wrapText="1"/>
    </xf>
    <xf numFmtId="4" fontId="4" fillId="0" borderId="13" applyAlignment="1" pivotButton="0" quotePrefix="0" xfId="0">
      <alignment vertical="center"/>
    </xf>
    <xf numFmtId="0" fontId="8" fillId="9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right"/>
    </xf>
    <xf numFmtId="0" fontId="15" fillId="0" borderId="0" applyAlignment="1" pivotButton="0" quotePrefix="0" xfId="0">
      <alignment horizontal="center" vertical="center" wrapText="1"/>
    </xf>
    <xf numFmtId="168" fontId="15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right" vertical="center" wrapText="1"/>
    </xf>
    <xf numFmtId="166" fontId="7" fillId="0" borderId="0" applyAlignment="1" pivotButton="0" quotePrefix="0" xfId="0">
      <alignment horizontal="right" vertical="center" wrapText="1"/>
    </xf>
    <xf numFmtId="166" fontId="15" fillId="0" borderId="0" applyAlignment="1" pivotButton="0" quotePrefix="0" xfId="0">
      <alignment horizontal="right" vertical="center"/>
    </xf>
    <xf numFmtId="166" fontId="15" fillId="0" borderId="0" applyAlignment="1" pivotButton="0" quotePrefix="0" xfId="0">
      <alignment vertical="center"/>
    </xf>
    <xf numFmtId="10" fontId="16" fillId="0" borderId="0" applyAlignment="1" pivotButton="0" quotePrefix="0" xfId="0">
      <alignment vertical="center"/>
    </xf>
    <xf numFmtId="3" fontId="13" fillId="0" borderId="0" applyAlignment="1" pivotButton="0" quotePrefix="0" xfId="0">
      <alignment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 wrapText="1"/>
    </xf>
    <xf numFmtId="0" fontId="8" fillId="2" borderId="0" applyAlignment="1" pivotButton="0" quotePrefix="0" xfId="0">
      <alignment horizontal="right"/>
    </xf>
    <xf numFmtId="0" fontId="4" fillId="9" borderId="0" pivotButton="0" quotePrefix="0" xfId="0"/>
    <xf numFmtId="17" fontId="13" fillId="0" borderId="0" applyAlignment="1" pivotButton="0" quotePrefix="0" xfId="0">
      <alignment vertical="center"/>
    </xf>
    <xf numFmtId="17" fontId="4" fillId="0" borderId="0" pivotButton="0" quotePrefix="0" xfId="0"/>
    <xf numFmtId="17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vertical="center"/>
    </xf>
    <xf numFmtId="0" fontId="16" fillId="9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166" fontId="4" fillId="9" borderId="0" applyAlignment="1" pivotButton="0" quotePrefix="0" xfId="0">
      <alignment vertical="center"/>
    </xf>
    <xf numFmtId="4" fontId="4" fillId="9" borderId="0" applyAlignment="1" pivotButton="0" quotePrefix="0" xfId="0">
      <alignment vertical="center"/>
    </xf>
    <xf numFmtId="10" fontId="4" fillId="9" borderId="0" applyAlignment="1" pivotButton="0" quotePrefix="0" xfId="0">
      <alignment vertical="center"/>
    </xf>
    <xf numFmtId="0" fontId="16" fillId="9" borderId="0" applyAlignment="1" pivotButton="0" quotePrefix="0" xfId="0">
      <alignment vertical="center" wrapText="1"/>
    </xf>
    <xf numFmtId="3" fontId="4" fillId="9" borderId="0" applyAlignment="1" pivotButton="0" quotePrefix="0" xfId="0">
      <alignment vertical="center"/>
    </xf>
    <xf numFmtId="4" fontId="4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10" fontId="4" fillId="0" borderId="0" pivotButton="0" quotePrefix="0" xfId="0"/>
    <xf numFmtId="170" fontId="4" fillId="0" borderId="0" pivotButton="0" quotePrefix="0" xfId="0"/>
    <xf numFmtId="168" fontId="4" fillId="0" borderId="0" pivotButton="0" quotePrefix="0" xfId="0"/>
    <xf numFmtId="17" fontId="8" fillId="2" borderId="0" pivotButton="0" quotePrefix="0" xfId="0"/>
    <xf numFmtId="0" fontId="4" fillId="9" borderId="0" applyAlignment="1" pivotButton="0" quotePrefix="0" xfId="0">
      <alignment horizontal="center" vertical="center"/>
    </xf>
    <xf numFmtId="3" fontId="4" fillId="9" borderId="0" pivotButton="0" quotePrefix="0" xfId="0"/>
    <xf numFmtId="171" fontId="8" fillId="2" borderId="0" pivotButton="0" quotePrefix="0" xfId="0"/>
    <xf numFmtId="0" fontId="6" fillId="20" borderId="1" applyAlignment="1" pivotButton="0" quotePrefix="0" xfId="0">
      <alignment horizontal="right" vertical="center" wrapText="1"/>
    </xf>
    <xf numFmtId="0" fontId="7" fillId="21" borderId="1" applyAlignment="1" pivotButton="0" quotePrefix="0" xfId="0">
      <alignment horizontal="right" vertical="center" wrapText="1"/>
    </xf>
    <xf numFmtId="3" fontId="26" fillId="0" borderId="21" applyAlignment="1" pivotButton="0" quotePrefix="0" xfId="0">
      <alignment horizontal="center" vertical="top" shrinkToFit="1"/>
    </xf>
    <xf numFmtId="9" fontId="4" fillId="0" borderId="0" pivotButton="0" quotePrefix="0" xfId="2"/>
    <xf numFmtId="10" fontId="4" fillId="0" borderId="0" pivotButton="0" quotePrefix="0" xfId="2"/>
    <xf numFmtId="3" fontId="8" fillId="0" borderId="0" applyAlignment="1" pivotButton="0" quotePrefix="0" xfId="0">
      <alignment vertical="center"/>
    </xf>
    <xf numFmtId="3" fontId="16" fillId="0" borderId="9" applyAlignment="1" pivotButton="0" quotePrefix="0" xfId="0">
      <alignment vertical="center"/>
    </xf>
    <xf numFmtId="3" fontId="16" fillId="0" borderId="0" applyAlignment="1" pivotButton="0" quotePrefix="0" xfId="0">
      <alignment vertical="center" wrapText="1"/>
    </xf>
    <xf numFmtId="0" fontId="17" fillId="0" borderId="0" pivotButton="0" quotePrefix="0" xfId="5"/>
    <xf numFmtId="0" fontId="8" fillId="14" borderId="1" applyAlignment="1" pivotButton="0" quotePrefix="0" xfId="3">
      <alignment horizontal="center" vertical="center" wrapText="1"/>
    </xf>
    <xf numFmtId="0" fontId="8" fillId="14" borderId="15" applyAlignment="1" pivotButton="0" quotePrefix="0" xfId="3">
      <alignment horizontal="center" vertical="center" wrapText="1"/>
    </xf>
    <xf numFmtId="0" fontId="5" fillId="14" borderId="15" applyAlignment="1" pivotButton="0" quotePrefix="0" xfId="3">
      <alignment horizontal="center" vertical="center" wrapText="1"/>
    </xf>
    <xf numFmtId="0" fontId="8" fillId="8" borderId="15" applyAlignment="1" pivotButton="0" quotePrefix="0" xfId="3">
      <alignment horizontal="center" vertical="center" wrapText="1"/>
    </xf>
    <xf numFmtId="0" fontId="5" fillId="8" borderId="15" applyAlignment="1" pivotButton="0" quotePrefix="0" xfId="3">
      <alignment horizontal="center" vertical="center" wrapText="1"/>
    </xf>
    <xf numFmtId="0" fontId="8" fillId="15" borderId="15" applyAlignment="1" pivotButton="0" quotePrefix="0" xfId="3">
      <alignment horizontal="center" vertical="center" wrapText="1"/>
    </xf>
    <xf numFmtId="0" fontId="8" fillId="16" borderId="15" applyAlignment="1" pivotButton="0" quotePrefix="0" xfId="3">
      <alignment horizontal="center" vertical="center" wrapText="1"/>
    </xf>
    <xf numFmtId="0" fontId="27" fillId="17" borderId="16" applyAlignment="1" pivotButton="0" quotePrefix="0" xfId="3">
      <alignment horizontal="center" vertical="center" wrapText="1"/>
    </xf>
    <xf numFmtId="0" fontId="4" fillId="9" borderId="0" applyAlignment="1" pivotButton="0" quotePrefix="0" xfId="0">
      <alignment vertical="center" wrapText="1"/>
    </xf>
    <xf numFmtId="3" fontId="4" fillId="19" borderId="0" applyAlignment="1" pivotButton="0" quotePrefix="0" xfId="0">
      <alignment vertical="center" wrapText="1"/>
    </xf>
    <xf numFmtId="17" fontId="8" fillId="0" borderId="0" applyAlignment="1" pivotButton="0" quotePrefix="0" xfId="0">
      <alignment vertical="center" wrapText="1"/>
    </xf>
    <xf numFmtId="3" fontId="15" fillId="0" borderId="0" applyAlignment="1" pivotButton="0" quotePrefix="0" xfId="0">
      <alignment vertical="center" shrinkToFit="1"/>
    </xf>
    <xf numFmtId="0" fontId="8" fillId="11" borderId="0" applyAlignment="1" pivotButton="0" quotePrefix="0" xfId="0">
      <alignment horizontal="left" vertical="center" wrapText="1"/>
    </xf>
    <xf numFmtId="167" fontId="4" fillId="0" borderId="0" pivotButton="0" quotePrefix="0" xfId="2"/>
    <xf numFmtId="0" fontId="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right" vertical="center" wrapText="1"/>
    </xf>
    <xf numFmtId="3" fontId="4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 wrapText="1"/>
    </xf>
    <xf numFmtId="166" fontId="7" fillId="9" borderId="0" applyAlignment="1" pivotButton="0" quotePrefix="0" xfId="0">
      <alignment horizontal="right" vertical="center" wrapText="1"/>
    </xf>
    <xf numFmtId="0" fontId="16" fillId="9" borderId="0" applyAlignment="1" pivotButton="0" quotePrefix="0" xfId="0">
      <alignment vertical="center"/>
    </xf>
    <xf numFmtId="17" fontId="4" fillId="2" borderId="0" applyAlignment="1" pivotButton="0" quotePrefix="0" xfId="0">
      <alignment vertical="center"/>
    </xf>
    <xf numFmtId="17" fontId="4" fillId="24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9" borderId="0" applyAlignment="1" pivotButton="0" quotePrefix="0" xfId="0">
      <alignment horizontal="center" vertical="center" wrapText="1"/>
    </xf>
    <xf numFmtId="164" fontId="5" fillId="2" borderId="0" applyAlignment="1" pivotButton="0" quotePrefix="0" xfId="0">
      <alignment horizontal="right" vertical="center" wrapText="1"/>
    </xf>
    <xf numFmtId="166" fontId="5" fillId="2" borderId="0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right" vertical="center" wrapText="1"/>
    </xf>
    <xf numFmtId="0" fontId="8" fillId="5" borderId="0" applyAlignment="1" pivotButton="0" quotePrefix="0" xfId="0">
      <alignment horizontal="center" vertical="center" wrapText="1"/>
    </xf>
    <xf numFmtId="168" fontId="8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vertical="center" wrapText="1"/>
    </xf>
    <xf numFmtId="10" fontId="4" fillId="19" borderId="0" applyAlignment="1" pivotButton="0" quotePrefix="0" xfId="0">
      <alignment vertical="center"/>
    </xf>
    <xf numFmtId="0" fontId="11" fillId="2" borderId="0" pivotButton="0" quotePrefix="0" xfId="0"/>
    <xf numFmtId="0" fontId="11" fillId="0" borderId="0" applyAlignment="1" pivotButton="0" quotePrefix="0" xfId="0">
      <alignment horizontal="center" vertical="center"/>
    </xf>
    <xf numFmtId="9" fontId="4" fillId="0" borderId="0" pivotButton="0" quotePrefix="0" xfId="0"/>
    <xf numFmtId="0" fontId="11" fillId="12" borderId="0" pivotButton="0" quotePrefix="0" xfId="0"/>
    <xf numFmtId="166" fontId="13" fillId="0" borderId="0" pivotButton="0" quotePrefix="0" xfId="0"/>
    <xf numFmtId="166" fontId="13" fillId="0" borderId="0" pivotButton="0" quotePrefix="0" xfId="1"/>
    <xf numFmtId="166" fontId="5" fillId="5" borderId="0" applyAlignment="1" pivotButton="0" quotePrefix="0" xfId="0">
      <alignment horizontal="right" vertical="center" wrapText="1"/>
    </xf>
    <xf numFmtId="167" fontId="4" fillId="0" borderId="0" applyAlignment="1" pivotButton="0" quotePrefix="0" xfId="2">
      <alignment vertical="center"/>
    </xf>
    <xf numFmtId="0" fontId="8" fillId="2" borderId="23" pivotButton="0" quotePrefix="0" xfId="0"/>
    <xf numFmtId="4" fontId="4" fillId="0" borderId="24" pivotButton="0" quotePrefix="0" xfId="0"/>
    <xf numFmtId="4" fontId="4" fillId="0" borderId="24" applyAlignment="1" pivotButton="0" quotePrefix="0" xfId="0">
      <alignment vertical="center"/>
    </xf>
    <xf numFmtId="0" fontId="8" fillId="2" borderId="26" pivotButton="0" quotePrefix="0" xfId="0"/>
    <xf numFmtId="0" fontId="8" fillId="2" borderId="28" pivotButton="0" quotePrefix="0" xfId="0"/>
    <xf numFmtId="4" fontId="4" fillId="0" borderId="29" pivotButton="0" quotePrefix="0" xfId="0"/>
    <xf numFmtId="4" fontId="4" fillId="0" borderId="29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3" fontId="13" fillId="0" borderId="0" pivotButton="0" quotePrefix="0" xfId="0"/>
    <xf numFmtId="3" fontId="13" fillId="8" borderId="0" pivotButton="0" quotePrefix="0" xfId="0"/>
    <xf numFmtId="3" fontId="13" fillId="0" borderId="0" pivotButton="0" quotePrefix="0" xfId="1"/>
    <xf numFmtId="9" fontId="4" fillId="0" borderId="0" applyAlignment="1" pivotButton="0" quotePrefix="0" xfId="0">
      <alignment vertical="center"/>
    </xf>
    <xf numFmtId="0" fontId="8" fillId="25" borderId="0" pivotButton="0" quotePrefix="0" xfId="0"/>
    <xf numFmtId="17" fontId="8" fillId="25" borderId="0" pivotButton="0" quotePrefix="0" xfId="0"/>
    <xf numFmtId="3" fontId="26" fillId="26" borderId="21" applyAlignment="1" pivotButton="0" quotePrefix="0" xfId="0">
      <alignment horizontal="center" vertical="top" shrinkToFit="1"/>
    </xf>
    <xf numFmtId="0" fontId="7" fillId="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3" fontId="26" fillId="0" borderId="0" applyAlignment="1" pivotButton="0" quotePrefix="0" xfId="0">
      <alignment horizontal="center" vertical="top" shrinkToFit="1"/>
    </xf>
    <xf numFmtId="3" fontId="15" fillId="0" borderId="12" applyAlignment="1" pivotButton="0" quotePrefix="0" xfId="0">
      <alignment horizontal="center" vertical="center" wrapText="1" shrinkToFit="1"/>
    </xf>
    <xf numFmtId="1" fontId="15" fillId="0" borderId="12" applyAlignment="1" pivotButton="0" quotePrefix="0" xfId="0">
      <alignment horizontal="center" vertical="center" wrapText="1" shrinkToFit="1"/>
    </xf>
    <xf numFmtId="0" fontId="7" fillId="12" borderId="21" applyAlignment="1" pivotButton="0" quotePrefix="0" xfId="0">
      <alignment horizontal="center" vertical="center" wrapText="1"/>
    </xf>
    <xf numFmtId="1" fontId="15" fillId="0" borderId="12" applyAlignment="1" pivotButton="0" quotePrefix="0" xfId="0">
      <alignment horizontal="center" vertical="center" shrinkToFit="1"/>
    </xf>
    <xf numFmtId="1" fontId="15" fillId="0" borderId="22" applyAlignment="1" pivotButton="0" quotePrefix="0" xfId="0">
      <alignment horizontal="center" vertical="center" wrapText="1" shrinkToFit="1"/>
    </xf>
    <xf numFmtId="1" fontId="15" fillId="0" borderId="32" applyAlignment="1" pivotButton="0" quotePrefix="0" xfId="0">
      <alignment horizontal="center" vertical="center" wrapText="1" shrinkToFit="1"/>
    </xf>
    <xf numFmtId="0" fontId="4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3" fontId="4" fillId="0" borderId="33" applyAlignment="1" pivotButton="0" quotePrefix="0" xfId="0">
      <alignment horizontal="right" vertical="center" wrapText="1"/>
    </xf>
    <xf numFmtId="3" fontId="4" fillId="0" borderId="34" applyAlignment="1" pivotButton="0" quotePrefix="0" xfId="0">
      <alignment horizontal="right" vertical="center" wrapText="1"/>
    </xf>
    <xf numFmtId="4" fontId="8" fillId="5" borderId="52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3" fontId="13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/>
    </xf>
    <xf numFmtId="3" fontId="4" fillId="20" borderId="0" applyAlignment="1" pivotButton="0" quotePrefix="0" xfId="0">
      <alignment vertical="center"/>
    </xf>
    <xf numFmtId="4" fontId="4" fillId="0" borderId="0" applyAlignment="1" pivotButton="0" quotePrefix="0" xfId="0">
      <alignment vertical="center" wrapText="1"/>
    </xf>
    <xf numFmtId="0" fontId="8" fillId="19" borderId="0" applyAlignment="1" pivotButton="0" quotePrefix="0" xfId="0">
      <alignment vertical="center"/>
    </xf>
    <xf numFmtId="4" fontId="4" fillId="19" borderId="0" applyAlignment="1" pivotButton="0" quotePrefix="0" xfId="0">
      <alignment vertical="center"/>
    </xf>
    <xf numFmtId="3" fontId="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4" fontId="13" fillId="0" borderId="0" applyAlignment="1" pivotButton="0" quotePrefix="0" xfId="0">
      <alignment vertical="center" wrapText="1"/>
    </xf>
    <xf numFmtId="10" fontId="13" fillId="0" borderId="0" applyAlignment="1" pivotButton="0" quotePrefix="0" xfId="0">
      <alignment vertical="center" wrapText="1"/>
    </xf>
    <xf numFmtId="0" fontId="8" fillId="13" borderId="14" applyAlignment="1" pivotButton="0" quotePrefix="0" xfId="3">
      <alignment horizontal="center" vertical="center" wrapText="1"/>
    </xf>
    <xf numFmtId="0" fontId="8" fillId="13" borderId="15" applyAlignment="1" pivotButton="0" quotePrefix="0" xfId="3">
      <alignment horizontal="center" vertical="center" wrapText="1"/>
    </xf>
    <xf numFmtId="0" fontId="8" fillId="4" borderId="18" applyAlignment="1" pivotButton="0" quotePrefix="0" xfId="3">
      <alignment horizontal="center" vertical="center" wrapText="1"/>
    </xf>
    <xf numFmtId="17" fontId="4" fillId="18" borderId="5" applyAlignment="1" pivotButton="0" quotePrefix="0" xfId="3">
      <alignment vertical="center" wrapText="1"/>
    </xf>
    <xf numFmtId="3" fontId="4" fillId="18" borderId="5" applyAlignment="1" pivotButton="0" quotePrefix="0" xfId="3">
      <alignment vertical="center" wrapText="1"/>
    </xf>
    <xf numFmtId="3" fontId="4" fillId="18" borderId="19" applyAlignment="1" pivotButton="0" quotePrefix="0" xfId="3">
      <alignment vertical="center" wrapText="1"/>
    </xf>
    <xf numFmtId="3" fontId="4" fillId="18" borderId="20" applyAlignment="1" pivotButton="0" quotePrefix="0" xfId="3">
      <alignment vertical="center" wrapText="1"/>
    </xf>
    <xf numFmtId="3" fontId="4" fillId="18" borderId="1" applyAlignment="1" pivotButton="0" quotePrefix="0" xfId="3">
      <alignment vertical="center" wrapText="1"/>
    </xf>
    <xf numFmtId="3" fontId="4" fillId="18" borderId="10" applyAlignment="1" pivotButton="0" quotePrefix="0" xfId="3">
      <alignment vertical="center" wrapText="1"/>
    </xf>
    <xf numFmtId="3" fontId="4" fillId="18" borderId="2" applyAlignment="1" pivotButton="0" quotePrefix="0" xfId="3">
      <alignment vertical="center" wrapText="1"/>
    </xf>
    <xf numFmtId="3" fontId="7" fillId="18" borderId="5" applyAlignment="1" pivotButton="0" quotePrefix="0" xfId="3">
      <alignment vertical="center" wrapText="1"/>
    </xf>
    <xf numFmtId="17" fontId="4" fillId="18" borderId="1" applyAlignment="1" pivotButton="0" quotePrefix="0" xfId="3">
      <alignment vertical="center" wrapText="1"/>
    </xf>
    <xf numFmtId="3" fontId="7" fillId="18" borderId="1" applyAlignment="1" pivotButton="0" quotePrefix="0" xfId="3">
      <alignment vertical="center" wrapText="1"/>
    </xf>
    <xf numFmtId="17" fontId="4" fillId="11" borderId="1" applyAlignment="1" pivotButton="0" quotePrefix="0" xfId="3">
      <alignment vertical="center" wrapText="1"/>
    </xf>
    <xf numFmtId="3" fontId="4" fillId="11" borderId="1" applyAlignment="1" pivotButton="0" quotePrefix="0" xfId="3">
      <alignment vertical="center" wrapText="1"/>
    </xf>
    <xf numFmtId="3" fontId="7" fillId="11" borderId="1" applyAlignment="1" pivotButton="0" quotePrefix="0" xfId="3">
      <alignment vertical="center" wrapText="1"/>
    </xf>
    <xf numFmtId="3" fontId="4" fillId="11" borderId="10" applyAlignment="1" pivotButton="0" quotePrefix="0" xfId="3">
      <alignment vertical="center" wrapText="1"/>
    </xf>
    <xf numFmtId="3" fontId="4" fillId="11" borderId="2" applyAlignment="1" pivotButton="0" quotePrefix="0" xfId="3">
      <alignment vertical="center" wrapText="1"/>
    </xf>
    <xf numFmtId="17" fontId="4" fillId="19" borderId="1" applyAlignment="1" pivotButton="0" quotePrefix="0" xfId="3">
      <alignment vertical="center" wrapText="1"/>
    </xf>
    <xf numFmtId="3" fontId="4" fillId="19" borderId="1" applyAlignment="1" pivotButton="0" quotePrefix="0" xfId="3">
      <alignment vertical="center" wrapText="1"/>
    </xf>
    <xf numFmtId="3" fontId="7" fillId="19" borderId="1" applyAlignment="1" pivotButton="0" quotePrefix="0" xfId="3">
      <alignment vertical="center" wrapText="1"/>
    </xf>
    <xf numFmtId="3" fontId="4" fillId="19" borderId="10" applyAlignment="1" pivotButton="0" quotePrefix="0" xfId="3">
      <alignment vertical="center" wrapText="1"/>
    </xf>
    <xf numFmtId="3" fontId="4" fillId="19" borderId="2" applyAlignment="1" pivotButton="0" quotePrefix="0" xfId="3">
      <alignment vertical="center" wrapText="1"/>
    </xf>
    <xf numFmtId="17" fontId="4" fillId="20" borderId="1" applyAlignment="1" pivotButton="0" quotePrefix="0" xfId="3">
      <alignment vertical="center" wrapText="1"/>
    </xf>
    <xf numFmtId="3" fontId="4" fillId="20" borderId="1" applyAlignment="1" pivotButton="0" quotePrefix="0" xfId="3">
      <alignment vertical="center" wrapText="1"/>
    </xf>
    <xf numFmtId="3" fontId="7" fillId="20" borderId="1" applyAlignment="1" pivotButton="0" quotePrefix="0" xfId="3">
      <alignment vertical="center" wrapText="1"/>
    </xf>
    <xf numFmtId="3" fontId="4" fillId="20" borderId="10" applyAlignment="1" pivotButton="0" quotePrefix="0" xfId="3">
      <alignment vertical="center" wrapText="1"/>
    </xf>
    <xf numFmtId="3" fontId="4" fillId="20" borderId="2" applyAlignment="1" pivotButton="0" quotePrefix="0" xfId="3">
      <alignment vertical="center" wrapText="1"/>
    </xf>
    <xf numFmtId="3" fontId="6" fillId="20" borderId="1" applyAlignment="1" pivotButton="0" quotePrefix="0" xfId="3">
      <alignment vertical="center" wrapText="1"/>
    </xf>
    <xf numFmtId="17" fontId="4" fillId="21" borderId="1" applyAlignment="1" pivotButton="0" quotePrefix="0" xfId="3">
      <alignment vertical="center" wrapText="1"/>
    </xf>
    <xf numFmtId="3" fontId="4" fillId="21" borderId="1" applyAlignment="1" pivotButton="0" quotePrefix="0" xfId="3">
      <alignment vertical="center" wrapText="1"/>
    </xf>
    <xf numFmtId="3" fontId="7" fillId="21" borderId="1" applyAlignment="1" pivotButton="0" quotePrefix="0" xfId="3">
      <alignment vertical="center" wrapText="1"/>
    </xf>
    <xf numFmtId="3" fontId="4" fillId="21" borderId="10" applyAlignment="1" pivotButton="0" quotePrefix="0" xfId="3">
      <alignment vertical="center" wrapText="1"/>
    </xf>
    <xf numFmtId="3" fontId="4" fillId="21" borderId="2" applyAlignment="1" pivotButton="0" quotePrefix="0" xfId="3">
      <alignment vertical="center" wrapText="1"/>
    </xf>
    <xf numFmtId="17" fontId="7" fillId="21" borderId="1" applyAlignment="1" pivotButton="0" quotePrefix="0" xfId="3">
      <alignment vertical="center" wrapText="1"/>
    </xf>
    <xf numFmtId="3" fontId="7" fillId="21" borderId="10" applyAlignment="1" pivotButton="0" quotePrefix="0" xfId="3">
      <alignment vertical="center" wrapText="1"/>
    </xf>
    <xf numFmtId="3" fontId="7" fillId="21" borderId="2" applyAlignment="1" pivotButton="0" quotePrefix="0" xfId="3">
      <alignment vertical="center" wrapText="1"/>
    </xf>
    <xf numFmtId="3" fontId="7" fillId="19" borderId="2" applyAlignment="1" pivotButton="0" quotePrefix="0" xfId="3">
      <alignment vertical="center" wrapText="1"/>
    </xf>
    <xf numFmtId="3" fontId="7" fillId="11" borderId="2" applyAlignment="1" pivotButton="0" quotePrefix="0" xfId="3">
      <alignment vertical="center" wrapText="1"/>
    </xf>
    <xf numFmtId="17" fontId="4" fillId="22" borderId="1" applyAlignment="1" pivotButton="0" quotePrefix="0" xfId="3">
      <alignment vertical="center" wrapText="1"/>
    </xf>
    <xf numFmtId="3" fontId="7" fillId="22" borderId="1" applyAlignment="1" pivotButton="0" quotePrefix="0" xfId="3">
      <alignment vertical="center" wrapText="1"/>
    </xf>
    <xf numFmtId="3" fontId="4" fillId="22" borderId="10" applyAlignment="1" pivotButton="0" quotePrefix="0" xfId="3">
      <alignment vertical="center" wrapText="1"/>
    </xf>
    <xf numFmtId="3" fontId="7" fillId="22" borderId="2" applyAlignment="1" pivotButton="0" quotePrefix="0" xfId="3">
      <alignment vertical="center" wrapText="1"/>
    </xf>
    <xf numFmtId="3" fontId="7" fillId="20" borderId="2" applyAlignment="1" pivotButton="0" quotePrefix="0" xfId="3">
      <alignment vertical="center" wrapText="1"/>
    </xf>
    <xf numFmtId="17" fontId="4" fillId="23" borderId="1" applyAlignment="1" pivotButton="0" quotePrefix="0" xfId="3">
      <alignment vertical="center" wrapText="1"/>
    </xf>
    <xf numFmtId="3" fontId="7" fillId="23" borderId="1" applyAlignment="1" pivotButton="0" quotePrefix="0" xfId="3">
      <alignment vertical="center" wrapText="1"/>
    </xf>
    <xf numFmtId="3" fontId="4" fillId="23" borderId="10" applyAlignment="1" pivotButton="0" quotePrefix="0" xfId="3">
      <alignment vertical="center" wrapText="1"/>
    </xf>
    <xf numFmtId="3" fontId="7" fillId="23" borderId="2" applyAlignment="1" pivotButton="0" quotePrefix="0" xfId="3">
      <alignment vertical="center" wrapText="1"/>
    </xf>
    <xf numFmtId="0" fontId="7" fillId="18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9" borderId="1" applyAlignment="1" pivotButton="0" quotePrefix="0" xfId="0">
      <alignment vertical="center" wrapText="1"/>
    </xf>
    <xf numFmtId="0" fontId="4" fillId="20" borderId="1" applyAlignment="1" pivotButton="0" quotePrefix="0" xfId="0">
      <alignment vertical="center" wrapText="1"/>
    </xf>
    <xf numFmtId="0" fontId="4" fillId="21" borderId="1" applyAlignment="1" pivotButton="0" quotePrefix="0" xfId="0">
      <alignment vertical="center" wrapText="1"/>
    </xf>
    <xf numFmtId="3" fontId="4" fillId="21" borderId="1" applyAlignment="1" pivotButton="0" quotePrefix="0" xfId="0">
      <alignment vertical="center" wrapText="1"/>
    </xf>
    <xf numFmtId="3" fontId="4" fillId="19" borderId="1" applyAlignment="1" pivotButton="0" quotePrefix="0" xfId="0">
      <alignment vertical="center" wrapText="1"/>
    </xf>
    <xf numFmtId="3" fontId="4" fillId="11" borderId="1" applyAlignment="1" pivotButton="0" quotePrefix="0" xfId="0">
      <alignment vertical="center" wrapText="1"/>
    </xf>
    <xf numFmtId="3" fontId="4" fillId="22" borderId="1" applyAlignment="1" pivotButton="0" quotePrefix="0" xfId="0">
      <alignment vertical="center" wrapText="1"/>
    </xf>
    <xf numFmtId="3" fontId="4" fillId="20" borderId="1" applyAlignment="1" pivotButton="0" quotePrefix="0" xfId="0">
      <alignment vertical="center" wrapText="1"/>
    </xf>
    <xf numFmtId="3" fontId="4" fillId="23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 wrapText="1"/>
    </xf>
    <xf numFmtId="17" fontId="8" fillId="11" borderId="1" pivotButton="0" quotePrefix="0" xfId="0"/>
    <xf numFmtId="3" fontId="4" fillId="0" borderId="19" applyAlignment="1" pivotButton="0" quotePrefix="0" xfId="0">
      <alignment vertical="center" wrapText="1"/>
    </xf>
    <xf numFmtId="3" fontId="4" fillId="0" borderId="19" pivotButton="0" quotePrefix="0" xfId="0"/>
    <xf numFmtId="17" fontId="8" fillId="21" borderId="1" pivotButton="0" quotePrefix="0" xfId="0"/>
    <xf numFmtId="17" fontId="8" fillId="20" borderId="1" pivotButton="0" quotePrefix="0" xfId="0"/>
    <xf numFmtId="17" fontId="8" fillId="19" borderId="5" pivotButton="0" quotePrefix="0" xfId="0"/>
    <xf numFmtId="17" fontId="8" fillId="19" borderId="1" pivotButton="0" quotePrefix="0" xfId="0"/>
    <xf numFmtId="17" fontId="8" fillId="10" borderId="5" pivotButton="0" quotePrefix="0" xfId="0"/>
    <xf numFmtId="17" fontId="8" fillId="10" borderId="1" pivotButton="0" quotePrefix="0" xfId="0"/>
    <xf numFmtId="17" fontId="8" fillId="10" borderId="1" applyAlignment="1" pivotButton="0" quotePrefix="0" xfId="0">
      <alignment vertical="center" wrapText="1"/>
    </xf>
    <xf numFmtId="0" fontId="8" fillId="25" borderId="19" pivotButton="0" quotePrefix="0" xfId="0"/>
    <xf numFmtId="4" fontId="4" fillId="0" borderId="19" pivotButton="0" quotePrefix="0" xfId="0"/>
    <xf numFmtId="0" fontId="4" fillId="0" borderId="19" pivotButton="0" quotePrefix="0" xfId="0"/>
    <xf numFmtId="4" fontId="4" fillId="0" borderId="0" applyAlignment="1" pivotButton="0" quotePrefix="0" xfId="0">
      <alignment horizontal="right" wrapText="1"/>
    </xf>
    <xf numFmtId="3" fontId="4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right" wrapText="1"/>
    </xf>
    <xf numFmtId="0" fontId="4" fillId="25" borderId="0" pivotButton="0" quotePrefix="0" xfId="0"/>
    <xf numFmtId="0" fontId="30" fillId="0" borderId="0" pivotButton="0" quotePrefix="0" xfId="0"/>
    <xf numFmtId="0" fontId="31" fillId="0" borderId="0" pivotButton="0" quotePrefix="0" xfId="0"/>
    <xf numFmtId="3" fontId="31" fillId="0" borderId="0" pivotButton="0" quotePrefix="0" xfId="0"/>
    <xf numFmtId="3" fontId="32" fillId="0" borderId="0" pivotButton="0" quotePrefix="0" xfId="0"/>
    <xf numFmtId="3" fontId="30" fillId="0" borderId="0" pivotButton="0" quotePrefix="0" xfId="0"/>
    <xf numFmtId="10" fontId="0" fillId="0" borderId="0" pivotButton="0" quotePrefix="0" xfId="0"/>
    <xf numFmtId="1" fontId="13" fillId="0" borderId="0" applyAlignment="1" applyProtection="1" pivotButton="0" quotePrefix="0" xfId="0">
      <alignment vertical="center"/>
      <protection locked="0" hidden="0"/>
    </xf>
    <xf numFmtId="4" fontId="4" fillId="0" borderId="1" applyAlignment="1" pivotButton="0" quotePrefix="0" xfId="1">
      <alignment horizontal="right" vertical="center"/>
    </xf>
    <xf numFmtId="4" fontId="4" fillId="3" borderId="1" applyAlignment="1" pivotButton="0" quotePrefix="0" xfId="1">
      <alignment horizontal="right" vertical="center"/>
    </xf>
    <xf numFmtId="4" fontId="4" fillId="0" borderId="1" applyAlignment="1" pivotButton="0" quotePrefix="0" xfId="1">
      <alignment horizontal="right" vertical="center"/>
    </xf>
    <xf numFmtId="4" fontId="4" fillId="3" borderId="4" applyAlignment="1" pivotButton="0" quotePrefix="0" xfId="1">
      <alignment horizontal="right" vertical="center"/>
    </xf>
    <xf numFmtId="4" fontId="4" fillId="3" borderId="2" applyAlignment="1" pivotButton="0" quotePrefix="0" xfId="1">
      <alignment horizontal="right" vertical="center"/>
    </xf>
    <xf numFmtId="4" fontId="4" fillId="3" borderId="3" applyAlignment="1" pivotButton="0" quotePrefix="0" xfId="1">
      <alignment horizontal="right" vertical="center"/>
    </xf>
    <xf numFmtId="4" fontId="4" fillId="0" borderId="5" applyAlignment="1" pivotButton="0" quotePrefix="0" xfId="1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vertical="center"/>
    </xf>
    <xf numFmtId="4" fontId="28" fillId="0" borderId="0" pivotButton="0" quotePrefix="0" xfId="0"/>
    <xf numFmtId="4" fontId="4" fillId="0" borderId="0" applyAlignment="1" pivotButton="0" quotePrefix="0" xfId="3">
      <alignment vertical="center"/>
    </xf>
    <xf numFmtId="166" fontId="5" fillId="2" borderId="1" applyAlignment="1" pivotButton="0" quotePrefix="0" xfId="0">
      <alignment horizontal="center" vertical="center" wrapText="1"/>
    </xf>
    <xf numFmtId="3" fontId="15" fillId="0" borderId="0" pivotButton="0" quotePrefix="0" xfId="0"/>
    <xf numFmtId="10" fontId="4" fillId="0" borderId="0" applyAlignment="1" pivotButton="0" quotePrefix="0" xfId="0">
      <alignment vertical="center" wrapText="1"/>
    </xf>
    <xf numFmtId="17" fontId="4" fillId="0" borderId="0" applyAlignment="1" pivotButton="0" quotePrefix="0" xfId="0">
      <alignment vertical="center" wrapText="1"/>
    </xf>
    <xf numFmtId="16" fontId="4" fillId="0" borderId="0" applyAlignment="1" pivotButton="0" quotePrefix="0" xfId="0">
      <alignment vertical="center" wrapText="1"/>
    </xf>
    <xf numFmtId="3" fontId="4" fillId="0" borderId="0" applyAlignment="1" pivotButton="0" quotePrefix="0" xfId="2">
      <alignment vertical="center"/>
    </xf>
    <xf numFmtId="4" fontId="4" fillId="0" borderId="0" applyAlignment="1" pivotButton="0" quotePrefix="0" xfId="0">
      <alignment horizontal="right" vertical="center" wrapText="1"/>
    </xf>
    <xf numFmtId="172" fontId="4" fillId="0" borderId="0" applyAlignment="1" pivotButton="0" quotePrefix="0" xfId="1">
      <alignment vertical="center"/>
    </xf>
    <xf numFmtId="0" fontId="4" fillId="10" borderId="55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3" fontId="4" fillId="12" borderId="0" applyAlignment="1" pivotButton="0" quotePrefix="0" xfId="0">
      <alignment vertical="center"/>
    </xf>
    <xf numFmtId="167" fontId="13" fillId="0" borderId="0" applyAlignment="1" pivotButton="0" quotePrefix="0" xfId="2">
      <alignment vertical="center" wrapText="1"/>
    </xf>
    <xf numFmtId="10" fontId="13" fillId="0" borderId="0" applyAlignment="1" pivotButton="0" quotePrefix="0" xfId="2">
      <alignment vertical="center" wrapText="1"/>
    </xf>
    <xf numFmtId="3" fontId="15" fillId="0" borderId="0" applyAlignment="1" pivotButton="0" quotePrefix="0" xfId="0">
      <alignment horizontal="right" vertical="top" wrapText="1" shrinkToFit="1"/>
    </xf>
    <xf numFmtId="3" fontId="4" fillId="0" borderId="0" applyAlignment="1" pivotButton="0" quotePrefix="0" xfId="0">
      <alignment horizontal="right" vertical="center" wrapText="1"/>
    </xf>
    <xf numFmtId="3" fontId="4" fillId="4" borderId="0" applyAlignment="1" pivotButton="0" quotePrefix="0" xfId="0">
      <alignment vertical="center"/>
    </xf>
    <xf numFmtId="0" fontId="8" fillId="5" borderId="0" applyAlignment="1" pivotButton="0" quotePrefix="0" xfId="0">
      <alignment horizontal="right" vertical="center" wrapText="1"/>
    </xf>
    <xf numFmtId="0" fontId="28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8" fillId="28" borderId="0" applyAlignment="1" pivotButton="0" quotePrefix="0" xfId="0">
      <alignment vertical="center" wrapText="1"/>
    </xf>
    <xf numFmtId="0" fontId="8" fillId="28" borderId="0" applyAlignment="1" pivotButton="0" quotePrefix="0" xfId="0">
      <alignment horizontal="center" vertical="center" wrapText="1"/>
    </xf>
    <xf numFmtId="17" fontId="8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8" fillId="5" borderId="8" applyAlignment="1" pivotButton="0" quotePrefix="0" xfId="0">
      <alignment vertical="center"/>
    </xf>
    <xf numFmtId="37" fontId="4" fillId="0" borderId="0" applyAlignment="1" pivotButton="0" quotePrefix="0" xfId="0">
      <alignment vertical="center"/>
    </xf>
    <xf numFmtId="172" fontId="4" fillId="0" borderId="0" applyAlignment="1" pivotButton="0" quotePrefix="0" xfId="1">
      <alignment horizontal="center" vertical="center"/>
    </xf>
    <xf numFmtId="172" fontId="5" fillId="2" borderId="0" applyAlignment="1" pivotButton="0" quotePrefix="0" xfId="1">
      <alignment horizontal="center" vertical="center" wrapText="1"/>
    </xf>
    <xf numFmtId="172" fontId="5" fillId="2" borderId="6" applyAlignment="1" pivotButton="0" quotePrefix="0" xfId="1">
      <alignment horizontal="center" vertical="center" wrapText="1"/>
    </xf>
    <xf numFmtId="172" fontId="5" fillId="2" borderId="7" applyAlignment="1" pivotButton="0" quotePrefix="0" xfId="1">
      <alignment horizontal="right" vertical="center" wrapText="1"/>
    </xf>
    <xf numFmtId="172" fontId="4" fillId="0" borderId="0" applyAlignment="1" pivotButton="0" quotePrefix="0" xfId="1">
      <alignment horizontal="center" vertical="center" wrapText="1"/>
    </xf>
    <xf numFmtId="172" fontId="7" fillId="6" borderId="5" applyAlignment="1" pivotButton="0" quotePrefix="0" xfId="1">
      <alignment horizontal="right" vertical="center" wrapText="1"/>
    </xf>
    <xf numFmtId="172" fontId="6" fillId="6" borderId="5" applyAlignment="1" pivotButton="0" quotePrefix="0" xfId="1">
      <alignment horizontal="right" vertical="center" wrapText="1"/>
    </xf>
    <xf numFmtId="172" fontId="7" fillId="6" borderId="6" applyAlignment="1" pivotButton="0" quotePrefix="0" xfId="1">
      <alignment horizontal="right" vertical="center"/>
    </xf>
    <xf numFmtId="172" fontId="7" fillId="6" borderId="1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 wrapText="1"/>
    </xf>
    <xf numFmtId="172" fontId="5" fillId="6" borderId="5" applyAlignment="1" pivotButton="0" quotePrefix="0" xfId="1">
      <alignment horizontal="right" vertical="center" wrapText="1"/>
    </xf>
    <xf numFmtId="172" fontId="7" fillId="6" borderId="1" applyAlignment="1" pivotButton="0" quotePrefix="0" xfId="1">
      <alignment horizontal="right" vertical="center" wrapText="1"/>
    </xf>
    <xf numFmtId="172" fontId="6" fillId="6" borderId="1" applyAlignment="1" pivotButton="0" quotePrefix="0" xfId="1">
      <alignment horizontal="right" vertical="center" wrapText="1"/>
    </xf>
    <xf numFmtId="172" fontId="4" fillId="6" borderId="1" applyAlignment="1" pivotButton="0" quotePrefix="0" xfId="1">
      <alignment vertical="center" wrapText="1"/>
    </xf>
    <xf numFmtId="172" fontId="6" fillId="0" borderId="1" applyAlignment="1" pivotButton="0" quotePrefix="0" xfId="1">
      <alignment horizontal="right" vertical="center" wrapText="1"/>
    </xf>
    <xf numFmtId="172" fontId="7" fillId="0" borderId="6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/>
    </xf>
    <xf numFmtId="172" fontId="4" fillId="0" borderId="1" applyAlignment="1" pivotButton="0" quotePrefix="0" xfId="1">
      <alignment vertical="center" wrapText="1"/>
    </xf>
    <xf numFmtId="172" fontId="7" fillId="0" borderId="1" applyAlignment="1" pivotButton="0" quotePrefix="0" xfId="1">
      <alignment horizontal="right" vertical="center" wrapText="1"/>
    </xf>
    <xf numFmtId="172" fontId="7" fillId="0" borderId="6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/>
    </xf>
    <xf numFmtId="172" fontId="7" fillId="0" borderId="7" applyAlignment="1" pivotButton="0" quotePrefix="0" xfId="1">
      <alignment horizontal="right" vertical="center"/>
    </xf>
    <xf numFmtId="172" fontId="4" fillId="6" borderId="1" applyAlignment="1" pivotButton="0" quotePrefix="0" xfId="1">
      <alignment vertical="center"/>
    </xf>
    <xf numFmtId="172" fontId="4" fillId="6" borderId="1" applyAlignment="1" pivotButton="0" quotePrefix="0" xfId="1">
      <alignment horizontal="right" vertical="center" wrapText="1"/>
    </xf>
    <xf numFmtId="172" fontId="4" fillId="6" borderId="0" applyAlignment="1" pivotButton="0" quotePrefix="0" xfId="1">
      <alignment vertical="center"/>
    </xf>
    <xf numFmtId="172" fontId="3" fillId="6" borderId="1" applyAlignment="1" pivotButton="0" quotePrefix="0" xfId="1">
      <alignment vertical="center"/>
    </xf>
    <xf numFmtId="172" fontId="4" fillId="0" borderId="1" applyAlignment="1" pivotButton="0" quotePrefix="0" xfId="1">
      <alignment vertical="center"/>
    </xf>
    <xf numFmtId="172" fontId="7" fillId="3" borderId="1" applyAlignment="1" pivotButton="0" quotePrefix="0" xfId="1">
      <alignment horizontal="right" vertical="center" wrapText="1"/>
    </xf>
    <xf numFmtId="172" fontId="4" fillId="0" borderId="0" pivotButton="0" quotePrefix="0" xfId="1"/>
    <xf numFmtId="172" fontId="7" fillId="0" borderId="0" applyAlignment="1" pivotButton="0" quotePrefix="0" xfId="1">
      <alignment horizontal="center" vertical="center" wrapText="1"/>
    </xf>
    <xf numFmtId="172" fontId="7" fillId="0" borderId="0" applyAlignment="1" pivotButton="0" quotePrefix="0" xfId="1">
      <alignment horizontal="right" vertical="center" wrapText="1"/>
    </xf>
    <xf numFmtId="172" fontId="4" fillId="0" borderId="0" applyAlignment="1" pivotButton="0" quotePrefix="0" xfId="1">
      <alignment vertical="center" wrapText="1"/>
    </xf>
    <xf numFmtId="172" fontId="4" fillId="0" borderId="0" applyAlignment="1" pivotButton="0" quotePrefix="0" xfId="1">
      <alignment horizontal="left" vertical="center" wrapText="1"/>
    </xf>
    <xf numFmtId="9" fontId="15" fillId="0" borderId="0" applyAlignment="1" pivotButton="0" quotePrefix="0" xfId="2">
      <alignment vertical="center"/>
    </xf>
    <xf numFmtId="9" fontId="4" fillId="0" borderId="0" applyAlignment="1" pivotButton="0" quotePrefix="0" xfId="2">
      <alignment vertical="center"/>
    </xf>
    <xf numFmtId="172" fontId="15" fillId="0" borderId="0" applyAlignment="1" pivotButton="0" quotePrefix="0" xfId="1">
      <alignment vertical="center" wrapText="1"/>
    </xf>
    <xf numFmtId="9" fontId="15" fillId="0" borderId="0" applyAlignment="1" pivotButton="0" quotePrefix="0" xfId="2">
      <alignment vertical="center" wrapText="1"/>
    </xf>
    <xf numFmtId="40" fontId="36" fillId="5" borderId="38" applyAlignment="1" pivotButton="0" quotePrefix="0" xfId="0">
      <alignment vertical="center"/>
    </xf>
    <xf numFmtId="40" fontId="36" fillId="5" borderId="45" applyAlignment="1" pivotButton="0" quotePrefix="0" xfId="0">
      <alignment vertical="center" wrapText="1"/>
    </xf>
    <xf numFmtId="40" fontId="38" fillId="0" borderId="1" applyAlignment="1" pivotButton="0" quotePrefix="0" xfId="0">
      <alignment vertical="center" wrapText="1"/>
    </xf>
    <xf numFmtId="40" fontId="37" fillId="5" borderId="4" applyAlignment="1" pivotButton="0" quotePrefix="0" xfId="0">
      <alignment vertical="center" wrapText="1"/>
    </xf>
    <xf numFmtId="40" fontId="36" fillId="5" borderId="4" applyAlignment="1" pivotButton="0" quotePrefix="0" xfId="0">
      <alignment vertical="center" wrapText="1"/>
    </xf>
    <xf numFmtId="0" fontId="13" fillId="6" borderId="8" applyAlignment="1" applyProtection="1" pivotButton="0" quotePrefix="0" xfId="0">
      <alignment vertical="center"/>
      <protection locked="0" hidden="0"/>
    </xf>
    <xf numFmtId="0" fontId="0" fillId="29" borderId="1" pivotButton="0" quotePrefix="0" xfId="0"/>
    <xf numFmtId="17" fontId="0" fillId="30" borderId="1" pivotButton="0" quotePrefix="0" xfId="0"/>
    <xf numFmtId="3" fontId="0" fillId="6" borderId="1" pivotButton="0" quotePrefix="0" xfId="0"/>
    <xf numFmtId="3" fontId="0" fillId="6" borderId="1" applyAlignment="1" pivotButton="0" quotePrefix="0" xfId="0">
      <alignment horizontal="center" vertical="center"/>
    </xf>
    <xf numFmtId="0" fontId="39" fillId="0" borderId="0" pivotButton="0" quotePrefix="0" xfId="0"/>
    <xf numFmtId="0" fontId="40" fillId="0" borderId="0" pivotButton="0" quotePrefix="0" xfId="0"/>
    <xf numFmtId="3" fontId="0" fillId="0" borderId="0" pivotButton="0" quotePrefix="0" xfId="0"/>
    <xf numFmtId="0" fontId="41" fillId="4" borderId="57" applyAlignment="1" pivotButton="0" quotePrefix="0" xfId="0">
      <alignment horizontal="center" vertical="center" wrapText="1" readingOrder="1"/>
    </xf>
    <xf numFmtId="3" fontId="42" fillId="4" borderId="58" applyAlignment="1" pivotButton="0" quotePrefix="0" xfId="0">
      <alignment horizontal="center" vertical="center" wrapText="1" readingOrder="1"/>
    </xf>
    <xf numFmtId="3" fontId="42" fillId="4" borderId="31" applyAlignment="1" pivotButton="0" quotePrefix="0" xfId="0">
      <alignment horizontal="center" vertical="center" wrapText="1" readingOrder="1"/>
    </xf>
    <xf numFmtId="167" fontId="0" fillId="0" borderId="0" pivotButton="0" quotePrefix="0" xfId="0"/>
    <xf numFmtId="164" fontId="0" fillId="0" borderId="0" pivotButton="0" quotePrefix="0" xfId="0"/>
    <xf numFmtId="0" fontId="43" fillId="0" borderId="1" applyAlignment="1" pivotButton="0" quotePrefix="0" xfId="0">
      <alignment horizontal="center" vertical="top"/>
    </xf>
    <xf numFmtId="0" fontId="43" fillId="0" borderId="1" applyAlignment="1" pivotButton="0" quotePrefix="0" xfId="0">
      <alignment horizontal="center" vertical="top" wrapText="1"/>
    </xf>
    <xf numFmtId="173" fontId="0" fillId="0" borderId="0" pivotButton="0" quotePrefix="0" xfId="0"/>
    <xf numFmtId="4" fontId="4" fillId="0" borderId="59" applyAlignment="1" pivotButton="0" quotePrefix="0" xfId="0">
      <alignment readingOrder="1"/>
    </xf>
    <xf numFmtId="0" fontId="4" fillId="0" borderId="60" applyAlignment="1" pivotButton="0" quotePrefix="0" xfId="0">
      <alignment readingOrder="1"/>
    </xf>
    <xf numFmtId="0" fontId="4" fillId="0" borderId="61" applyAlignment="1" pivotButton="0" quotePrefix="0" xfId="0">
      <alignment readingOrder="1"/>
    </xf>
    <xf numFmtId="4" fontId="4" fillId="5" borderId="4" applyAlignment="1" pivotButton="0" quotePrefix="0" xfId="0">
      <alignment vertical="center" wrapText="1"/>
    </xf>
    <xf numFmtId="4" fontId="4" fillId="5" borderId="43" applyAlignment="1" pivotButton="0" quotePrefix="0" xfId="0">
      <alignment vertical="center" wrapText="1"/>
    </xf>
    <xf numFmtId="0" fontId="13" fillId="0" borderId="0" pivotButton="0" quotePrefix="0" xfId="0"/>
    <xf numFmtId="40" fontId="37" fillId="0" borderId="35" applyAlignment="1" pivotButton="0" quotePrefix="0" xfId="0">
      <alignment vertical="center"/>
    </xf>
    <xf numFmtId="40" fontId="37" fillId="5" borderId="37" applyAlignment="1" pivotButton="0" quotePrefix="0" xfId="0">
      <alignment horizontal="center" vertical="center" wrapText="1"/>
    </xf>
    <xf numFmtId="40" fontId="37" fillId="5" borderId="37" applyAlignment="1" pivotButton="0" quotePrefix="0" xfId="0">
      <alignment horizontal="center" vertical="center"/>
    </xf>
    <xf numFmtId="0" fontId="36" fillId="0" borderId="1" pivotButton="0" quotePrefix="0" xfId="0"/>
    <xf numFmtId="0" fontId="37" fillId="0" borderId="1" pivotButton="0" quotePrefix="0" xfId="0"/>
    <xf numFmtId="4" fontId="37" fillId="0" borderId="1" pivotButton="0" quotePrefix="0" xfId="0"/>
    <xf numFmtId="4" fontId="8" fillId="5" borderId="47" applyAlignment="1" pivotButton="0" quotePrefix="0" xfId="0">
      <alignment horizontal="center" vertical="center" wrapText="1"/>
    </xf>
    <xf numFmtId="4" fontId="4" fillId="5" borderId="13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vertical="center" wrapText="1"/>
    </xf>
    <xf numFmtId="4" fontId="4" fillId="0" borderId="5" applyAlignment="1" pivotButton="0" quotePrefix="0" xfId="0">
      <alignment vertical="center" wrapText="1"/>
    </xf>
    <xf numFmtId="4" fontId="8" fillId="5" borderId="49" applyAlignment="1" pivotButton="0" quotePrefix="0" xfId="0">
      <alignment vertical="center" wrapText="1"/>
    </xf>
    <xf numFmtId="4" fontId="4" fillId="0" borderId="3" applyAlignment="1" pivotButton="0" quotePrefix="0" xfId="0">
      <alignment vertical="center" wrapText="1"/>
    </xf>
    <xf numFmtId="40" fontId="4" fillId="0" borderId="46" applyAlignment="1" pivotButton="0" quotePrefix="0" xfId="0">
      <alignment horizontal="center" vertical="center" wrapText="1"/>
    </xf>
    <xf numFmtId="3" fontId="6" fillId="4" borderId="5" applyAlignment="1" pivotButton="0" quotePrefix="0" xfId="0">
      <alignment vertical="center" wrapText="1"/>
    </xf>
    <xf numFmtId="4" fontId="4" fillId="0" borderId="35" applyAlignment="1" pivotButton="0" quotePrefix="0" xfId="0">
      <alignment vertical="center"/>
    </xf>
    <xf numFmtId="4" fontId="8" fillId="0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/>
    </xf>
    <xf numFmtId="4" fontId="8" fillId="0" borderId="5" applyAlignment="1" pivotButton="0" quotePrefix="0" xfId="0">
      <alignment vertical="center" wrapText="1"/>
    </xf>
    <xf numFmtId="4" fontId="4" fillId="0" borderId="5" applyAlignment="1" pivotButton="0" quotePrefix="0" xfId="0">
      <alignment vertical="center"/>
    </xf>
    <xf numFmtId="4" fontId="4" fillId="5" borderId="17" applyAlignment="1" pivotButton="0" quotePrefix="0" xfId="0">
      <alignment vertical="center" wrapText="1"/>
    </xf>
    <xf numFmtId="4" fontId="4" fillId="5" borderId="16" applyAlignment="1" pivotButton="0" quotePrefix="0" xfId="0">
      <alignment vertical="center" wrapText="1"/>
    </xf>
    <xf numFmtId="4" fontId="4" fillId="5" borderId="18" applyAlignment="1" pivotButton="0" quotePrefix="0" xfId="0">
      <alignment vertical="center" wrapText="1"/>
    </xf>
    <xf numFmtId="4" fontId="8" fillId="5" borderId="51" applyAlignment="1" pivotButton="0" quotePrefix="0" xfId="0">
      <alignment vertical="center" wrapText="1"/>
    </xf>
    <xf numFmtId="4" fontId="4" fillId="5" borderId="49" applyAlignment="1" pivotButton="0" quotePrefix="0" xfId="0">
      <alignment vertical="center" wrapText="1"/>
    </xf>
    <xf numFmtId="3" fontId="4" fillId="5" borderId="51" applyAlignment="1" pivotButton="0" quotePrefix="0" xfId="0">
      <alignment vertical="center" wrapText="1"/>
    </xf>
    <xf numFmtId="4" fontId="8" fillId="5" borderId="18" applyAlignment="1" pivotButton="0" quotePrefix="0" xfId="0">
      <alignment vertical="center" wrapText="1"/>
    </xf>
    <xf numFmtId="4" fontId="6" fillId="4" borderId="41" applyAlignment="1" pivotButton="0" quotePrefix="0" xfId="0">
      <alignment vertical="center"/>
    </xf>
    <xf numFmtId="4" fontId="6" fillId="4" borderId="3" applyAlignment="1" pivotButton="0" quotePrefix="0" xfId="0">
      <alignment vertical="center"/>
    </xf>
    <xf numFmtId="4" fontId="4" fillId="0" borderId="3" applyAlignment="1" pivotButton="0" quotePrefix="0" xfId="0">
      <alignment vertical="center"/>
    </xf>
    <xf numFmtId="40" fontId="4" fillId="5" borderId="38" applyAlignment="1" pivotButton="0" quotePrefix="0" xfId="0">
      <alignment vertical="center"/>
    </xf>
    <xf numFmtId="40" fontId="4" fillId="5" borderId="48" applyAlignment="1" pivotButton="0" quotePrefix="0" xfId="0">
      <alignment vertical="center"/>
    </xf>
    <xf numFmtId="4" fontId="8" fillId="5" borderId="4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4" fillId="4" borderId="20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17" fontId="8" fillId="20" borderId="1" applyAlignment="1" pivotButton="0" quotePrefix="0" xfId="0">
      <alignment vertical="center" wrapText="1"/>
    </xf>
    <xf numFmtId="169" fontId="4" fillId="0" borderId="0" applyAlignment="1" pivotButton="0" quotePrefix="0" xfId="0">
      <alignment vertical="center" wrapText="1"/>
    </xf>
    <xf numFmtId="0" fontId="0" fillId="0" borderId="1" pivotButton="0" quotePrefix="0" xfId="0"/>
    <xf numFmtId="17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3" fontId="4" fillId="0" borderId="20" applyAlignment="1" pivotButton="0" quotePrefix="0" xfId="0">
      <alignment vertical="center" wrapText="1"/>
    </xf>
    <xf numFmtId="170" fontId="15" fillId="0" borderId="0" applyAlignment="1" pivotButton="0" quotePrefix="0" xfId="0">
      <alignment vertical="center"/>
    </xf>
    <xf numFmtId="170" fontId="4" fillId="0" borderId="60" applyAlignment="1" pivotButton="0" quotePrefix="0" xfId="0">
      <alignment readingOrder="1"/>
    </xf>
    <xf numFmtId="3" fontId="4" fillId="0" borderId="60" applyAlignment="1" pivotButton="0" quotePrefix="0" xfId="0">
      <alignment readingOrder="1"/>
    </xf>
    <xf numFmtId="4" fontId="4" fillId="0" borderId="60" applyAlignment="1" pivotButton="0" quotePrefix="0" xfId="0">
      <alignment readingOrder="1"/>
    </xf>
    <xf numFmtId="3" fontId="37" fillId="0" borderId="1" pivotButton="0" quotePrefix="0" xfId="0"/>
    <xf numFmtId="170" fontId="37" fillId="0" borderId="1" pivotButton="0" quotePrefix="0" xfId="0"/>
    <xf numFmtId="166" fontId="37" fillId="0" borderId="1" pivotButton="0" quotePrefix="0" xfId="0"/>
    <xf numFmtId="1" fontId="4" fillId="0" borderId="0" pivotButton="0" quotePrefix="0" xfId="0"/>
    <xf numFmtId="166" fontId="4" fillId="0" borderId="0" applyAlignment="1" pivotButton="0" quotePrefix="1" xfId="0">
      <alignment vertical="center"/>
    </xf>
    <xf numFmtId="4" fontId="4" fillId="0" borderId="25" applyAlignment="1" pivotButton="0" quotePrefix="0" xfId="0">
      <alignment vertical="center"/>
    </xf>
    <xf numFmtId="4" fontId="4" fillId="0" borderId="27" applyAlignment="1" pivotButton="0" quotePrefix="0" xfId="0">
      <alignment vertical="center"/>
    </xf>
    <xf numFmtId="4" fontId="4" fillId="0" borderId="30" applyAlignment="1" pivotButton="0" quotePrefix="0" xfId="0">
      <alignment vertical="center"/>
    </xf>
    <xf numFmtId="4" fontId="15" fillId="0" borderId="0" pivotButton="0" quotePrefix="0" xfId="0"/>
    <xf numFmtId="2" fontId="4" fillId="0" borderId="0" pivotButton="0" quotePrefix="0" xfId="0"/>
    <xf numFmtId="4" fontId="4" fillId="8" borderId="1" applyAlignment="1" pivotButton="0" quotePrefix="0" xfId="0">
      <alignment vertical="center" wrapText="1"/>
    </xf>
    <xf numFmtId="164" fontId="8" fillId="2" borderId="0" applyAlignment="1" pivotButton="0" quotePrefix="0" xfId="0">
      <alignment horizontal="center" vertical="center" wrapText="1"/>
    </xf>
    <xf numFmtId="4" fontId="8" fillId="8" borderId="0" applyAlignment="1" pivotButton="0" quotePrefix="0" xfId="0">
      <alignment vertical="center" wrapText="1"/>
    </xf>
    <xf numFmtId="10" fontId="13" fillId="0" borderId="0" pivotButton="0" quotePrefix="0" xfId="0"/>
    <xf numFmtId="10" fontId="13" fillId="0" borderId="8" applyAlignment="1" applyProtection="1" pivotButton="0" quotePrefix="0" xfId="0">
      <alignment vertical="center"/>
      <protection locked="0" hidden="0"/>
    </xf>
    <xf numFmtId="165" fontId="5" fillId="2" borderId="5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65" fontId="5" fillId="2" borderId="64" applyAlignment="1" pivotButton="0" quotePrefix="0" xfId="0">
      <alignment horizontal="right" vertical="center"/>
    </xf>
    <xf numFmtId="4" fontId="4" fillId="0" borderId="64" applyAlignment="1" pivotButton="0" quotePrefix="0" xfId="1">
      <alignment horizontal="right" vertical="center"/>
    </xf>
    <xf numFmtId="4" fontId="4" fillId="0" borderId="64" applyAlignment="1" pivotButton="0" quotePrefix="0" xfId="1">
      <alignment horizontal="right" vertical="center"/>
    </xf>
    <xf numFmtId="166" fontId="4" fillId="0" borderId="29" applyAlignment="1" pivotButton="0" quotePrefix="0" xfId="0">
      <alignment vertical="center"/>
    </xf>
    <xf numFmtId="4" fontId="4" fillId="0" borderId="64" applyAlignment="1" pivotButton="0" quotePrefix="0" xfId="0">
      <alignment vertical="center"/>
    </xf>
    <xf numFmtId="164" fontId="0" fillId="0" borderId="11" applyAlignment="1" pivotButton="0" quotePrefix="0" xfId="0">
      <alignment horizontal="center" vertical="center"/>
    </xf>
    <xf numFmtId="17" fontId="0" fillId="0" borderId="1" applyAlignment="1" pivotButton="0" quotePrefix="0" xfId="0">
      <alignment horizontal="right"/>
    </xf>
    <xf numFmtId="9" fontId="0" fillId="0" borderId="0" pivotButton="0" quotePrefix="0" xfId="2"/>
    <xf numFmtId="0" fontId="8" fillId="17" borderId="16" applyAlignment="1" pivotButton="0" quotePrefix="0" xfId="3">
      <alignment horizontal="center" vertical="center" wrapText="1"/>
    </xf>
    <xf numFmtId="0" fontId="8" fillId="17" borderId="17" applyAlignment="1" pivotButton="0" quotePrefix="0" xfId="3">
      <alignment horizontal="center" vertical="center" wrapText="1"/>
    </xf>
    <xf numFmtId="17" fontId="8" fillId="23" borderId="1" applyAlignment="1" pivotButton="0" quotePrefix="0" xfId="0">
      <alignment vertical="center" wrapText="1"/>
    </xf>
    <xf numFmtId="172" fontId="15" fillId="0" borderId="0" applyAlignment="1" pivotButton="0" quotePrefix="0" xfId="2">
      <alignment vertical="center" wrapText="1"/>
    </xf>
    <xf numFmtId="166" fontId="4" fillId="20" borderId="0" applyAlignment="1" pivotButton="0" quotePrefix="0" xfId="0">
      <alignment vertical="center"/>
    </xf>
    <xf numFmtId="0" fontId="8" fillId="4" borderId="0" applyAlignment="1" pivotButton="0" quotePrefix="0" xfId="0">
      <alignment horizontal="right" vertical="center"/>
    </xf>
    <xf numFmtId="10" fontId="4" fillId="0" borderId="0" applyAlignment="1" pivotButton="0" quotePrefix="0" xfId="2">
      <alignment vertical="center"/>
    </xf>
    <xf numFmtId="0" fontId="44" fillId="0" borderId="0" pivotButton="0" quotePrefix="0" xfId="0"/>
    <xf numFmtId="3" fontId="4" fillId="0" borderId="0" applyAlignment="1" pivotButton="0" quotePrefix="0" xfId="0">
      <alignment horizontal="center" vertical="center" wrapText="1"/>
    </xf>
    <xf numFmtId="0" fontId="8" fillId="33" borderId="0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9" fontId="13" fillId="0" borderId="0" pivotButton="0" quotePrefix="0" xfId="2"/>
    <xf numFmtId="167" fontId="13" fillId="0" borderId="0" pivotButton="0" quotePrefix="0" xfId="2"/>
    <xf numFmtId="167" fontId="4" fillId="0" borderId="0" applyAlignment="1" pivotButton="0" quotePrefix="0" xfId="2">
      <alignment vertical="center" wrapText="1"/>
    </xf>
    <xf numFmtId="167" fontId="7" fillId="0" borderId="1" applyAlignment="1" pivotButton="0" quotePrefix="0" xfId="2">
      <alignment vertical="center" wrapText="1"/>
    </xf>
    <xf numFmtId="167" fontId="4" fillId="5" borderId="0" applyAlignment="1" pivotButton="0" quotePrefix="0" xfId="2">
      <alignment horizontal="right" vertical="center"/>
    </xf>
    <xf numFmtId="40" fontId="4" fillId="5" borderId="49" applyAlignment="1" pivotButton="0" quotePrefix="0" xfId="0">
      <alignment horizontal="center" vertical="center" wrapText="1"/>
    </xf>
    <xf numFmtId="0" fontId="4" fillId="5" borderId="65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4" fontId="4" fillId="5" borderId="1" applyAlignment="1" pivotButton="0" quotePrefix="0" xfId="0">
      <alignment vertical="center" wrapText="1"/>
    </xf>
    <xf numFmtId="43" fontId="4" fillId="0" borderId="0" pivotButton="0" quotePrefix="0" xfId="1"/>
    <xf numFmtId="4" fontId="4" fillId="0" borderId="0" pivotButton="0" quotePrefix="0" xfId="2"/>
    <xf numFmtId="174" fontId="4" fillId="0" borderId="0" pivotButton="0" quotePrefix="0" xfId="0"/>
    <xf numFmtId="0" fontId="8" fillId="12" borderId="0" applyAlignment="1" pivotButton="0" quotePrefix="0" xfId="0">
      <alignment horizontal="center" vertical="center" wrapText="1"/>
    </xf>
    <xf numFmtId="0" fontId="4" fillId="10" borderId="8" applyAlignment="1" pivotButton="0" quotePrefix="0" xfId="0">
      <alignment horizontal="center" vertical="center" wrapText="1"/>
    </xf>
    <xf numFmtId="3" fontId="4" fillId="0" borderId="55" pivotButton="0" quotePrefix="0" xfId="0"/>
    <xf numFmtId="3" fontId="4" fillId="0" borderId="8" pivotButton="0" quotePrefix="0" xfId="0"/>
    <xf numFmtId="3" fontId="4" fillId="0" borderId="11" pivotButton="0" quotePrefix="0" xfId="0"/>
    <xf numFmtId="164" fontId="4" fillId="0" borderId="29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4" fontId="4" fillId="0" borderId="0" pivotButton="0" quotePrefix="0" xfId="2"/>
    <xf numFmtId="172" fontId="4" fillId="0" borderId="0" applyAlignment="1" pivotButton="0" quotePrefix="0" xfId="1">
      <alignment vertical="center"/>
    </xf>
    <xf numFmtId="172" fontId="4" fillId="0" borderId="0" applyAlignment="1" pivotButton="0" quotePrefix="0" xfId="1">
      <alignment vertical="center" wrapText="1"/>
    </xf>
    <xf numFmtId="9" fontId="15" fillId="0" borderId="0" applyAlignment="1" pivotButton="0" quotePrefix="0" xfId="2">
      <alignment vertical="center" wrapText="1"/>
    </xf>
    <xf numFmtId="10" fontId="7" fillId="6" borderId="1" applyAlignment="1" pivotButton="0" quotePrefix="0" xfId="1">
      <alignment horizontal="right" vertical="center" wrapText="1"/>
    </xf>
    <xf numFmtId="17" fontId="8" fillId="11" borderId="2" pivotButton="0" quotePrefix="0" xfId="0"/>
    <xf numFmtId="17" fontId="8" fillId="21" borderId="2" pivotButton="0" quotePrefix="0" xfId="0"/>
    <xf numFmtId="17" fontId="8" fillId="20" borderId="2" pivotButton="0" quotePrefix="0" xfId="0"/>
    <xf numFmtId="17" fontId="8" fillId="19" borderId="20" pivotButton="0" quotePrefix="0" xfId="0"/>
    <xf numFmtId="17" fontId="8" fillId="19" borderId="2" pivotButton="0" quotePrefix="0" xfId="0"/>
    <xf numFmtId="17" fontId="8" fillId="10" borderId="20" pivotButton="0" quotePrefix="0" xfId="0"/>
    <xf numFmtId="17" fontId="8" fillId="10" borderId="2" pivotButton="0" quotePrefix="0" xfId="0"/>
    <xf numFmtId="17" fontId="8" fillId="10" borderId="2" applyAlignment="1" pivotButton="0" quotePrefix="0" xfId="0">
      <alignment vertical="center" wrapText="1"/>
    </xf>
    <xf numFmtId="17" fontId="8" fillId="20" borderId="2" applyAlignment="1" pivotButton="0" quotePrefix="0" xfId="0">
      <alignment vertical="center" wrapText="1"/>
    </xf>
    <xf numFmtId="0" fontId="8" fillId="0" borderId="0" pivotButton="0" quotePrefix="0" xfId="5"/>
    <xf numFmtId="0" fontId="8" fillId="0" borderId="19" applyAlignment="1" pivotButton="0" quotePrefix="0" xfId="0">
      <alignment vertical="center"/>
    </xf>
    <xf numFmtId="3" fontId="7" fillId="6" borderId="6" applyAlignment="1" pivotButton="0" quotePrefix="0" xfId="1">
      <alignment horizontal="right" vertical="center"/>
    </xf>
    <xf numFmtId="3" fontId="7" fillId="0" borderId="6" applyAlignment="1" pivotButton="0" quotePrefix="0" xfId="1">
      <alignment horizontal="right" vertical="center"/>
    </xf>
    <xf numFmtId="3" fontId="7" fillId="0" borderId="6" applyAlignment="1" pivotButton="0" quotePrefix="0" xfId="1">
      <alignment horizontal="right" vertical="center"/>
    </xf>
    <xf numFmtId="3" fontId="7" fillId="0" borderId="1" applyAlignment="1" pivotButton="0" quotePrefix="0" xfId="1">
      <alignment horizontal="right" vertical="center"/>
    </xf>
    <xf numFmtId="3" fontId="4" fillId="6" borderId="1" applyAlignment="1" pivotButton="0" quotePrefix="0" xfId="1">
      <alignment vertical="center"/>
    </xf>
    <xf numFmtId="3" fontId="7" fillId="6" borderId="1" applyAlignment="1" pivotButton="0" quotePrefix="0" xfId="1">
      <alignment horizontal="right" vertical="center"/>
    </xf>
    <xf numFmtId="3" fontId="7" fillId="6" borderId="1" applyAlignment="1" pivotButton="0" quotePrefix="0" xfId="1">
      <alignment horizontal="right" vertical="center" wrapText="1"/>
    </xf>
    <xf numFmtId="3" fontId="7" fillId="0" borderId="1" applyAlignment="1" pivotButton="0" quotePrefix="0" xfId="1">
      <alignment horizontal="right" vertical="center" wrapText="1"/>
    </xf>
    <xf numFmtId="3" fontId="4" fillId="0" borderId="0" applyAlignment="1" pivotButton="0" quotePrefix="0" xfId="1">
      <alignment vertical="center"/>
    </xf>
    <xf numFmtId="3" fontId="4" fillId="0" borderId="0" applyAlignment="1" pivotButton="0" quotePrefix="0" xfId="1">
      <alignment vertical="center"/>
    </xf>
    <xf numFmtId="3" fontId="7" fillId="6" borderId="2" applyAlignment="1" pivotButton="0" quotePrefix="0" xfId="1">
      <alignment horizontal="right" vertical="center"/>
    </xf>
    <xf numFmtId="0" fontId="16" fillId="34" borderId="66" applyAlignment="1" pivotButton="0" quotePrefix="0" xfId="0">
      <alignment horizontal="center" vertical="center" wrapText="1"/>
    </xf>
    <xf numFmtId="0" fontId="16" fillId="31" borderId="66" applyAlignment="1" pivotButton="0" quotePrefix="0" xfId="0">
      <alignment horizontal="center" vertical="center" wrapText="1"/>
    </xf>
    <xf numFmtId="0" fontId="8" fillId="9" borderId="51" applyAlignment="1" pivotButton="0" quotePrefix="0" xfId="3">
      <alignment horizontal="center" vertical="center" wrapText="1"/>
    </xf>
    <xf numFmtId="0" fontId="8" fillId="16" borderId="49" applyAlignment="1" pivotButton="0" quotePrefix="0" xfId="0">
      <alignment horizontal="center" vertical="center" wrapText="1"/>
    </xf>
    <xf numFmtId="0" fontId="8" fillId="14" borderId="49" applyAlignment="1" pivotButton="0" quotePrefix="0" xfId="3">
      <alignment horizontal="center" vertical="center" wrapText="1"/>
    </xf>
    <xf numFmtId="0" fontId="8" fillId="4" borderId="49" applyAlignment="1" pivotButton="0" quotePrefix="0" xfId="3">
      <alignment horizontal="center" vertical="center" wrapText="1"/>
    </xf>
    <xf numFmtId="0" fontId="8" fillId="15" borderId="49" applyAlignment="1" pivotButton="0" quotePrefix="0" xfId="3">
      <alignment horizontal="center" vertical="center" wrapText="1"/>
    </xf>
    <xf numFmtId="3" fontId="4" fillId="9" borderId="20" applyAlignment="1" pivotButton="0" quotePrefix="0" xfId="3">
      <alignment vertical="center" wrapText="1"/>
    </xf>
    <xf numFmtId="0" fontId="7" fillId="18" borderId="5" applyAlignment="1" pivotButton="0" quotePrefix="0" xfId="0">
      <alignment vertical="center" wrapText="1"/>
    </xf>
    <xf numFmtId="3" fontId="4" fillId="9" borderId="2" applyAlignment="1" pivotButton="0" quotePrefix="0" xfId="3">
      <alignment vertical="center" wrapText="1"/>
    </xf>
    <xf numFmtId="3" fontId="4" fillId="0" borderId="17" applyAlignment="1" pivotButton="0" quotePrefix="0" xfId="0">
      <alignment vertical="center" wrapText="1"/>
    </xf>
    <xf numFmtId="3" fontId="4" fillId="0" borderId="51" applyAlignment="1" pivotButton="0" quotePrefix="0" xfId="0">
      <alignment vertical="center" wrapText="1"/>
    </xf>
    <xf numFmtId="3" fontId="7" fillId="9" borderId="2" applyAlignment="1" pivotButton="0" quotePrefix="0" xfId="3">
      <alignment vertical="center" wrapText="1"/>
    </xf>
    <xf numFmtId="0" fontId="1" fillId="20" borderId="1" applyAlignment="1" pivotButton="0" quotePrefix="0" xfId="0">
      <alignment vertical="center" wrapText="1"/>
    </xf>
    <xf numFmtId="3" fontId="4" fillId="9" borderId="1" applyAlignment="1" pivotButton="0" quotePrefix="0" xfId="3">
      <alignment vertical="center" wrapText="1"/>
    </xf>
    <xf numFmtId="3" fontId="7" fillId="9" borderId="1" applyAlignment="1" pivotButton="0" quotePrefix="0" xfId="3">
      <alignment vertical="center" wrapText="1"/>
    </xf>
    <xf numFmtId="3" fontId="4" fillId="9" borderId="0" applyAlignment="1" pivotButton="0" quotePrefix="0" xfId="0">
      <alignment vertical="center" wrapText="1"/>
    </xf>
    <xf numFmtId="9" fontId="4" fillId="0" borderId="0" applyAlignment="1" pivotButton="0" quotePrefix="0" xfId="2">
      <alignment vertical="center" wrapText="1"/>
    </xf>
    <xf numFmtId="9" fontId="4" fillId="9" borderId="0" applyAlignment="1" pivotButton="0" quotePrefix="0" xfId="2">
      <alignment vertical="center" wrapText="1"/>
    </xf>
    <xf numFmtId="0" fontId="16" fillId="31" borderId="15" applyAlignment="1" pivotButton="0" quotePrefix="0" xfId="0">
      <alignment horizontal="center" vertical="center" wrapText="1"/>
    </xf>
    <xf numFmtId="0" fontId="27" fillId="17" borderId="17" applyAlignment="1" pivotButton="0" quotePrefix="0" xfId="3">
      <alignment horizontal="center" vertical="center" wrapText="1"/>
    </xf>
    <xf numFmtId="166" fontId="4" fillId="4" borderId="0" applyAlignment="1" pivotButton="0" quotePrefix="0" xfId="0">
      <alignment vertical="center"/>
    </xf>
    <xf numFmtId="3" fontId="4" fillId="4" borderId="0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17" fontId="8" fillId="2" borderId="1" applyAlignment="1" pivotButton="0" quotePrefix="0" xfId="0">
      <alignment horizontal="right" vertical="center" wrapText="1"/>
    </xf>
    <xf numFmtId="17" fontId="8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3" fontId="8" fillId="4" borderId="0" applyAlignment="1" pivotButton="0" quotePrefix="0" xfId="0">
      <alignment vertical="center"/>
    </xf>
    <xf numFmtId="0" fontId="14" fillId="0" borderId="0" applyAlignment="1" pivotButton="0" quotePrefix="0" xfId="5">
      <alignment vertical="center"/>
    </xf>
    <xf numFmtId="166" fontId="15" fillId="4" borderId="0" applyAlignment="1" pivotButton="0" quotePrefix="0" xfId="0">
      <alignment vertical="center"/>
    </xf>
    <xf numFmtId="0" fontId="8" fillId="2" borderId="14" applyAlignment="1" pivotButton="0" quotePrefix="0" xfId="3">
      <alignment horizontal="center" vertical="center" wrapText="1"/>
    </xf>
    <xf numFmtId="165" fontId="5" fillId="27" borderId="6" applyAlignment="1" pivotButton="0" quotePrefix="0" xfId="0">
      <alignment horizontal="right" vertical="center"/>
    </xf>
    <xf numFmtId="165" fontId="5" fillId="21" borderId="6" applyAlignment="1" pivotButton="0" quotePrefix="0" xfId="0">
      <alignment horizontal="right" vertical="center"/>
    </xf>
    <xf numFmtId="165" fontId="5" fillId="20" borderId="6" applyAlignment="1" pivotButton="0" quotePrefix="0" xfId="0">
      <alignment horizontal="right" vertical="center"/>
    </xf>
    <xf numFmtId="165" fontId="5" fillId="23" borderId="6" applyAlignment="1" pivotButton="0" quotePrefix="0" xfId="0">
      <alignment horizontal="right" vertical="center"/>
    </xf>
    <xf numFmtId="165" fontId="5" fillId="21" borderId="54" applyAlignment="1" pivotButton="0" quotePrefix="0" xfId="0">
      <alignment horizontal="right" vertical="center"/>
    </xf>
    <xf numFmtId="165" fontId="5" fillId="20" borderId="54" applyAlignment="1" pivotButton="0" quotePrefix="0" xfId="0">
      <alignment horizontal="right" vertical="center"/>
    </xf>
    <xf numFmtId="175" fontId="7" fillId="0" borderId="0" applyAlignment="1" pivotButton="0" quotePrefix="0" xfId="0">
      <alignment horizontal="right" vertical="center" wrapText="1"/>
    </xf>
    <xf numFmtId="17" fontId="8" fillId="20" borderId="1" applyAlignment="1" pivotButton="0" quotePrefix="0" xfId="3">
      <alignment vertical="center" wrapText="1"/>
    </xf>
    <xf numFmtId="17" fontId="8" fillId="23" borderId="1" applyAlignment="1" pivotButton="0" quotePrefix="0" xfId="3">
      <alignment vertical="center" wrapText="1"/>
    </xf>
    <xf numFmtId="0" fontId="11" fillId="2" borderId="1" applyAlignment="1" pivotButton="0" quotePrefix="0" xfId="0">
      <alignment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2" borderId="8" applyAlignment="1" pivotButton="0" quotePrefix="0" xfId="0">
      <alignment vertical="center" wrapText="1"/>
    </xf>
    <xf numFmtId="0" fontId="11" fillId="2" borderId="1" applyAlignment="1" pivotButton="0" quotePrefix="0" xfId="0">
      <alignment horizontal="right" vertical="center" wrapText="1"/>
    </xf>
    <xf numFmtId="3" fontId="13" fillId="4" borderId="0" applyAlignment="1" pivotButton="0" quotePrefix="0" xfId="0">
      <alignment vertical="center" wrapText="1"/>
    </xf>
    <xf numFmtId="167" fontId="13" fillId="4" borderId="0" applyAlignment="1" pivotButton="0" quotePrefix="0" xfId="2">
      <alignment vertical="center" wrapText="1"/>
    </xf>
    <xf numFmtId="172" fontId="4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172" fontId="4" fillId="0" borderId="0" applyAlignment="1" pivotButton="0" quotePrefix="0" xfId="1">
      <alignment horizontal="left" vertical="center" wrapText="1"/>
    </xf>
    <xf numFmtId="172" fontId="15" fillId="0" borderId="0" applyAlignment="1" pivotButton="0" quotePrefix="0" xfId="1">
      <alignment vertical="center" wrapText="1"/>
    </xf>
    <xf numFmtId="172" fontId="15" fillId="0" borderId="0" applyAlignment="1" pivotButton="0" quotePrefix="0" xfId="2">
      <alignment vertical="center"/>
    </xf>
    <xf numFmtId="9" fontId="15" fillId="0" borderId="0" applyAlignment="1" pivotButton="0" quotePrefix="0" xfId="2">
      <alignment vertical="center"/>
    </xf>
    <xf numFmtId="172" fontId="15" fillId="0" borderId="0" applyAlignment="1" pivotButton="0" quotePrefix="0" xfId="2">
      <alignment vertical="center" wrapText="1"/>
    </xf>
    <xf numFmtId="172" fontId="4" fillId="0" borderId="0" applyAlignment="1" pivotButton="0" quotePrefix="0" xfId="1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40" fontId="37" fillId="5" borderId="35" applyAlignment="1" pivotButton="0" quotePrefix="0" xfId="0">
      <alignment horizontal="center" vertical="center"/>
    </xf>
    <xf numFmtId="40" fontId="37" fillId="5" borderId="42" applyAlignment="1" pivotButton="0" quotePrefix="0" xfId="0">
      <alignment horizontal="center" vertical="center"/>
    </xf>
    <xf numFmtId="40" fontId="37" fillId="5" borderId="20" applyAlignment="1" pivotButton="0" quotePrefix="0" xfId="0">
      <alignment horizontal="center" vertical="center"/>
    </xf>
    <xf numFmtId="40" fontId="37" fillId="5" borderId="41" applyAlignment="1" pivotButton="0" quotePrefix="0" xfId="0">
      <alignment horizontal="center" vertical="center"/>
    </xf>
    <xf numFmtId="40" fontId="36" fillId="5" borderId="4" applyAlignment="1" pivotButton="0" quotePrefix="0" xfId="0">
      <alignment horizontal="center" vertical="center" wrapText="1"/>
    </xf>
    <xf numFmtId="40" fontId="36" fillId="5" borderId="5" applyAlignment="1" pivotButton="0" quotePrefix="0" xfId="0">
      <alignment horizontal="center" vertical="center" wrapText="1"/>
    </xf>
    <xf numFmtId="40" fontId="36" fillId="5" borderId="43" applyAlignment="1" pivotButton="0" quotePrefix="0" xfId="0">
      <alignment horizontal="center" vertical="center"/>
    </xf>
    <xf numFmtId="40" fontId="36" fillId="5" borderId="44" applyAlignment="1" pivotButton="0" quotePrefix="0" xfId="0">
      <alignment horizontal="center" vertical="center"/>
    </xf>
    <xf numFmtId="40" fontId="37" fillId="5" borderId="36" applyAlignment="1" pivotButton="0" quotePrefix="0" xfId="0">
      <alignment horizontal="center" vertical="center" wrapText="1"/>
    </xf>
    <xf numFmtId="40" fontId="37" fillId="5" borderId="37" applyAlignment="1" pivotButton="0" quotePrefix="0" xfId="0">
      <alignment horizontal="center" vertical="center" wrapText="1"/>
    </xf>
    <xf numFmtId="40" fontId="37" fillId="5" borderId="56" applyAlignment="1" pivotButton="0" quotePrefix="0" xfId="0">
      <alignment horizontal="center" vertical="center" wrapText="1"/>
    </xf>
    <xf numFmtId="40" fontId="37" fillId="5" borderId="2" applyAlignment="1" pivotButton="0" quotePrefix="0" xfId="0">
      <alignment horizontal="center" vertical="center"/>
    </xf>
    <xf numFmtId="40" fontId="37" fillId="5" borderId="10" applyAlignment="1" pivotButton="0" quotePrefix="0" xfId="0">
      <alignment horizontal="center" vertical="center"/>
    </xf>
    <xf numFmtId="40" fontId="37" fillId="5" borderId="3" applyAlignment="1" pivotButton="0" quotePrefix="0" xfId="0">
      <alignment horizontal="center" vertical="center"/>
    </xf>
    <xf numFmtId="40" fontId="37" fillId="5" borderId="35" applyAlignment="1" pivotButton="0" quotePrefix="0" xfId="0">
      <alignment horizontal="center" vertical="center" wrapText="1"/>
    </xf>
    <xf numFmtId="40" fontId="37" fillId="5" borderId="42" applyAlignment="1" pivotButton="0" quotePrefix="0" xfId="0">
      <alignment horizontal="center" vertical="center" wrapText="1"/>
    </xf>
    <xf numFmtId="40" fontId="37" fillId="5" borderId="20" applyAlignment="1" pivotButton="0" quotePrefix="0" xfId="0">
      <alignment horizontal="center" vertical="center" wrapText="1"/>
    </xf>
    <xf numFmtId="40" fontId="37" fillId="5" borderId="41" applyAlignment="1" pivotButton="0" quotePrefix="0" xfId="0">
      <alignment horizontal="center" vertical="center" wrapText="1"/>
    </xf>
    <xf numFmtId="40" fontId="37" fillId="5" borderId="39" applyAlignment="1" pivotButton="0" quotePrefix="0" xfId="0">
      <alignment horizontal="center" vertical="center"/>
    </xf>
    <xf numFmtId="40" fontId="37" fillId="5" borderId="40" applyAlignment="1" pivotButton="0" quotePrefix="0" xfId="0">
      <alignment horizontal="center" vertical="center"/>
    </xf>
    <xf numFmtId="4" fontId="4" fillId="5" borderId="2" applyAlignment="1" pivotButton="0" quotePrefix="0" xfId="0">
      <alignment horizontal="center" vertical="center" wrapText="1"/>
    </xf>
    <xf numFmtId="4" fontId="4" fillId="5" borderId="62" applyAlignment="1" pivotButton="0" quotePrefix="0" xfId="0">
      <alignment horizontal="center" vertical="center" wrapText="1"/>
    </xf>
    <xf numFmtId="4" fontId="4" fillId="5" borderId="13" applyAlignment="1" pivotButton="0" quotePrefix="0" xfId="0">
      <alignment horizontal="center" vertical="center" wrapText="1"/>
    </xf>
    <xf numFmtId="4" fontId="4" fillId="5" borderId="42" applyAlignment="1" pivotButton="0" quotePrefix="0" xfId="0">
      <alignment horizontal="center" vertical="center" wrapText="1"/>
    </xf>
    <xf numFmtId="4" fontId="8" fillId="5" borderId="52" applyAlignment="1" pivotButton="0" quotePrefix="0" xfId="0">
      <alignment horizontal="center" vertical="center"/>
    </xf>
    <xf numFmtId="4" fontId="8" fillId="5" borderId="63" applyAlignment="1" pivotButton="0" quotePrefix="0" xfId="0">
      <alignment horizontal="center" vertical="center"/>
    </xf>
    <xf numFmtId="4" fontId="4" fillId="5" borderId="17" applyAlignment="1" pivotButton="0" quotePrefix="0" xfId="0">
      <alignment horizontal="center" vertical="center" wrapText="1"/>
    </xf>
    <xf numFmtId="4" fontId="4" fillId="5" borderId="50" applyAlignment="1" pivotButton="0" quotePrefix="0" xfId="0">
      <alignment horizontal="center" vertical="center" wrapText="1"/>
    </xf>
    <xf numFmtId="4" fontId="4" fillId="5" borderId="51" applyAlignment="1" pivotButton="0" quotePrefix="0" xfId="0">
      <alignment horizontal="center" vertical="center" wrapText="1"/>
    </xf>
    <xf numFmtId="40" fontId="4" fillId="5" borderId="39" applyAlignment="1" pivotButton="0" quotePrefix="0" xfId="0">
      <alignment horizontal="center" vertical="center"/>
    </xf>
    <xf numFmtId="40" fontId="4" fillId="5" borderId="40" applyAlignment="1" pivotButton="0" quotePrefix="0" xfId="0">
      <alignment horizontal="center" vertical="center"/>
    </xf>
    <xf numFmtId="4" fontId="4" fillId="5" borderId="23" applyAlignment="1" pivotButton="0" quotePrefix="0" xfId="0">
      <alignment horizontal="center" vertical="center" wrapText="1"/>
    </xf>
    <xf numFmtId="4" fontId="4" fillId="5" borderId="53" applyAlignment="1" pivotButton="0" quotePrefix="0" xfId="0">
      <alignment horizontal="center" vertical="center" wrapText="1"/>
    </xf>
    <xf numFmtId="4" fontId="4" fillId="5" borderId="26" applyAlignment="1" pivotButton="0" quotePrefix="0" xfId="0">
      <alignment horizontal="center" vertical="center" wrapText="1"/>
    </xf>
    <xf numFmtId="4" fontId="4" fillId="5" borderId="8" applyAlignment="1" pivotButton="0" quotePrefix="0" xfId="0">
      <alignment horizontal="center" vertical="center" wrapText="1"/>
    </xf>
    <xf numFmtId="4" fontId="4" fillId="5" borderId="25" applyAlignment="1" pivotButton="0" quotePrefix="0" xfId="0">
      <alignment horizontal="center" vertical="center" wrapText="1"/>
    </xf>
    <xf numFmtId="4" fontId="4" fillId="5" borderId="27" applyAlignment="1" pivotButton="0" quotePrefix="0" xfId="0">
      <alignment horizontal="center" vertical="center" wrapText="1"/>
    </xf>
    <xf numFmtId="4" fontId="8" fillId="5" borderId="52" applyAlignment="1" pivotButton="0" quotePrefix="0" xfId="0">
      <alignment horizontal="center" vertical="center" wrapText="1"/>
    </xf>
    <xf numFmtId="4" fontId="8" fillId="5" borderId="63" applyAlignment="1" pivotButton="0" quotePrefix="0" xfId="0">
      <alignment horizontal="center" vertical="center" wrapText="1"/>
    </xf>
    <xf numFmtId="3" fontId="4" fillId="5" borderId="24" applyAlignment="1" pivotButton="0" quotePrefix="0" xfId="0">
      <alignment horizontal="center" vertical="center" wrapText="1"/>
    </xf>
    <xf numFmtId="3" fontId="4" fillId="5" borderId="0" applyAlignment="1" pivotButton="0" quotePrefix="0" xfId="0">
      <alignment horizontal="center" vertical="center" wrapText="1"/>
    </xf>
    <xf numFmtId="4" fontId="8" fillId="5" borderId="25" applyAlignment="1" pivotButton="0" quotePrefix="0" xfId="0">
      <alignment horizontal="center" vertical="center" wrapText="1"/>
    </xf>
    <xf numFmtId="4" fontId="8" fillId="5" borderId="27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6" fillId="32" borderId="0" applyAlignment="1" pivotButton="0" quotePrefix="0" xfId="7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 wrapText="1"/>
    </xf>
    <xf numFmtId="172" fontId="4" fillId="0" borderId="0" applyAlignment="1" pivotButton="0" quotePrefix="0" xfId="1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8" fillId="12" borderId="71" applyAlignment="1" pivotButton="0" quotePrefix="0" xfId="0">
      <alignment horizontal="center" vertical="center" wrapText="1"/>
    </xf>
    <xf numFmtId="3" fontId="49" fillId="18" borderId="5" applyAlignment="1" pivotButton="0" quotePrefix="0" xfId="0">
      <alignment vertical="center" wrapText="1"/>
    </xf>
    <xf numFmtId="3" fontId="49" fillId="18" borderId="1" applyAlignment="1" pivotButton="0" quotePrefix="0" xfId="0">
      <alignment vertical="center" wrapText="1"/>
    </xf>
    <xf numFmtId="3" fontId="50" fillId="18" borderId="1" applyAlignment="1" pivotButton="0" quotePrefix="0" xfId="0">
      <alignment vertical="center" wrapText="1"/>
    </xf>
    <xf numFmtId="3" fontId="50" fillId="11" borderId="1" applyAlignment="1" pivotButton="0" quotePrefix="0" xfId="0">
      <alignment vertical="center" wrapText="1"/>
    </xf>
    <xf numFmtId="3" fontId="49" fillId="11" borderId="1" applyAlignment="1" pivotButton="0" quotePrefix="0" xfId="0">
      <alignment vertical="center" wrapText="1"/>
    </xf>
    <xf numFmtId="3" fontId="49" fillId="19" borderId="1" applyAlignment="1" pivotButton="0" quotePrefix="0" xfId="0">
      <alignment vertical="center" wrapText="1"/>
    </xf>
    <xf numFmtId="3" fontId="50" fillId="19" borderId="1" applyAlignment="1" pivotButton="0" quotePrefix="0" xfId="0">
      <alignment vertical="center" wrapText="1"/>
    </xf>
    <xf numFmtId="3" fontId="50" fillId="20" borderId="1" applyAlignment="1" pivotButton="0" quotePrefix="0" xfId="0">
      <alignment vertical="center" wrapText="1"/>
    </xf>
    <xf numFmtId="3" fontId="49" fillId="20" borderId="1" applyAlignment="1" pivotButton="0" quotePrefix="0" xfId="0">
      <alignment vertical="center" wrapText="1"/>
    </xf>
    <xf numFmtId="3" fontId="49" fillId="21" borderId="1" applyAlignment="1" pivotButton="0" quotePrefix="0" xfId="0">
      <alignment vertical="center" wrapText="1"/>
    </xf>
    <xf numFmtId="3" fontId="50" fillId="21" borderId="1" applyAlignment="1" pivotButton="0" quotePrefix="0" xfId="0">
      <alignment vertical="center" wrapText="1"/>
    </xf>
    <xf numFmtId="3" fontId="50" fillId="22" borderId="1" applyAlignment="1" pivotButton="0" quotePrefix="0" xfId="0">
      <alignment vertical="center" wrapText="1"/>
    </xf>
    <xf numFmtId="3" fontId="50" fillId="23" borderId="1" applyAlignment="1" pivotButton="0" quotePrefix="0" xfId="0">
      <alignment vertical="center" wrapText="1"/>
    </xf>
    <xf numFmtId="3" fontId="7" fillId="35" borderId="1" applyAlignment="1" pivotButton="0" quotePrefix="0" xfId="3">
      <alignment vertical="center" wrapText="1"/>
    </xf>
    <xf numFmtId="3" fontId="7" fillId="35" borderId="2" applyAlignment="1" pivotButton="0" quotePrefix="0" xfId="3">
      <alignment vertical="center" wrapText="1"/>
    </xf>
    <xf numFmtId="0" fontId="48" fillId="15" borderId="66" applyAlignment="1" pivotButton="0" quotePrefix="0" xfId="0">
      <alignment horizontal="center" vertical="center" wrapText="1"/>
    </xf>
    <xf numFmtId="175" fontId="49" fillId="4" borderId="0" applyAlignment="1" pivotButton="0" quotePrefix="0" xfId="0">
      <alignment horizontal="center" vertical="center" wrapText="1"/>
    </xf>
    <xf numFmtId="0" fontId="49" fillId="0" borderId="0" applyAlignment="1" pivotButton="0" quotePrefix="0" xfId="0">
      <alignment vertical="center" wrapText="1"/>
    </xf>
    <xf numFmtId="9" fontId="50" fillId="4" borderId="0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Per cent" xfId="2" builtinId="5"/>
    <cellStyle name="Normal 2" xfId="3"/>
    <cellStyle name="一般 2" xfId="4"/>
    <cellStyle name="Hyperlink" xfId="5" builtinId="8"/>
    <cellStyle name="Normal 3" xfId="6"/>
    <cellStyle name="Bad" xfId="7" builtinId="27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sng" baseline="0">
                <effectLst/>
              </a:rPr>
              <a:t>On-Campus Buildings 12-month Rolling Sum of Net Electricity Consumption (kWh)</a:t>
            </a:r>
            <a:endParaRPr lang="en-HK" sz="1200">
              <effectLst/>
            </a:endParaRPr>
          </a:p>
          <a:p xmlns:a="http://schemas.openxmlformats.org/drawingml/2006/main">
            <a:pPr>
              <a:defRPr sz="1200"/>
            </a:pPr>
            <a:r>
              <a:rPr lang="en-US" sz="1200" b="1" i="0" baseline="0">
                <effectLst/>
              </a:rPr>
              <a:t>2014-2024</a:t>
            </a:r>
            <a:endParaRPr lang="en-HK" sz="1200">
              <effectLst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HK"/>
        </a:p>
      </txPr>
    </title>
    <plotArea>
      <layout/>
      <areaChart>
        <grouping val="stack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'Monthly Electricity (Overview)'!$A$19:$A$151</f>
              <numCache>
                <formatCode>mmm\-yy</formatCode>
                <ptCount val="133"/>
                <pt idx="0">
                  <v>42156</v>
                </pt>
                <pt idx="1">
                  <v>42186</v>
                </pt>
                <pt idx="2">
                  <v>42217</v>
                </pt>
                <pt idx="3">
                  <v>42248</v>
                </pt>
                <pt idx="4">
                  <v>42278</v>
                </pt>
                <pt idx="5">
                  <v>42309</v>
                </pt>
                <pt idx="6">
                  <v>42339</v>
                </pt>
                <pt idx="7">
                  <v>42370</v>
                </pt>
                <pt idx="8">
                  <v>42401</v>
                </pt>
                <pt idx="9">
                  <v>42430</v>
                </pt>
                <pt idx="10">
                  <v>42461</v>
                </pt>
                <pt idx="11">
                  <v>42491</v>
                </pt>
                <pt idx="12">
                  <v>42522</v>
                </pt>
                <pt idx="13">
                  <v>42552</v>
                </pt>
                <pt idx="14">
                  <v>42583</v>
                </pt>
                <pt idx="15">
                  <v>42614</v>
                </pt>
                <pt idx="16">
                  <v>42644</v>
                </pt>
                <pt idx="17">
                  <v>42675</v>
                </pt>
                <pt idx="18">
                  <v>42705</v>
                </pt>
                <pt idx="19">
                  <v>42736</v>
                </pt>
                <pt idx="20">
                  <v>42767</v>
                </pt>
                <pt idx="21">
                  <v>42795</v>
                </pt>
                <pt idx="22">
                  <v>42826</v>
                </pt>
                <pt idx="23">
                  <v>42856</v>
                </pt>
                <pt idx="24">
                  <v>42887</v>
                </pt>
                <pt idx="25">
                  <v>42917</v>
                </pt>
                <pt idx="26">
                  <v>42948</v>
                </pt>
                <pt idx="27">
                  <v>42979</v>
                </pt>
                <pt idx="28">
                  <v>43009</v>
                </pt>
                <pt idx="29">
                  <v>43040</v>
                </pt>
                <pt idx="30">
                  <v>43070</v>
                </pt>
                <pt idx="31">
                  <v>43101</v>
                </pt>
                <pt idx="32">
                  <v>43132</v>
                </pt>
                <pt idx="33">
                  <v>43160</v>
                </pt>
                <pt idx="34">
                  <v>43191</v>
                </pt>
                <pt idx="35">
                  <v>43221</v>
                </pt>
                <pt idx="36">
                  <v>43252</v>
                </pt>
                <pt idx="37">
                  <v>43282</v>
                </pt>
                <pt idx="38">
                  <v>43313</v>
                </pt>
                <pt idx="39">
                  <v>43344</v>
                </pt>
                <pt idx="40">
                  <v>43374</v>
                </pt>
                <pt idx="41">
                  <v>43405</v>
                </pt>
                <pt idx="42">
                  <v>43435</v>
                </pt>
                <pt idx="43">
                  <v>43466</v>
                </pt>
                <pt idx="44">
                  <v>43497</v>
                </pt>
                <pt idx="45">
                  <v>43525</v>
                </pt>
                <pt idx="46">
                  <v>43556</v>
                </pt>
                <pt idx="47">
                  <v>43586</v>
                </pt>
                <pt idx="48">
                  <v>43617</v>
                </pt>
                <pt idx="49">
                  <v>43647</v>
                </pt>
                <pt idx="50">
                  <v>43678</v>
                </pt>
                <pt idx="51">
                  <v>43709</v>
                </pt>
                <pt idx="52">
                  <v>43739</v>
                </pt>
                <pt idx="53">
                  <v>43770</v>
                </pt>
                <pt idx="54">
                  <v>43800</v>
                </pt>
                <pt idx="55">
                  <v>43831</v>
                </pt>
                <pt idx="56">
                  <v>43862</v>
                </pt>
                <pt idx="57">
                  <v>43891</v>
                </pt>
                <pt idx="58">
                  <v>43922</v>
                </pt>
                <pt idx="59">
                  <v>43952</v>
                </pt>
                <pt idx="60">
                  <v>43983</v>
                </pt>
                <pt idx="61">
                  <v>44013</v>
                </pt>
                <pt idx="62">
                  <v>44044</v>
                </pt>
                <pt idx="63">
                  <v>44075</v>
                </pt>
                <pt idx="64">
                  <v>44105</v>
                </pt>
                <pt idx="65">
                  <v>44136</v>
                </pt>
                <pt idx="66">
                  <v>44166</v>
                </pt>
                <pt idx="67">
                  <v>44197</v>
                </pt>
                <pt idx="68">
                  <v>44228</v>
                </pt>
                <pt idx="69">
                  <v>44256</v>
                </pt>
                <pt idx="70">
                  <v>44287</v>
                </pt>
                <pt idx="71">
                  <v>44317</v>
                </pt>
                <pt idx="72">
                  <v>44348</v>
                </pt>
                <pt idx="73">
                  <v>44378</v>
                </pt>
                <pt idx="74">
                  <v>44409</v>
                </pt>
                <pt idx="75">
                  <v>44440</v>
                </pt>
                <pt idx="76">
                  <v>44470</v>
                </pt>
                <pt idx="77">
                  <v>44501</v>
                </pt>
                <pt idx="78">
                  <v>44531</v>
                </pt>
                <pt idx="79">
                  <v>44562</v>
                </pt>
                <pt idx="80">
                  <v>44593</v>
                </pt>
                <pt idx="81">
                  <v>44621</v>
                </pt>
                <pt idx="82">
                  <v>44652</v>
                </pt>
                <pt idx="83">
                  <v>44682</v>
                </pt>
                <pt idx="84">
                  <v>44713</v>
                </pt>
                <pt idx="85">
                  <v>44743</v>
                </pt>
                <pt idx="86">
                  <v>44774</v>
                </pt>
                <pt idx="87">
                  <v>44805</v>
                </pt>
                <pt idx="88">
                  <v>44835</v>
                </pt>
                <pt idx="89">
                  <v>44866</v>
                </pt>
                <pt idx="90">
                  <v>44896</v>
                </pt>
                <pt idx="91">
                  <v>44927</v>
                </pt>
                <pt idx="92">
                  <v>44958</v>
                </pt>
                <pt idx="93">
                  <v>44986</v>
                </pt>
                <pt idx="94">
                  <v>45017</v>
                </pt>
                <pt idx="95">
                  <v>45047</v>
                </pt>
                <pt idx="96">
                  <v>45078</v>
                </pt>
                <pt idx="97">
                  <v>45108</v>
                </pt>
                <pt idx="98">
                  <v>45139</v>
                </pt>
                <pt idx="99">
                  <v>45170</v>
                </pt>
                <pt idx="100">
                  <v>45200</v>
                </pt>
                <pt idx="101">
                  <v>45231</v>
                </pt>
                <pt idx="102">
                  <v>45261</v>
                </pt>
                <pt idx="103">
                  <v>45292</v>
                </pt>
                <pt idx="104">
                  <v>45323</v>
                </pt>
                <pt idx="105">
                  <v>45352</v>
                </pt>
                <pt idx="106">
                  <v>45383</v>
                </pt>
                <pt idx="107">
                  <v>45413</v>
                </pt>
                <pt idx="108">
                  <v>45444</v>
                </pt>
                <pt idx="109">
                  <v>45474</v>
                </pt>
                <pt idx="110">
                  <v>45505</v>
                </pt>
                <pt idx="111">
                  <v>45536</v>
                </pt>
                <pt idx="112">
                  <v>45566</v>
                </pt>
                <pt idx="113">
                  <v>45597</v>
                </pt>
                <pt idx="114">
                  <v>45627</v>
                </pt>
                <pt idx="115">
                  <v>45658</v>
                </pt>
                <pt idx="116">
                  <v>45689</v>
                </pt>
                <pt idx="117">
                  <v>45717</v>
                </pt>
                <pt idx="118">
                  <v>45748</v>
                </pt>
                <pt idx="119">
                  <v>45778</v>
                </pt>
                <pt idx="120">
                  <v>45809</v>
                </pt>
                <pt idx="121">
                  <v>45839</v>
                </pt>
                <pt idx="122">
                  <v>45870</v>
                </pt>
                <pt idx="123">
                  <v>45901</v>
                </pt>
                <pt idx="124">
                  <v>45931</v>
                </pt>
                <pt idx="125">
                  <v>45962</v>
                </pt>
                <pt idx="126">
                  <v>45992</v>
                </pt>
                <pt idx="127">
                  <v>46023</v>
                </pt>
                <pt idx="128">
                  <v>46054</v>
                </pt>
                <pt idx="129">
                  <v>46082</v>
                </pt>
                <pt idx="130">
                  <v>46113</v>
                </pt>
                <pt idx="131">
                  <v>46143</v>
                </pt>
                <pt idx="132">
                  <v>46174</v>
                </pt>
              </numCache>
            </numRef>
          </cat>
          <val>
            <numRef>
              <f>'Monthly Electricity (Overview)'!$AK$19:$AK$151</f>
              <numCache>
                <formatCode>#,##0</formatCode>
                <ptCount val="133"/>
                <pt idx="0">
                  <v>93067207</v>
                </pt>
                <pt idx="1">
                  <v>92560708</v>
                </pt>
                <pt idx="2">
                  <v>92658683</v>
                </pt>
                <pt idx="3">
                  <v>92589207</v>
                </pt>
                <pt idx="4">
                  <v>92906500</v>
                </pt>
                <pt idx="5">
                  <v>94099443</v>
                </pt>
                <pt idx="6">
                  <v>94187317</v>
                </pt>
                <pt idx="7">
                  <v>94394903</v>
                </pt>
                <pt idx="8">
                  <v>95166272</v>
                </pt>
                <pt idx="9">
                  <v>94971369</v>
                </pt>
                <pt idx="10">
                  <v>95180695</v>
                </pt>
                <pt idx="11">
                  <v>95720512</v>
                </pt>
                <pt idx="12">
                  <v>95800070</v>
                </pt>
                <pt idx="13">
                  <v>96134757</v>
                </pt>
                <pt idx="14">
                  <v>96947485</v>
                </pt>
                <pt idx="15">
                  <v>96474873</v>
                </pt>
                <pt idx="16">
                  <v>96161212</v>
                </pt>
                <pt idx="17">
                  <v>96368281</v>
                </pt>
                <pt idx="18">
                  <v>96342853</v>
                </pt>
                <pt idx="19">
                  <v>95623203</v>
                </pt>
                <pt idx="20">
                  <v>95982844</v>
                </pt>
                <pt idx="21">
                  <v>96253205</v>
                </pt>
                <pt idx="22">
                  <v>95356819</v>
                </pt>
                <pt idx="23">
                  <v>94764032</v>
                </pt>
                <pt idx="24">
                  <v>94486358</v>
                </pt>
                <pt idx="25">
                  <v>93560730</v>
                </pt>
                <pt idx="26">
                  <v>93908381</v>
                </pt>
                <pt idx="27">
                  <v>93939573</v>
                </pt>
                <pt idx="28">
                  <v>94414956</v>
                </pt>
                <pt idx="29">
                  <v>93418878</v>
                </pt>
                <pt idx="30">
                  <v>92921703</v>
                </pt>
                <pt idx="31">
                  <v>93736605</v>
                </pt>
                <pt idx="32">
                  <v>92920952</v>
                </pt>
                <pt idx="33">
                  <v>92503642</v>
                </pt>
                <pt idx="34">
                  <v>93292059</v>
                </pt>
                <pt idx="35">
                  <v>94135291</v>
                </pt>
                <pt idx="36">
                  <v>92966450</v>
                </pt>
                <pt idx="37">
                  <v>93887240</v>
                </pt>
                <pt idx="38">
                  <v>93309781</v>
                </pt>
                <pt idx="39">
                  <v>92346280</v>
                </pt>
                <pt idx="40">
                  <v>91966795</v>
                </pt>
                <pt idx="41">
                  <v>92006183</v>
                </pt>
                <pt idx="42">
                  <v>91781095</v>
                </pt>
                <pt idx="43">
                  <v>91689287</v>
                </pt>
                <pt idx="44">
                  <v>91511184</v>
                </pt>
                <pt idx="45">
                  <v>91375813</v>
                </pt>
                <pt idx="46">
                  <v>91623394</v>
                </pt>
                <pt idx="47">
                  <v>90483094</v>
                </pt>
                <pt idx="48">
                  <v>90186094</v>
                </pt>
                <pt idx="49">
                  <v>90323695</v>
                </pt>
                <pt idx="50">
                  <v>90175858</v>
                </pt>
                <pt idx="51">
                  <v>91088438</v>
                </pt>
                <pt idx="52">
                  <v>91275557</v>
                </pt>
                <pt idx="53">
                  <v>90389256</v>
                </pt>
                <pt idx="54">
                  <v>90542578</v>
                </pt>
                <pt idx="55">
                  <v>90062702</v>
                </pt>
                <pt idx="56">
                  <v>89253740</v>
                </pt>
                <pt idx="57">
                  <v>88747332</v>
                </pt>
                <pt idx="58">
                  <v>86704720</v>
                </pt>
                <pt idx="59">
                  <v>86447454</v>
                </pt>
                <pt idx="60">
                  <v>87353244</v>
                </pt>
                <pt idx="61">
                  <v>86884899</v>
                </pt>
                <pt idx="62">
                  <v>85699386</v>
                </pt>
                <pt idx="63">
                  <v>85710579</v>
                </pt>
                <pt idx="64">
                  <v>84624859</v>
                </pt>
                <pt idx="65">
                  <v>84979994</v>
                </pt>
                <pt idx="66">
                  <v>84854430</v>
                </pt>
                <pt idx="67">
                  <v>84786987</v>
                </pt>
                <pt idx="68">
                  <v>85189795</v>
                </pt>
                <pt idx="69">
                  <v>86161740</v>
                </pt>
                <pt idx="70">
                  <v>87567752</v>
                </pt>
                <pt idx="71">
                  <v>88775236</v>
                </pt>
                <pt idx="72">
                  <v>88318175</v>
                </pt>
                <pt idx="73">
                  <v>88449963</v>
                </pt>
                <pt idx="74">
                  <v>89334599</v>
                </pt>
                <pt idx="75">
                  <v>89608532</v>
                </pt>
                <pt idx="76">
                  <v>90225077</v>
                </pt>
                <pt idx="77">
                  <v>90922176</v>
                </pt>
                <pt idx="78">
                  <v>91369619</v>
                </pt>
                <pt idx="79">
                  <v>91387901</v>
                </pt>
                <pt idx="80">
                  <v>91934658</v>
                </pt>
                <pt idx="81">
                  <v>91174346</v>
                </pt>
                <pt idx="82">
                  <v>90701082</v>
                </pt>
                <pt idx="83">
                  <v>89446511</v>
                </pt>
                <pt idx="84">
                  <v>89692408</v>
                </pt>
                <pt idx="85">
                  <v>89386136</v>
                </pt>
                <pt idx="86">
                  <v>90058326</v>
                </pt>
                <pt idx="87">
                  <v>89931525</v>
                </pt>
                <pt idx="88">
                  <v>89686998</v>
                </pt>
                <pt idx="89">
                  <v>90490096</v>
                </pt>
                <pt idx="90">
                  <v>90554772</v>
                </pt>
                <pt idx="91">
                  <v>90952030</v>
                </pt>
                <pt idx="92">
                  <v>91245100</v>
                </pt>
                <pt idx="93">
                  <v>92037317</v>
                </pt>
                <pt idx="94">
                  <v>92421203</v>
                </pt>
                <pt idx="95">
                  <v>93510500</v>
                </pt>
                <pt idx="96">
                  <v>93932338</v>
                </pt>
                <pt idx="97">
                  <v>93669668</v>
                </pt>
                <pt idx="98">
                  <v>94202442</v>
                </pt>
                <pt idx="99">
                  <v>93817045</v>
                </pt>
                <pt idx="100">
                  <v>95115663</v>
                </pt>
                <pt idx="101">
                  <v>94437900</v>
                </pt>
                <pt idx="102">
                  <v>94622317</v>
                </pt>
                <pt idx="103">
                  <v>95197696</v>
                </pt>
                <pt idx="104">
                  <v>95585834</v>
                </pt>
                <pt idx="105">
                  <v>95368572</v>
                </pt>
                <pt idx="106">
                  <v>97412202</v>
                </pt>
                <pt idx="107">
                  <v>97207952</v>
                </pt>
                <pt idx="108">
                  <v>96709341</v>
                </pt>
                <pt idx="109">
                  <v>98664166</v>
                </pt>
                <pt idx="110">
                  <v>98443491</v>
                </pt>
                <pt idx="111">
                  <v>99413865</v>
                </pt>
                <pt idx="112">
                  <v>99357598</v>
                </pt>
                <pt idx="113">
                  <v>100029481</v>
                </pt>
                <pt idx="114">
                  <v>100802371</v>
                </pt>
                <pt idx="115">
                  <v>100581586</v>
                </pt>
                <pt idx="116">
                  <v>101060258</v>
                </pt>
                <pt idx="117">
                  <v>101471382</v>
                </pt>
                <pt idx="118">
                  <v>101180417</v>
                </pt>
                <pt idx="119">
                  <v>102046244</v>
                </pt>
                <pt idx="120">
                  <v>103383996</v>
                </pt>
                <pt idx="121">
                  <v>103225651</v>
                </pt>
                <pt idx="122">
                  <v>103479701</v>
                </pt>
                <pt idx="123">
                  <v>104605753</v>
                </pt>
                <pt idx="124">
                  <v>105551131</v>
                </pt>
                <pt idx="125">
                  <v>105265370</v>
                </pt>
                <pt idx="126">
                  <v>106068432</v>
                </pt>
                <pt idx="127">
                  <v>106905493</v>
                </pt>
                <pt idx="128">
                  <v>99772241</v>
                </pt>
                <pt idx="129">
                  <v>92749787</v>
                </pt>
                <pt idx="130">
                  <v>83998767</v>
                </pt>
                <pt idx="131">
                  <v>74711749</v>
                </pt>
                <pt idx="132">
                  <v>64707714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CHONG, Kam Fai</author>
    <author>tc={DF7057FB-D4CC-C443-BD41-C52D73ADAD20}</author>
    <author>tc={1A477B7F-F4AC-E64E-B99E-B0F62068970E}</author>
    <author>tc={D0FD46A5-8E7F-CA48-A254-7D1EE3E39E95}</author>
    <author>tc={AAC2E27F-12B4-814A-B0BA-9AA3A3785456}</author>
    <author>CHAN, Joyce</author>
    <author>tc={803C24F5-3426-214C-BDC9-CBD2D6C45281}</author>
  </authors>
  <commentList>
    <comment ref="G1" authorId="0" shapeId="0">
      <text>
        <t>CHONG, Kam Fai:
APCF Switches 1-33</t>
      </text>
    </comment>
    <comment ref="H1" authorId="0" shapeId="0">
      <text>
        <t>CHONG, Kam Fai:
NDC All Switches</t>
      </text>
    </comment>
    <comment ref="I1" authorId="0" shapeId="0">
      <text>
        <t>CHONG, Kam Fai:
Include seawater pump</t>
      </text>
    </comment>
    <comment ref="J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building</t>
      </text>
    </comment>
    <comment ref="N1" authorId="0" shapeId="0">
      <text>
        <t>CHONG, Kam Fai:
Include cooling tower</t>
      </text>
    </comment>
    <comment ref="Q1" authorId="0" shapeId="0">
      <text>
        <t xml:space="preserve">CHONG, Kam Fai:
SISC Switches 1-3
</t>
      </text>
    </comment>
    <comment ref="T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W1" authorId="0" shapeId="0">
      <text>
        <t>CHONG, Kam Fai:
NewOP GGT 4A Switch</t>
      </text>
    </comment>
    <comment ref="X1" authorId="0" shapeId="0">
      <text>
        <t>CHONG, Kam Fai:
Excluding GRUCs consumptions</t>
      </text>
    </comment>
    <comment ref="Y1" authorId="0" shapeId="0">
      <text>
        <t>CHONG, Kam Fai:
From CLP LPT Group B</t>
      </text>
    </comment>
    <comment ref="A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student housing, need to add when talking about student housing
Reply:
    Currently not included in the CLP total.</t>
      </text>
    </comment>
    <comment ref="A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HPC4
Reply:
    already included in EC data, no need to double count
Reply:
    already part of CLP total</t>
      </text>
    </comment>
    <comment ref="K2" authorId="0" shapeId="0">
      <text>
        <t>CHONG, Kam Fai:
Waiting old data for revision</t>
      </text>
    </comment>
    <comment ref="N44" authorId="0" shapeId="0">
      <text>
        <t>CHONG, Kam Fai:
By interpolation</t>
      </text>
    </comment>
    <comment ref="G69" authorId="0" shapeId="0">
      <text>
        <t>CHONG, Kam Fai:
First Month in Operation</t>
      </text>
    </comment>
    <comment ref="Q69" authorId="0" shapeId="0">
      <text>
        <t>CHONG, Kam Fai:
First Month In Operation</t>
      </text>
    </comment>
    <comment ref="X93" authorId="5" shapeId="0">
      <text>
        <t xml:space="preserve">CHAN, Joyce:
UG9 reading is lost due to meter replacement. July consumption is used as a reference.  </t>
      </text>
    </comment>
    <comment ref="H95" authorId="5" shapeId="0">
      <text>
        <t xml:space="preserve">CHAN, Joyce:
Data Hall Rm2113 consumption added
</t>
      </text>
    </comment>
    <comment ref="AA14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CMO Electricity Excel Originally Put 287,750 as the value, but it contained no formula. It was corrected by subtracting the "Commercial Outlets" value from the "Staff Quarters &amp; Commercial Outlets" value.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43</col>
      <colOff>956453</colOff>
      <row>7</row>
      <rowOff>190084</rowOff>
    </from>
    <to>
      <col>61</col>
      <colOff>594178</colOff>
      <row>51</row>
      <rowOff>166912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6"/>
  <sheetViews>
    <sheetView zoomScale="68" zoomScaleNormal="100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AL135" sqref="AL135"/>
    </sheetView>
  </sheetViews>
  <sheetFormatPr baseColWidth="10" defaultColWidth="8.6640625" defaultRowHeight="16"/>
  <cols>
    <col width="10.1640625" bestFit="1" customWidth="1" style="55" min="1" max="1"/>
    <col width="13.33203125" customWidth="1" style="55" min="2" max="2"/>
    <col width="15.6640625" customWidth="1" style="55" min="3" max="3"/>
    <col width="13.1640625" customWidth="1" style="55" min="4" max="4"/>
    <col width="13.33203125" customWidth="1" style="55" min="5" max="5"/>
    <col width="9.33203125" bestFit="1" customWidth="1" style="55" min="6" max="6"/>
    <col width="10.6640625" customWidth="1" style="55" min="7" max="7"/>
    <col width="13.33203125" customWidth="1" style="55" min="8" max="8"/>
    <col width="16.1640625" customWidth="1" style="55" min="9" max="9"/>
    <col width="10.6640625" customWidth="1" style="55" min="10" max="10"/>
    <col width="9.33203125" bestFit="1" customWidth="1" style="55" min="11" max="11"/>
    <col width="13.33203125" customWidth="1" style="55" min="12" max="12"/>
    <col hidden="1" width="9" customWidth="1" style="55" min="13" max="13"/>
    <col width="10.6640625" customWidth="1" style="55" min="14" max="14"/>
    <col width="9.33203125" bestFit="1" customWidth="1" style="55" min="15" max="17"/>
    <col width="9.33203125" customWidth="1" style="55" min="18" max="22"/>
    <col width="10.6640625" customWidth="1" style="55" min="23" max="24"/>
    <col width="15.6640625" customWidth="1" style="55" min="25" max="25"/>
    <col width="13.33203125" customWidth="1" style="55" min="26" max="26"/>
    <col width="10.6640625" customWidth="1" style="55" min="27" max="27"/>
    <col width="12.33203125" customWidth="1" style="55" min="28" max="28"/>
    <col width="3.33203125" customWidth="1" style="177" min="29" max="29"/>
    <col width="10.6640625" customWidth="1" style="55" min="30" max="30"/>
    <col width="13.33203125" bestFit="1" customWidth="1" style="55" min="31" max="31"/>
    <col width="13.33203125" customWidth="1" style="55" min="32" max="36"/>
    <col width="13" customWidth="1" style="55" min="37" max="37"/>
    <col width="2.5703125" customWidth="1" style="55" min="38" max="38"/>
    <col width="10.140625" customWidth="1" style="55" min="39" max="39"/>
    <col width="9.28515625" customWidth="1" style="55" min="40" max="40"/>
    <col width="8.6640625" customWidth="1" style="55" min="41" max="43"/>
    <col width="12.6640625" bestFit="1" customWidth="1" style="55" min="44" max="44"/>
    <col width="8.6640625" customWidth="1" style="55" min="45" max="16384"/>
  </cols>
  <sheetData>
    <row r="1" ht="86" customFormat="1" customHeight="1" s="621" thickBot="1">
      <c r="A1" s="251" t="inlineStr">
        <is>
          <t>Period</t>
        </is>
      </c>
      <c r="B1" s="252" t="inlineStr">
        <is>
          <t>CLP Total</t>
        </is>
      </c>
      <c r="C1" s="169" t="inlineStr">
        <is>
          <t>Main Academic Buildings &amp; Other Public Facilities</t>
        </is>
      </c>
      <c r="D1" s="170" t="inlineStr">
        <is>
          <t>EC</t>
        </is>
      </c>
      <c r="E1" s="170" t="inlineStr">
        <is>
          <t>CYT</t>
        </is>
      </c>
      <c r="F1" s="170" t="inlineStr">
        <is>
          <t>Shaw Auditorium</t>
        </is>
      </c>
      <c r="G1" s="170" t="inlineStr">
        <is>
          <t>APCF 
(R/F Zone L)</t>
        </is>
      </c>
      <c r="H1" s="170" t="inlineStr">
        <is>
          <t>New Data Centre 
(2/F Zone L)</t>
        </is>
      </c>
      <c r="I1" s="170" t="inlineStr">
        <is>
          <t>Main Chiller Plant</t>
        </is>
      </c>
      <c r="J1" s="172" t="inlineStr">
        <is>
          <t>LSKBB</t>
        </is>
      </c>
      <c r="K1" s="172" t="inlineStr">
        <is>
          <t>IAS</t>
        </is>
      </c>
      <c r="L1" s="172" t="inlineStr">
        <is>
          <t>Conference Lodge</t>
        </is>
      </c>
      <c r="M1" s="172" t="inlineStr">
        <is>
          <t>LSK Hostel</t>
        </is>
      </c>
      <c r="N1" s="172" t="inlineStr">
        <is>
          <t>LSK Chiller Plant</t>
        </is>
      </c>
      <c r="O1" s="174" t="inlineStr">
        <is>
          <t>WWT</t>
        </is>
      </c>
      <c r="P1" s="174" t="inlineStr">
        <is>
          <t>Water Sport Centre</t>
        </is>
      </c>
      <c r="Q1" s="174" t="inlineStr">
        <is>
          <t>SISC</t>
        </is>
      </c>
      <c r="R1" s="567" t="inlineStr">
        <is>
          <t>HPC5</t>
        </is>
      </c>
      <c r="S1" s="568" t="inlineStr">
        <is>
          <t>RB2</t>
        </is>
      </c>
      <c r="T1" s="170" t="inlineStr">
        <is>
          <t>IB</t>
        </is>
      </c>
      <c r="U1" s="175" t="inlineStr">
        <is>
          <t>SRD (UG10-13)</t>
        </is>
      </c>
      <c r="V1" s="175" t="inlineStr">
        <is>
          <t>TA-B</t>
        </is>
      </c>
      <c r="W1" s="175" t="inlineStr">
        <is>
          <t>GGT</t>
        </is>
      </c>
      <c r="X1" s="175" t="inlineStr">
        <is>
          <t>Student Housing UG1-UG9, PG1-PG2</t>
        </is>
      </c>
      <c r="Y1" s="510" t="inlineStr">
        <is>
          <t xml:space="preserve">Staff Quarters &amp; Commercial Outlets </t>
        </is>
      </c>
      <c r="Z1" s="511" t="inlineStr">
        <is>
          <t>Commercial Outlets</t>
        </is>
      </c>
      <c r="AA1" s="510" t="inlineStr">
        <is>
          <t>Staff Quarters</t>
        </is>
      </c>
      <c r="AB1" s="253" t="inlineStr">
        <is>
          <t>Combined Chiller Plants</t>
        </is>
      </c>
      <c r="AC1" s="569" t="n"/>
      <c r="AD1" s="570" t="inlineStr">
        <is>
          <t>TKO JC Hall</t>
        </is>
      </c>
      <c r="AE1" s="571" t="inlineStr">
        <is>
          <t>EC 3/F Data Centre (Elect)</t>
        </is>
      </c>
      <c r="AF1" s="571" t="inlineStr">
        <is>
          <t>EC 3/F Data Centre (Chiller kWhe)</t>
        </is>
      </c>
      <c r="AG1" s="572" t="inlineStr">
        <is>
          <t>SRD (Chiller kWhe)</t>
        </is>
      </c>
      <c r="AH1" s="572" t="inlineStr">
        <is>
          <t>IB (Chiller kWhe)</t>
        </is>
      </c>
      <c r="AI1" s="573" t="inlineStr">
        <is>
          <t>BMW EV Charger kWh (LG7 &amp; WWT)</t>
        </is>
      </c>
      <c r="AJ1" s="573" t="inlineStr">
        <is>
          <t>Corner Stone EV Charger kWh</t>
        </is>
      </c>
      <c r="AK1" s="679" t="inlineStr">
        <is>
          <t>TEST BUILDING 1</t>
        </is>
      </c>
      <c r="AM1" s="679" t="inlineStr">
        <is>
          <t>TEST BUILDING 2</t>
        </is>
      </c>
      <c r="AO1" s="621" t="inlineStr">
        <is>
          <t>On-Campus Buildings 12-Month Rolling Sum</t>
        </is>
      </c>
      <c r="AP1" s="621" t="inlineStr">
        <is>
          <t>Total + TKOJCH</t>
        </is>
      </c>
      <c r="AQ1" s="621" t="inlineStr">
        <is>
          <t>On-Campus Buildings Monthly Total</t>
        </is>
      </c>
      <c r="AR1" s="621" t="inlineStr">
        <is>
          <t>Monthly Total + TKOJCH</t>
        </is>
      </c>
    </row>
    <row r="2">
      <c r="A2" s="254" t="n">
        <v>41640</v>
      </c>
      <c r="B2" s="255" t="n">
        <v>5938547</v>
      </c>
      <c r="C2" s="255" t="n">
        <v>3924710</v>
      </c>
      <c r="D2" s="255" t="n">
        <v>190811</v>
      </c>
      <c r="E2" s="255" t="n">
        <v>41274</v>
      </c>
      <c r="F2" s="255" t="n">
        <v>0</v>
      </c>
      <c r="G2" s="255" t="n">
        <v>0</v>
      </c>
      <c r="H2" s="255" t="n">
        <v>0</v>
      </c>
      <c r="I2" s="255" t="n">
        <v>500427</v>
      </c>
      <c r="J2" s="255" t="n">
        <v>205345</v>
      </c>
      <c r="K2" s="255" t="n">
        <v>44678</v>
      </c>
      <c r="L2" s="255" t="n">
        <v>0</v>
      </c>
      <c r="M2" s="255" t="n">
        <v>0</v>
      </c>
      <c r="N2" s="255" t="n">
        <v>48446</v>
      </c>
      <c r="O2" s="255" t="n">
        <v>59654</v>
      </c>
      <c r="P2" s="255" t="n">
        <v>0</v>
      </c>
      <c r="Q2" s="255" t="n">
        <v>0</v>
      </c>
      <c r="R2" s="255" t="n"/>
      <c r="S2" s="255" t="n"/>
      <c r="T2" s="255" t="n"/>
      <c r="U2" s="255" t="n"/>
      <c r="V2" s="255" t="n"/>
      <c r="W2" s="255" t="n">
        <v>0</v>
      </c>
      <c r="X2" s="255" t="n">
        <v>361571</v>
      </c>
      <c r="Y2" s="255" t="n">
        <v>561631</v>
      </c>
      <c r="Z2" s="256" t="n">
        <v>229909</v>
      </c>
      <c r="AA2" s="257" t="n">
        <v>331722</v>
      </c>
      <c r="AB2" s="257" t="n">
        <v>548873</v>
      </c>
      <c r="AC2" s="574" t="n"/>
      <c r="AD2" s="575" t="n">
        <v>0</v>
      </c>
      <c r="AE2" s="255" t="n">
        <v>0</v>
      </c>
      <c r="AF2" s="255" t="n">
        <v>0</v>
      </c>
      <c r="AG2" s="255" t="n">
        <v>0</v>
      </c>
      <c r="AH2" s="255" t="n">
        <v>0</v>
      </c>
      <c r="AI2" s="255" t="n"/>
      <c r="AJ2" s="255" t="n"/>
      <c r="AK2" s="680" t="n">
        <v>0</v>
      </c>
      <c r="AM2" s="680" t="n">
        <v>0</v>
      </c>
      <c r="AO2" s="56" t="n"/>
      <c r="AQ2" s="56">
        <f>SUM(C2:Y2)</f>
        <v/>
      </c>
      <c r="AR2" s="56">
        <f>AM2+AD2</f>
        <v/>
      </c>
    </row>
    <row r="3">
      <c r="A3" s="254" t="n">
        <v>41671</v>
      </c>
      <c r="B3" s="255" t="n">
        <v>5888877</v>
      </c>
      <c r="C3" s="258" t="n">
        <v>3565612</v>
      </c>
      <c r="D3" s="255" t="n">
        <v>252064</v>
      </c>
      <c r="E3" s="258" t="n">
        <v>28315</v>
      </c>
      <c r="F3" s="255" t="n">
        <v>0</v>
      </c>
      <c r="G3" s="255" t="n">
        <v>0</v>
      </c>
      <c r="H3" s="255" t="n">
        <v>0</v>
      </c>
      <c r="I3" s="258" t="n">
        <v>502155</v>
      </c>
      <c r="J3" s="258" t="n">
        <v>290449</v>
      </c>
      <c r="K3" s="258" t="n">
        <v>56447</v>
      </c>
      <c r="L3" s="258" t="n">
        <v>0</v>
      </c>
      <c r="M3" s="255" t="n">
        <v>0</v>
      </c>
      <c r="N3" s="258" t="n">
        <v>47613</v>
      </c>
      <c r="O3" s="258" t="n">
        <v>47313</v>
      </c>
      <c r="P3" s="255" t="n">
        <v>0</v>
      </c>
      <c r="Q3" s="255" t="n">
        <v>0</v>
      </c>
      <c r="R3" s="255" t="n"/>
      <c r="S3" s="255" t="n"/>
      <c r="T3" s="255" t="n"/>
      <c r="U3" s="255" t="n"/>
      <c r="V3" s="255" t="n"/>
      <c r="W3" s="255" t="n">
        <v>0</v>
      </c>
      <c r="X3" s="258" t="n">
        <v>504993</v>
      </c>
      <c r="Y3" s="258" t="n">
        <v>593916</v>
      </c>
      <c r="Z3" s="259" t="n">
        <v>220164</v>
      </c>
      <c r="AA3" s="260" t="n">
        <v>373752</v>
      </c>
      <c r="AB3" s="260" t="n">
        <v>549768</v>
      </c>
      <c r="AC3" s="576" t="n"/>
      <c r="AD3" s="299" t="n">
        <v>0</v>
      </c>
      <c r="AE3" s="255" t="n">
        <v>0</v>
      </c>
      <c r="AF3" s="258" t="n">
        <v>0</v>
      </c>
      <c r="AG3" s="258" t="n">
        <v>0</v>
      </c>
      <c r="AH3" s="258" t="n">
        <v>0</v>
      </c>
      <c r="AI3" s="258" t="n"/>
      <c r="AJ3" s="258" t="n"/>
      <c r="AK3" s="681" t="n">
        <v>0</v>
      </c>
      <c r="AM3" s="681" t="n">
        <v>0</v>
      </c>
      <c r="AO3" s="56" t="n"/>
      <c r="AQ3" s="56">
        <f>SUM(C3:Y3)</f>
        <v/>
      </c>
      <c r="AR3" s="56">
        <f>AM3+AD3</f>
        <v/>
      </c>
    </row>
    <row r="4">
      <c r="A4" s="254" t="n">
        <v>41699</v>
      </c>
      <c r="B4" s="255" t="n">
        <v>6018786</v>
      </c>
      <c r="C4" s="258" t="n">
        <v>3680694</v>
      </c>
      <c r="D4" s="255" t="n">
        <v>185065</v>
      </c>
      <c r="E4" s="258" t="n">
        <v>40257</v>
      </c>
      <c r="F4" s="255" t="n">
        <v>0</v>
      </c>
      <c r="G4" s="255" t="n">
        <v>0</v>
      </c>
      <c r="H4" s="255" t="n">
        <v>0</v>
      </c>
      <c r="I4" s="258" t="n">
        <v>754593</v>
      </c>
      <c r="J4" s="258" t="n">
        <v>182485</v>
      </c>
      <c r="K4" s="258" t="n">
        <v>34491</v>
      </c>
      <c r="L4" s="258" t="n">
        <v>0</v>
      </c>
      <c r="M4" s="255" t="n">
        <v>0</v>
      </c>
      <c r="N4" s="258" t="n">
        <v>46854</v>
      </c>
      <c r="O4" s="258" t="n">
        <v>43566</v>
      </c>
      <c r="P4" s="255" t="n">
        <v>0</v>
      </c>
      <c r="Q4" s="255" t="n">
        <v>0</v>
      </c>
      <c r="R4" s="255" t="n"/>
      <c r="S4" s="255" t="n"/>
      <c r="T4" s="255" t="n"/>
      <c r="U4" s="255" t="n"/>
      <c r="V4" s="255" t="n"/>
      <c r="W4" s="255" t="n">
        <v>0</v>
      </c>
      <c r="X4" s="258" t="n">
        <v>511265</v>
      </c>
      <c r="Y4" s="258" t="n">
        <v>539516</v>
      </c>
      <c r="Z4" s="259" t="n">
        <v>247766</v>
      </c>
      <c r="AA4" s="260" t="n">
        <v>291750</v>
      </c>
      <c r="AB4" s="260" t="n">
        <v>801447</v>
      </c>
      <c r="AC4" s="576" t="n"/>
      <c r="AD4" s="299" t="n">
        <v>0</v>
      </c>
      <c r="AE4" s="255" t="n">
        <v>0</v>
      </c>
      <c r="AF4" s="258" t="n">
        <v>0</v>
      </c>
      <c r="AG4" s="258" t="n">
        <v>0</v>
      </c>
      <c r="AH4" s="258" t="n">
        <v>0</v>
      </c>
      <c r="AI4" s="258" t="n"/>
      <c r="AJ4" s="258" t="n"/>
      <c r="AK4" s="681" t="n">
        <v>0</v>
      </c>
      <c r="AM4" s="681" t="n">
        <v>0</v>
      </c>
      <c r="AO4" s="56" t="n"/>
      <c r="AQ4" s="56">
        <f>SUM(C4:Y4)</f>
        <v/>
      </c>
      <c r="AR4" s="56">
        <f>AM4+AD4</f>
        <v/>
      </c>
    </row>
    <row r="5">
      <c r="A5" s="254" t="n">
        <v>41730</v>
      </c>
      <c r="B5" s="255" t="n">
        <v>7488350</v>
      </c>
      <c r="C5" s="258" t="n">
        <v>4459315</v>
      </c>
      <c r="D5" s="255" t="n">
        <v>203049</v>
      </c>
      <c r="E5" s="258" t="n">
        <v>56946</v>
      </c>
      <c r="F5" s="255" t="n">
        <v>0</v>
      </c>
      <c r="G5" s="255" t="n">
        <v>0</v>
      </c>
      <c r="H5" s="255" t="n">
        <v>0</v>
      </c>
      <c r="I5" s="258" t="n">
        <v>1100944</v>
      </c>
      <c r="J5" s="258" t="n">
        <v>213938</v>
      </c>
      <c r="K5" s="258" t="n">
        <v>46284</v>
      </c>
      <c r="L5" s="258" t="n">
        <v>0</v>
      </c>
      <c r="M5" s="255" t="n">
        <v>0</v>
      </c>
      <c r="N5" s="258" t="n">
        <v>141417</v>
      </c>
      <c r="O5" s="258" t="n">
        <v>73814</v>
      </c>
      <c r="P5" s="255" t="n">
        <v>0</v>
      </c>
      <c r="Q5" s="255" t="n">
        <v>0</v>
      </c>
      <c r="R5" s="255" t="n"/>
      <c r="S5" s="255" t="n"/>
      <c r="T5" s="255" t="n"/>
      <c r="U5" s="255" t="n"/>
      <c r="V5" s="255" t="n"/>
      <c r="W5" s="255" t="n">
        <v>0</v>
      </c>
      <c r="X5" s="258" t="n">
        <v>612777</v>
      </c>
      <c r="Y5" s="258" t="n">
        <v>579866</v>
      </c>
      <c r="Z5" s="259" t="n">
        <v>295835</v>
      </c>
      <c r="AA5" s="260" t="n">
        <v>284031</v>
      </c>
      <c r="AB5" s="260" t="n">
        <v>1242361</v>
      </c>
      <c r="AC5" s="576" t="n"/>
      <c r="AD5" s="299" t="n">
        <v>0</v>
      </c>
      <c r="AE5" s="255" t="n">
        <v>0</v>
      </c>
      <c r="AF5" s="258" t="n">
        <v>0</v>
      </c>
      <c r="AG5" s="258" t="n">
        <v>0</v>
      </c>
      <c r="AH5" s="258" t="n">
        <v>0</v>
      </c>
      <c r="AI5" s="258" t="n"/>
      <c r="AJ5" s="258" t="n"/>
      <c r="AK5" s="681" t="n">
        <v>0</v>
      </c>
      <c r="AM5" s="681" t="n">
        <v>0</v>
      </c>
      <c r="AO5" s="56" t="n"/>
      <c r="AQ5" s="56">
        <f>SUM(C5:Y5)</f>
        <v/>
      </c>
      <c r="AR5" s="56">
        <f>AM5+AD5</f>
        <v/>
      </c>
    </row>
    <row r="6">
      <c r="A6" s="254" t="n">
        <v>41760</v>
      </c>
      <c r="B6" s="255" t="n">
        <v>7986119</v>
      </c>
      <c r="C6" s="258" t="n">
        <v>3816523</v>
      </c>
      <c r="D6" s="255" t="n">
        <v>345876</v>
      </c>
      <c r="E6" s="258" t="n">
        <v>89452</v>
      </c>
      <c r="F6" s="255" t="n">
        <v>0</v>
      </c>
      <c r="G6" s="255" t="n">
        <v>0</v>
      </c>
      <c r="H6" s="255" t="n">
        <v>0</v>
      </c>
      <c r="I6" s="258" t="n">
        <v>1749797</v>
      </c>
      <c r="J6" s="258" t="n">
        <v>224043</v>
      </c>
      <c r="K6" s="258" t="n">
        <v>103456</v>
      </c>
      <c r="L6" s="258" t="n">
        <v>0</v>
      </c>
      <c r="M6" s="255" t="n">
        <v>0</v>
      </c>
      <c r="N6" s="258" t="n">
        <v>170062</v>
      </c>
      <c r="O6" s="258" t="n">
        <v>82044</v>
      </c>
      <c r="P6" s="255" t="n">
        <v>0</v>
      </c>
      <c r="Q6" s="255" t="n">
        <v>0</v>
      </c>
      <c r="R6" s="255" t="n"/>
      <c r="S6" s="255" t="n"/>
      <c r="T6" s="255" t="n"/>
      <c r="U6" s="255" t="n"/>
      <c r="V6" s="255" t="n"/>
      <c r="W6" s="255" t="n">
        <v>0</v>
      </c>
      <c r="X6" s="258" t="n">
        <v>692230</v>
      </c>
      <c r="Y6" s="258" t="n">
        <v>712636</v>
      </c>
      <c r="Z6" s="259" t="n">
        <v>281303</v>
      </c>
      <c r="AA6" s="260" t="n">
        <v>431333</v>
      </c>
      <c r="AB6" s="260" t="n">
        <v>1919859</v>
      </c>
      <c r="AC6" s="576" t="n"/>
      <c r="AD6" s="299" t="n">
        <v>0</v>
      </c>
      <c r="AE6" s="255" t="n">
        <v>0</v>
      </c>
      <c r="AF6" s="258" t="n">
        <v>0</v>
      </c>
      <c r="AG6" s="258" t="n">
        <v>0</v>
      </c>
      <c r="AH6" s="258" t="n">
        <v>0</v>
      </c>
      <c r="AI6" s="258" t="n"/>
      <c r="AJ6" s="258" t="n"/>
      <c r="AK6" s="681" t="n">
        <v>0</v>
      </c>
      <c r="AM6" s="681" t="n">
        <v>0</v>
      </c>
      <c r="AO6" s="56" t="n"/>
      <c r="AQ6" s="56">
        <f>SUM(C6:Y6)</f>
        <v/>
      </c>
      <c r="AR6" s="56">
        <f>AM6+AD6</f>
        <v/>
      </c>
    </row>
    <row r="7">
      <c r="A7" s="254" t="n">
        <v>41791</v>
      </c>
      <c r="B7" s="255" t="n">
        <v>8876152</v>
      </c>
      <c r="C7" s="258" t="n">
        <v>4173507</v>
      </c>
      <c r="D7" s="255" t="n">
        <v>250379</v>
      </c>
      <c r="E7" s="258" t="n">
        <v>92936</v>
      </c>
      <c r="F7" s="255" t="n">
        <v>0</v>
      </c>
      <c r="G7" s="255" t="n">
        <v>0</v>
      </c>
      <c r="H7" s="255" t="n">
        <v>0</v>
      </c>
      <c r="I7" s="258" t="n">
        <v>2204099</v>
      </c>
      <c r="J7" s="258" t="n">
        <v>250703</v>
      </c>
      <c r="K7" s="258" t="n">
        <v>71494</v>
      </c>
      <c r="L7" s="258" t="n">
        <v>0</v>
      </c>
      <c r="M7" s="255" t="n">
        <v>0</v>
      </c>
      <c r="N7" s="258" t="n">
        <v>273139</v>
      </c>
      <c r="O7" s="258" t="n">
        <v>97780</v>
      </c>
      <c r="P7" s="255" t="n">
        <v>0</v>
      </c>
      <c r="Q7" s="255" t="n">
        <v>0</v>
      </c>
      <c r="R7" s="255" t="n"/>
      <c r="S7" s="255" t="n"/>
      <c r="T7" s="255" t="n"/>
      <c r="U7" s="255" t="n"/>
      <c r="V7" s="255" t="n"/>
      <c r="W7" s="255" t="n">
        <v>0</v>
      </c>
      <c r="X7" s="258" t="n">
        <v>574711</v>
      </c>
      <c r="Y7" s="258" t="n">
        <v>887404</v>
      </c>
      <c r="Z7" s="259" t="n">
        <v>266840</v>
      </c>
      <c r="AA7" s="260" t="n">
        <v>620564</v>
      </c>
      <c r="AB7" s="260" t="n">
        <v>2477238</v>
      </c>
      <c r="AC7" s="576" t="n"/>
      <c r="AD7" s="299" t="n">
        <v>0</v>
      </c>
      <c r="AE7" s="255" t="n">
        <v>0</v>
      </c>
      <c r="AF7" s="258" t="n">
        <v>0</v>
      </c>
      <c r="AG7" s="258" t="n">
        <v>0</v>
      </c>
      <c r="AH7" s="258" t="n">
        <v>0</v>
      </c>
      <c r="AI7" s="258" t="n"/>
      <c r="AJ7" s="258" t="n"/>
      <c r="AK7" s="681" t="n">
        <v>0</v>
      </c>
      <c r="AM7" s="681" t="n">
        <v>0</v>
      </c>
      <c r="AO7" s="56" t="n"/>
      <c r="AQ7" s="56">
        <f>SUM(C7:Y7)</f>
        <v/>
      </c>
      <c r="AR7" s="56">
        <f>AM7+AD7</f>
        <v/>
      </c>
    </row>
    <row r="8">
      <c r="A8" s="254" t="n">
        <v>41821</v>
      </c>
      <c r="B8" s="255" t="n">
        <v>9340526</v>
      </c>
      <c r="C8" s="255" t="n">
        <v>4361073</v>
      </c>
      <c r="D8" s="255" t="n">
        <v>221804</v>
      </c>
      <c r="E8" s="255" t="n">
        <v>97729</v>
      </c>
      <c r="F8" s="255" t="n">
        <v>0</v>
      </c>
      <c r="G8" s="255" t="n">
        <v>0</v>
      </c>
      <c r="H8" s="255" t="n">
        <v>0</v>
      </c>
      <c r="I8" s="255" t="n">
        <v>2443732</v>
      </c>
      <c r="J8" s="255" t="n">
        <v>225313</v>
      </c>
      <c r="K8" s="255" t="n">
        <v>48903</v>
      </c>
      <c r="L8" s="255" t="n">
        <v>0</v>
      </c>
      <c r="M8" s="255" t="n">
        <v>0</v>
      </c>
      <c r="N8" s="255" t="n">
        <v>246402</v>
      </c>
      <c r="O8" s="255" t="n">
        <v>109439</v>
      </c>
      <c r="P8" s="255" t="n">
        <v>0</v>
      </c>
      <c r="Q8" s="255" t="n">
        <v>0</v>
      </c>
      <c r="R8" s="255" t="n"/>
      <c r="S8" s="255" t="n"/>
      <c r="T8" s="255" t="n"/>
      <c r="U8" s="255" t="n"/>
      <c r="V8" s="255" t="n"/>
      <c r="W8" s="255" t="n">
        <v>0</v>
      </c>
      <c r="X8" s="261" t="n">
        <v>687729</v>
      </c>
      <c r="Y8" s="258" t="n">
        <v>898402</v>
      </c>
      <c r="Z8" s="259" t="n">
        <v>274134</v>
      </c>
      <c r="AA8" s="260" t="n">
        <v>624268</v>
      </c>
      <c r="AB8" s="260" t="n">
        <v>2690134</v>
      </c>
      <c r="AC8" s="576" t="n"/>
      <c r="AD8" s="299" t="n">
        <v>0</v>
      </c>
      <c r="AE8" s="255" t="n">
        <v>0</v>
      </c>
      <c r="AF8" s="258" t="n">
        <v>0</v>
      </c>
      <c r="AG8" s="258" t="n">
        <v>0</v>
      </c>
      <c r="AH8" s="258" t="n">
        <v>0</v>
      </c>
      <c r="AI8" s="258" t="n"/>
      <c r="AJ8" s="258" t="n"/>
      <c r="AK8" s="680" t="n">
        <v>0</v>
      </c>
      <c r="AM8" s="680" t="n">
        <v>0</v>
      </c>
      <c r="AO8" s="56" t="n"/>
      <c r="AQ8" s="56">
        <f>SUM(C8:Y8)</f>
        <v/>
      </c>
      <c r="AR8" s="56">
        <f>AM8+AD8</f>
        <v/>
      </c>
      <c r="AS8" s="621" t="inlineStr">
        <is>
          <t>New building: after 2014</t>
        </is>
      </c>
    </row>
    <row r="9">
      <c r="A9" s="262" t="n">
        <v>41852</v>
      </c>
      <c r="B9" s="258" t="n">
        <v>8583907</v>
      </c>
      <c r="C9" s="258" t="n">
        <v>3673176</v>
      </c>
      <c r="D9" s="255" t="n">
        <v>228122</v>
      </c>
      <c r="E9" s="258" t="n">
        <v>146934</v>
      </c>
      <c r="F9" s="255" t="n">
        <v>0</v>
      </c>
      <c r="G9" s="255" t="n">
        <v>0</v>
      </c>
      <c r="H9" s="255" t="n">
        <v>0</v>
      </c>
      <c r="I9" s="258" t="n">
        <v>2460070</v>
      </c>
      <c r="J9" s="258" t="n">
        <v>232978</v>
      </c>
      <c r="K9" s="258" t="n">
        <v>53454</v>
      </c>
      <c r="L9" s="258" t="n">
        <v>0</v>
      </c>
      <c r="M9" s="255" t="n">
        <v>0</v>
      </c>
      <c r="N9" s="258" t="n">
        <v>275655</v>
      </c>
      <c r="O9" s="263" t="n">
        <v>99316</v>
      </c>
      <c r="P9" s="255" t="n">
        <v>0</v>
      </c>
      <c r="Q9" s="255" t="n">
        <v>0</v>
      </c>
      <c r="R9" s="255" t="n"/>
      <c r="S9" s="255" t="n"/>
      <c r="T9" s="255" t="n"/>
      <c r="U9" s="255" t="n"/>
      <c r="V9" s="255" t="n"/>
      <c r="W9" s="255" t="n">
        <v>0</v>
      </c>
      <c r="X9" s="263" t="n">
        <v>624042</v>
      </c>
      <c r="Y9" s="258" t="n">
        <v>790160</v>
      </c>
      <c r="Z9" s="259" t="n">
        <v>264880</v>
      </c>
      <c r="AA9" s="260" t="n">
        <v>525280</v>
      </c>
      <c r="AB9" s="260" t="n">
        <v>2735725</v>
      </c>
      <c r="AC9" s="576" t="n"/>
      <c r="AD9" s="299" t="n">
        <v>0</v>
      </c>
      <c r="AE9" s="255" t="n">
        <v>0</v>
      </c>
      <c r="AF9" s="258" t="n">
        <v>0</v>
      </c>
      <c r="AG9" s="258" t="n">
        <v>0</v>
      </c>
      <c r="AH9" s="258" t="n">
        <v>0</v>
      </c>
      <c r="AI9" s="258" t="n"/>
      <c r="AJ9" s="258" t="n"/>
      <c r="AK9" s="682" t="n">
        <v>0</v>
      </c>
      <c r="AM9" s="682" t="n">
        <v>0</v>
      </c>
      <c r="AO9" s="56" t="n"/>
      <c r="AQ9" s="56">
        <f>SUM(C9:Y9)</f>
        <v/>
      </c>
      <c r="AR9" s="56">
        <f>AM9+AD9</f>
        <v/>
      </c>
      <c r="AS9" s="621" t="inlineStr">
        <is>
          <t>Old building: before 2014</t>
        </is>
      </c>
    </row>
    <row r="10">
      <c r="A10" s="262" t="n">
        <v>41883</v>
      </c>
      <c r="B10" s="258" t="n">
        <v>10023872</v>
      </c>
      <c r="C10" s="258" t="n">
        <v>4469625</v>
      </c>
      <c r="D10" s="255" t="n">
        <v>276014</v>
      </c>
      <c r="E10" s="258" t="n">
        <v>132812</v>
      </c>
      <c r="F10" s="255" t="n">
        <v>0</v>
      </c>
      <c r="G10" s="255" t="n">
        <v>0</v>
      </c>
      <c r="H10" s="255" t="n">
        <v>0</v>
      </c>
      <c r="I10" s="258" t="n">
        <v>2515785</v>
      </c>
      <c r="J10" s="258" t="n">
        <v>269881</v>
      </c>
      <c r="K10" s="258" t="n">
        <v>79871</v>
      </c>
      <c r="L10" s="258" t="n">
        <v>0</v>
      </c>
      <c r="M10" s="255" t="n">
        <v>0</v>
      </c>
      <c r="N10" s="258" t="n">
        <v>307475</v>
      </c>
      <c r="O10" s="263" t="n">
        <v>89352</v>
      </c>
      <c r="P10" s="255" t="n">
        <v>0</v>
      </c>
      <c r="Q10" s="255" t="n">
        <v>0</v>
      </c>
      <c r="R10" s="255" t="n"/>
      <c r="S10" s="255" t="n"/>
      <c r="T10" s="255" t="n"/>
      <c r="U10" s="255" t="n"/>
      <c r="V10" s="255" t="n"/>
      <c r="W10" s="255" t="n">
        <v>0</v>
      </c>
      <c r="X10" s="263" t="n">
        <v>956639</v>
      </c>
      <c r="Y10" s="258" t="n">
        <v>926418</v>
      </c>
      <c r="Z10" s="259" t="n">
        <v>311968</v>
      </c>
      <c r="AA10" s="260" t="n">
        <v>614450</v>
      </c>
      <c r="AB10" s="260" t="n">
        <v>2823260</v>
      </c>
      <c r="AC10" s="576" t="n"/>
      <c r="AD10" s="299" t="n">
        <v>0</v>
      </c>
      <c r="AE10" s="255" t="n">
        <v>0</v>
      </c>
      <c r="AF10" s="258" t="n">
        <v>0</v>
      </c>
      <c r="AG10" s="258" t="n">
        <v>0</v>
      </c>
      <c r="AH10" s="258" t="n">
        <v>0</v>
      </c>
      <c r="AI10" s="258" t="n"/>
      <c r="AJ10" s="258" t="n"/>
      <c r="AK10" s="682" t="n">
        <v>0</v>
      </c>
      <c r="AM10" s="682" t="n">
        <v>0</v>
      </c>
      <c r="AO10" s="56" t="n"/>
      <c r="AQ10" s="56">
        <f>SUM(C10:Y10)</f>
        <v/>
      </c>
      <c r="AR10" s="56">
        <f>AM10+AD10</f>
        <v/>
      </c>
    </row>
    <row r="11">
      <c r="A11" s="262" t="n">
        <v>41913</v>
      </c>
      <c r="B11" s="258" t="n">
        <v>8035429</v>
      </c>
      <c r="C11" s="258" t="n">
        <v>4049333</v>
      </c>
      <c r="D11" s="255" t="n">
        <v>203926</v>
      </c>
      <c r="E11" s="258" t="n">
        <v>145929</v>
      </c>
      <c r="F11" s="255" t="n">
        <v>0</v>
      </c>
      <c r="G11" s="255" t="n">
        <v>0</v>
      </c>
      <c r="H11" s="255" t="n">
        <v>0</v>
      </c>
      <c r="I11" s="258" t="n">
        <v>1763222</v>
      </c>
      <c r="J11" s="258" t="n">
        <v>248622</v>
      </c>
      <c r="K11" s="258" t="n">
        <v>39903</v>
      </c>
      <c r="L11" s="258" t="n">
        <v>0</v>
      </c>
      <c r="M11" s="255" t="n">
        <v>0</v>
      </c>
      <c r="N11" s="258" t="n">
        <v>153059</v>
      </c>
      <c r="O11" s="263" t="n">
        <v>89097</v>
      </c>
      <c r="P11" s="255" t="n">
        <v>0</v>
      </c>
      <c r="Q11" s="255" t="n">
        <v>0</v>
      </c>
      <c r="R11" s="255" t="n"/>
      <c r="S11" s="255" t="n"/>
      <c r="T11" s="255" t="n"/>
      <c r="U11" s="255" t="n"/>
      <c r="V11" s="255" t="n"/>
      <c r="W11" s="255" t="n">
        <v>0</v>
      </c>
      <c r="X11" s="263" t="n">
        <v>708839</v>
      </c>
      <c r="Y11" s="258" t="n">
        <v>633499</v>
      </c>
      <c r="Z11" s="259" t="n">
        <v>297097</v>
      </c>
      <c r="AA11" s="260" t="n">
        <v>336402</v>
      </c>
      <c r="AB11" s="260" t="n">
        <v>1916281</v>
      </c>
      <c r="AC11" s="576" t="n"/>
      <c r="AD11" s="299" t="n">
        <v>0</v>
      </c>
      <c r="AE11" s="255" t="n">
        <v>0</v>
      </c>
      <c r="AF11" s="258" t="n">
        <v>0</v>
      </c>
      <c r="AG11" s="258" t="n">
        <v>0</v>
      </c>
      <c r="AH11" s="258" t="n">
        <v>0</v>
      </c>
      <c r="AI11" s="258" t="n"/>
      <c r="AJ11" s="258" t="n"/>
      <c r="AK11" s="682" t="n">
        <v>0</v>
      </c>
      <c r="AM11" s="682" t="n">
        <v>0</v>
      </c>
      <c r="AO11" s="56" t="n"/>
      <c r="AQ11" s="56">
        <f>SUM(C11:Y11)</f>
        <v/>
      </c>
      <c r="AR11" s="56">
        <f>AM11+AD11</f>
        <v/>
      </c>
    </row>
    <row r="12">
      <c r="A12" s="262" t="n">
        <v>41944</v>
      </c>
      <c r="B12" s="258" t="n">
        <v>6858052</v>
      </c>
      <c r="C12" s="258" t="n">
        <v>3872340</v>
      </c>
      <c r="D12" s="255" t="n">
        <v>214292</v>
      </c>
      <c r="E12" s="258" t="n">
        <v>95091</v>
      </c>
      <c r="F12" s="255" t="n">
        <v>0</v>
      </c>
      <c r="G12" s="255" t="n">
        <v>0</v>
      </c>
      <c r="H12" s="255" t="n">
        <v>0</v>
      </c>
      <c r="I12" s="258" t="n">
        <v>1119362</v>
      </c>
      <c r="J12" s="258" t="n">
        <v>267023</v>
      </c>
      <c r="K12" s="258" t="n">
        <v>50426</v>
      </c>
      <c r="L12" s="258" t="n">
        <v>0</v>
      </c>
      <c r="M12" s="255" t="n">
        <v>0</v>
      </c>
      <c r="N12" s="258" t="n">
        <v>153510</v>
      </c>
      <c r="O12" s="263" t="n">
        <v>76299</v>
      </c>
      <c r="P12" s="255" t="n">
        <v>0</v>
      </c>
      <c r="Q12" s="255" t="n">
        <v>0</v>
      </c>
      <c r="R12" s="255" t="n"/>
      <c r="S12" s="255" t="n"/>
      <c r="T12" s="255" t="n"/>
      <c r="U12" s="255" t="n"/>
      <c r="V12" s="255" t="n"/>
      <c r="W12" s="255" t="n">
        <v>0</v>
      </c>
      <c r="X12" s="263" t="n">
        <v>532301</v>
      </c>
      <c r="Y12" s="258" t="n">
        <v>477408</v>
      </c>
      <c r="Z12" s="259" t="n">
        <v>276436</v>
      </c>
      <c r="AA12" s="260" t="n">
        <v>200972</v>
      </c>
      <c r="AB12" s="260" t="n">
        <v>1272872</v>
      </c>
      <c r="AC12" s="576" t="n"/>
      <c r="AD12" s="299" t="n">
        <v>0</v>
      </c>
      <c r="AE12" s="255" t="n">
        <v>0</v>
      </c>
      <c r="AF12" s="258" t="n">
        <v>0</v>
      </c>
      <c r="AG12" s="258" t="n">
        <v>0</v>
      </c>
      <c r="AH12" s="258" t="n">
        <v>0</v>
      </c>
      <c r="AI12" s="258" t="n"/>
      <c r="AJ12" s="258" t="n"/>
      <c r="AK12" s="682" t="n">
        <v>0</v>
      </c>
      <c r="AM12" s="682" t="n">
        <v>0</v>
      </c>
      <c r="AO12" s="56" t="n"/>
      <c r="AQ12" s="56">
        <f>SUM(C12:Y12)</f>
        <v/>
      </c>
      <c r="AR12" s="56">
        <f>AM12+AD12</f>
        <v/>
      </c>
    </row>
    <row r="13">
      <c r="A13" s="262" t="n">
        <v>41974</v>
      </c>
      <c r="B13" s="258" t="n">
        <v>6405579</v>
      </c>
      <c r="C13" s="258" t="n">
        <v>3982954</v>
      </c>
      <c r="D13" s="255" t="n">
        <v>253212</v>
      </c>
      <c r="E13" s="258" t="n">
        <v>117318</v>
      </c>
      <c r="F13" s="255" t="n">
        <v>0</v>
      </c>
      <c r="G13" s="255" t="n">
        <v>0</v>
      </c>
      <c r="H13" s="255" t="n">
        <v>0</v>
      </c>
      <c r="I13" s="258" t="n">
        <v>548769</v>
      </c>
      <c r="J13" s="258" t="n">
        <v>246466</v>
      </c>
      <c r="K13" s="258" t="n">
        <v>71670</v>
      </c>
      <c r="L13" s="258" t="n">
        <v>0</v>
      </c>
      <c r="M13" s="255" t="n">
        <v>0</v>
      </c>
      <c r="N13" s="258" t="n">
        <v>67209</v>
      </c>
      <c r="O13" s="263" t="n">
        <v>55450</v>
      </c>
      <c r="P13" s="255" t="n">
        <v>0</v>
      </c>
      <c r="Q13" s="255" t="n">
        <v>0</v>
      </c>
      <c r="R13" s="255" t="n"/>
      <c r="S13" s="255" t="n"/>
      <c r="T13" s="255" t="n"/>
      <c r="U13" s="255" t="n"/>
      <c r="V13" s="255" t="n"/>
      <c r="W13" s="255" t="n">
        <v>0</v>
      </c>
      <c r="X13" s="263" t="n">
        <v>483170</v>
      </c>
      <c r="Y13" s="258" t="n">
        <v>579361</v>
      </c>
      <c r="Z13" s="259" t="n">
        <v>281511</v>
      </c>
      <c r="AA13" s="260" t="n">
        <v>297850</v>
      </c>
      <c r="AB13" s="260" t="n">
        <v>615978</v>
      </c>
      <c r="AC13" s="576" t="n"/>
      <c r="AD13" s="299" t="n">
        <v>0</v>
      </c>
      <c r="AE13" s="255" t="n">
        <v>0</v>
      </c>
      <c r="AF13" s="258" t="n">
        <v>0</v>
      </c>
      <c r="AG13" s="258" t="n">
        <v>0</v>
      </c>
      <c r="AH13" s="258" t="n">
        <v>0</v>
      </c>
      <c r="AI13" s="258" t="n"/>
      <c r="AJ13" s="258" t="n"/>
      <c r="AK13" s="682" t="n">
        <v>0</v>
      </c>
      <c r="AM13" s="682" t="n">
        <v>0</v>
      </c>
      <c r="AO13" s="56" t="n"/>
      <c r="AQ13" s="56">
        <f>SUM(C13:Y13)</f>
        <v/>
      </c>
      <c r="AR13" s="56">
        <f>AM13+AD13</f>
        <v/>
      </c>
    </row>
    <row r="14">
      <c r="A14" s="264" t="n">
        <v>42005</v>
      </c>
      <c r="B14" s="265" t="n">
        <v>6037637</v>
      </c>
      <c r="C14" s="265" t="n">
        <v>3908677</v>
      </c>
      <c r="D14" s="265" t="n">
        <v>195665</v>
      </c>
      <c r="E14" s="265" t="n">
        <v>99565</v>
      </c>
      <c r="F14" s="265" t="n">
        <v>0</v>
      </c>
      <c r="G14" s="265" t="n">
        <v>0</v>
      </c>
      <c r="H14" s="265" t="n">
        <v>0</v>
      </c>
      <c r="I14" s="265" t="n">
        <v>544141</v>
      </c>
      <c r="J14" s="265" t="n">
        <v>233787</v>
      </c>
      <c r="K14" s="265" t="n">
        <v>42271</v>
      </c>
      <c r="L14" s="265" t="n">
        <v>0</v>
      </c>
      <c r="M14" s="266" t="n">
        <v>0</v>
      </c>
      <c r="N14" s="265" t="n">
        <v>40400</v>
      </c>
      <c r="O14" s="266" t="n">
        <v>48517</v>
      </c>
      <c r="P14" s="266" t="n">
        <v>0</v>
      </c>
      <c r="Q14" s="266" t="n">
        <v>0</v>
      </c>
      <c r="R14" s="266" t="n"/>
      <c r="S14" s="266" t="n"/>
      <c r="T14" s="266" t="n"/>
      <c r="U14" s="266" t="n"/>
      <c r="V14" s="266" t="n"/>
      <c r="W14" s="266" t="n">
        <v>0</v>
      </c>
      <c r="X14" s="266" t="n">
        <v>377084</v>
      </c>
      <c r="Y14" s="265" t="n">
        <v>547530</v>
      </c>
      <c r="Z14" s="267" t="n">
        <v>262207</v>
      </c>
      <c r="AA14" s="268" t="n">
        <v>285323</v>
      </c>
      <c r="AB14" s="268" t="n">
        <v>584541</v>
      </c>
      <c r="AC14" s="576" t="n"/>
      <c r="AD14" s="300" t="n">
        <v>0</v>
      </c>
      <c r="AE14" s="266" t="n">
        <v>0</v>
      </c>
      <c r="AF14" s="266" t="n">
        <v>0</v>
      </c>
      <c r="AG14" s="266" t="n">
        <v>0</v>
      </c>
      <c r="AH14" s="266" t="n">
        <v>0</v>
      </c>
      <c r="AI14" s="266" t="n"/>
      <c r="AJ14" s="266" t="n"/>
      <c r="AK14" s="683" t="n">
        <v>0</v>
      </c>
      <c r="AM14" s="683" t="n">
        <v>0</v>
      </c>
      <c r="AO14" s="56" t="n"/>
      <c r="AQ14" s="56">
        <f>SUM(C14:Y14)</f>
        <v/>
      </c>
      <c r="AR14" s="56">
        <f>AM14+AD14</f>
        <v/>
      </c>
    </row>
    <row r="15">
      <c r="A15" s="264" t="n">
        <v>42036</v>
      </c>
      <c r="B15" s="265" t="n">
        <v>5695515</v>
      </c>
      <c r="C15" s="265" t="n">
        <v>3489436</v>
      </c>
      <c r="D15" s="265" t="n">
        <v>224244</v>
      </c>
      <c r="E15" s="265" t="n">
        <v>114195</v>
      </c>
      <c r="F15" s="265" t="n">
        <v>0</v>
      </c>
      <c r="G15" s="265" t="n">
        <v>0</v>
      </c>
      <c r="H15" s="265" t="n">
        <v>0</v>
      </c>
      <c r="I15" s="265" t="n">
        <v>515349</v>
      </c>
      <c r="J15" s="265" t="n">
        <v>235819</v>
      </c>
      <c r="K15" s="265" t="n">
        <v>56423</v>
      </c>
      <c r="L15" s="265" t="n">
        <v>0</v>
      </c>
      <c r="M15" s="266" t="n">
        <v>0</v>
      </c>
      <c r="N15" s="265" t="n">
        <v>52158</v>
      </c>
      <c r="O15" s="266" t="n">
        <v>49783</v>
      </c>
      <c r="P15" s="266" t="n">
        <v>0</v>
      </c>
      <c r="Q15" s="266" t="n">
        <v>0</v>
      </c>
      <c r="R15" s="266" t="n"/>
      <c r="S15" s="266" t="n"/>
      <c r="T15" s="266" t="n"/>
      <c r="U15" s="266" t="n"/>
      <c r="V15" s="266" t="n"/>
      <c r="W15" s="266" t="n">
        <v>0</v>
      </c>
      <c r="X15" s="266" t="n">
        <v>470725</v>
      </c>
      <c r="Y15" s="265" t="n">
        <v>487383</v>
      </c>
      <c r="Z15" s="267" t="n">
        <v>247789</v>
      </c>
      <c r="AA15" s="268" t="n">
        <v>239594</v>
      </c>
      <c r="AB15" s="268" t="n">
        <v>567507</v>
      </c>
      <c r="AC15" s="576" t="n"/>
      <c r="AD15" s="300" t="n">
        <v>0</v>
      </c>
      <c r="AE15" s="266" t="n">
        <v>0</v>
      </c>
      <c r="AF15" s="266" t="n">
        <v>0</v>
      </c>
      <c r="AG15" s="266" t="n">
        <v>0</v>
      </c>
      <c r="AH15" s="266" t="n">
        <v>0</v>
      </c>
      <c r="AI15" s="266" t="n"/>
      <c r="AJ15" s="266" t="n"/>
      <c r="AK15" s="683" t="n">
        <v>0</v>
      </c>
      <c r="AM15" s="683" t="n">
        <v>0</v>
      </c>
      <c r="AO15" s="56" t="n"/>
      <c r="AQ15" s="56">
        <f>SUM(C15:Y15)</f>
        <v/>
      </c>
      <c r="AR15" s="56">
        <f>AM15+AD15</f>
        <v/>
      </c>
    </row>
    <row r="16">
      <c r="A16" s="264" t="n">
        <v>42064</v>
      </c>
      <c r="B16" s="265" t="n">
        <v>6808373</v>
      </c>
      <c r="C16" s="265" t="n">
        <v>4118527</v>
      </c>
      <c r="D16" s="265" t="n">
        <v>218508</v>
      </c>
      <c r="E16" s="265" t="n">
        <v>125033</v>
      </c>
      <c r="F16" s="265" t="n">
        <v>0</v>
      </c>
      <c r="G16" s="265" t="n">
        <v>0</v>
      </c>
      <c r="H16" s="265" t="n">
        <v>0</v>
      </c>
      <c r="I16" s="265" t="n">
        <v>822631</v>
      </c>
      <c r="J16" s="265" t="n">
        <v>265435</v>
      </c>
      <c r="K16" s="265" t="n">
        <v>53193</v>
      </c>
      <c r="L16" s="265" t="n">
        <v>0</v>
      </c>
      <c r="M16" s="266" t="n">
        <v>0</v>
      </c>
      <c r="N16" s="265" t="n">
        <v>66141</v>
      </c>
      <c r="O16" s="266" t="n">
        <v>74567</v>
      </c>
      <c r="P16" s="266" t="n">
        <v>0</v>
      </c>
      <c r="Q16" s="266" t="n">
        <v>0</v>
      </c>
      <c r="R16" s="266" t="n"/>
      <c r="S16" s="266" t="n"/>
      <c r="T16" s="266" t="n"/>
      <c r="U16" s="266" t="n"/>
      <c r="V16" s="266" t="n"/>
      <c r="W16" s="266" t="n">
        <v>0</v>
      </c>
      <c r="X16" s="266" t="n">
        <v>503575</v>
      </c>
      <c r="Y16" s="265" t="n">
        <v>560763</v>
      </c>
      <c r="Z16" s="267" t="n">
        <v>302505</v>
      </c>
      <c r="AA16" s="268" t="n">
        <v>258258</v>
      </c>
      <c r="AB16" s="268" t="n">
        <v>888772</v>
      </c>
      <c r="AC16" s="576" t="n"/>
      <c r="AD16" s="300" t="n">
        <v>0</v>
      </c>
      <c r="AE16" s="266" t="n">
        <v>0</v>
      </c>
      <c r="AF16" s="266" t="n">
        <v>0</v>
      </c>
      <c r="AG16" s="266" t="n">
        <v>0</v>
      </c>
      <c r="AH16" s="266" t="n">
        <v>0</v>
      </c>
      <c r="AI16" s="266" t="n"/>
      <c r="AJ16" s="266" t="n"/>
      <c r="AK16" s="683" t="n">
        <v>0</v>
      </c>
      <c r="AM16" s="683" t="n">
        <v>0</v>
      </c>
      <c r="AO16" s="56" t="n"/>
      <c r="AQ16" s="56">
        <f>SUM(C16:Y16)</f>
        <v/>
      </c>
      <c r="AR16" s="56">
        <f>AM16+AD16</f>
        <v/>
      </c>
    </row>
    <row r="17">
      <c r="A17" s="264" t="n">
        <v>42095</v>
      </c>
      <c r="B17" s="265" t="n">
        <v>7375395</v>
      </c>
      <c r="C17" s="265" t="n">
        <v>4123782</v>
      </c>
      <c r="D17" s="265" t="n">
        <v>205482</v>
      </c>
      <c r="E17" s="265" t="n">
        <v>172615</v>
      </c>
      <c r="F17" s="265" t="n">
        <v>0</v>
      </c>
      <c r="G17" s="265" t="n">
        <v>0</v>
      </c>
      <c r="H17" s="265" t="n">
        <v>0</v>
      </c>
      <c r="I17" s="265" t="n">
        <v>1230463</v>
      </c>
      <c r="J17" s="265" t="n">
        <v>237697</v>
      </c>
      <c r="K17" s="265" t="n">
        <v>54391</v>
      </c>
      <c r="L17" s="265" t="n">
        <v>0</v>
      </c>
      <c r="M17" s="266" t="n">
        <v>0</v>
      </c>
      <c r="N17" s="265" t="n">
        <v>110064</v>
      </c>
      <c r="O17" s="265" t="n">
        <v>97242</v>
      </c>
      <c r="P17" s="266" t="n">
        <v>0</v>
      </c>
      <c r="Q17" s="266" t="n">
        <v>0</v>
      </c>
      <c r="R17" s="266" t="n"/>
      <c r="S17" s="266" t="n"/>
      <c r="T17" s="266" t="n"/>
      <c r="U17" s="266" t="n"/>
      <c r="V17" s="266" t="n"/>
      <c r="W17" s="266" t="n">
        <v>0</v>
      </c>
      <c r="X17" s="266" t="n">
        <v>593115</v>
      </c>
      <c r="Y17" s="265" t="n">
        <v>550544</v>
      </c>
      <c r="Z17" s="267" t="n">
        <v>303017</v>
      </c>
      <c r="AA17" s="268" t="n">
        <v>247527</v>
      </c>
      <c r="AB17" s="268" t="n">
        <v>1340527</v>
      </c>
      <c r="AC17" s="576" t="n"/>
      <c r="AD17" s="300" t="n">
        <v>0</v>
      </c>
      <c r="AE17" s="266" t="n">
        <v>0</v>
      </c>
      <c r="AF17" s="266" t="n">
        <v>0</v>
      </c>
      <c r="AG17" s="266" t="n">
        <v>0</v>
      </c>
      <c r="AH17" s="266" t="n">
        <v>0</v>
      </c>
      <c r="AI17" s="266" t="n"/>
      <c r="AJ17" s="266" t="n"/>
      <c r="AK17" s="684" t="n">
        <v>0</v>
      </c>
      <c r="AM17" s="684" t="n">
        <v>0</v>
      </c>
      <c r="AO17" s="56" t="n"/>
      <c r="AQ17" s="56">
        <f>SUM(C17:Y17)</f>
        <v/>
      </c>
      <c r="AR17" s="56">
        <f>AM17+AD17</f>
        <v/>
      </c>
    </row>
    <row r="18" ht="17" customHeight="1" thickBot="1">
      <c r="A18" s="264" t="n">
        <v>42125</v>
      </c>
      <c r="B18" s="265" t="n">
        <v>8190535</v>
      </c>
      <c r="C18" s="265" t="n">
        <v>3697825</v>
      </c>
      <c r="D18" s="265" t="n">
        <v>220809</v>
      </c>
      <c r="E18" s="265" t="n">
        <v>203655</v>
      </c>
      <c r="F18" s="265" t="n">
        <v>0</v>
      </c>
      <c r="G18" s="265" t="n">
        <v>0</v>
      </c>
      <c r="H18" s="265" t="n">
        <v>0</v>
      </c>
      <c r="I18" s="265" t="n">
        <v>2094261</v>
      </c>
      <c r="J18" s="265" t="n">
        <v>212132</v>
      </c>
      <c r="K18" s="265" t="n">
        <v>49088</v>
      </c>
      <c r="L18" s="265" t="n">
        <v>0</v>
      </c>
      <c r="M18" s="266" t="n">
        <v>0</v>
      </c>
      <c r="N18" s="265" t="n">
        <v>186711</v>
      </c>
      <c r="O18" s="265" t="n">
        <v>72445</v>
      </c>
      <c r="P18" s="266" t="n">
        <v>0</v>
      </c>
      <c r="Q18" s="266" t="n">
        <v>0</v>
      </c>
      <c r="R18" s="266" t="n"/>
      <c r="S18" s="266" t="n"/>
      <c r="T18" s="266" t="n"/>
      <c r="U18" s="266" t="n"/>
      <c r="V18" s="266" t="n"/>
      <c r="W18" s="266" t="n">
        <v>0</v>
      </c>
      <c r="X18" s="266" t="n">
        <v>777496</v>
      </c>
      <c r="Y18" s="265" t="n">
        <v>676113</v>
      </c>
      <c r="Z18" s="267" t="n">
        <v>293556</v>
      </c>
      <c r="AA18" s="268" t="n">
        <v>382557</v>
      </c>
      <c r="AB18" s="268" t="n">
        <v>2280972</v>
      </c>
      <c r="AC18" s="576" t="n"/>
      <c r="AD18" s="300" t="n">
        <v>0</v>
      </c>
      <c r="AE18" s="266" t="n">
        <v>0</v>
      </c>
      <c r="AF18" s="266" t="n">
        <v>0</v>
      </c>
      <c r="AG18" s="266" t="n">
        <v>0</v>
      </c>
      <c r="AH18" s="266" t="n">
        <v>0</v>
      </c>
      <c r="AI18" s="266" t="n"/>
      <c r="AJ18" s="266" t="n"/>
      <c r="AK18" s="684" t="n">
        <v>0</v>
      </c>
      <c r="AM18" s="684" t="n">
        <v>0</v>
      </c>
      <c r="AO18" s="56" t="n"/>
      <c r="AQ18" s="56">
        <f>SUM(C18:Y18)</f>
        <v/>
      </c>
      <c r="AR18" s="56">
        <f>AM18+AD18</f>
        <v/>
      </c>
    </row>
    <row r="19" ht="17" customHeight="1" thickBot="1">
      <c r="A19" s="264" t="n">
        <v>42156</v>
      </c>
      <c r="B19" s="265" t="n">
        <v>9712387</v>
      </c>
      <c r="C19" s="265" t="n">
        <v>4414578</v>
      </c>
      <c r="D19" s="265" t="n">
        <v>239524</v>
      </c>
      <c r="E19" s="265" t="n">
        <v>194738</v>
      </c>
      <c r="F19" s="265" t="n">
        <v>0</v>
      </c>
      <c r="G19" s="265" t="n">
        <v>0</v>
      </c>
      <c r="H19" s="265" t="n">
        <v>0</v>
      </c>
      <c r="I19" s="265" t="n">
        <v>2544609</v>
      </c>
      <c r="J19" s="265" t="n">
        <v>280980</v>
      </c>
      <c r="K19" s="265" t="n">
        <v>129946</v>
      </c>
      <c r="L19" s="265" t="n">
        <v>0</v>
      </c>
      <c r="M19" s="266" t="n">
        <v>0</v>
      </c>
      <c r="N19" s="265" t="n">
        <v>255852</v>
      </c>
      <c r="O19" s="265" t="n">
        <v>111119</v>
      </c>
      <c r="P19" s="266" t="n">
        <v>0</v>
      </c>
      <c r="Q19" s="266" t="n">
        <v>0</v>
      </c>
      <c r="R19" s="266" t="n"/>
      <c r="S19" s="266" t="n"/>
      <c r="T19" s="266" t="n"/>
      <c r="U19" s="266" t="n"/>
      <c r="V19" s="266" t="n"/>
      <c r="W19" s="266" t="n">
        <v>0</v>
      </c>
      <c r="X19" s="266" t="n">
        <v>589036</v>
      </c>
      <c r="Y19" s="265" t="n">
        <v>952005</v>
      </c>
      <c r="Z19" s="267" t="n">
        <v>302993</v>
      </c>
      <c r="AA19" s="268" t="n">
        <v>649012</v>
      </c>
      <c r="AB19" s="268" t="n">
        <v>2800461</v>
      </c>
      <c r="AC19" s="576" t="n"/>
      <c r="AD19" s="300" t="n">
        <v>0</v>
      </c>
      <c r="AE19" s="266" t="n">
        <v>0</v>
      </c>
      <c r="AF19" s="266" t="n">
        <v>0</v>
      </c>
      <c r="AG19" s="266" t="n">
        <v>0</v>
      </c>
      <c r="AH19" s="266" t="n">
        <v>0</v>
      </c>
      <c r="AI19" s="266" t="n"/>
      <c r="AJ19" s="289" t="n"/>
      <c r="AK19" s="684" t="n">
        <v>0</v>
      </c>
      <c r="AM19" s="684" t="n">
        <v>0</v>
      </c>
      <c r="AO19" s="577">
        <f>SUM(B8:B19)</f>
        <v/>
      </c>
      <c r="AP19" s="578">
        <f>AK19</f>
        <v/>
      </c>
      <c r="AQ19" s="56">
        <f>SUM(C19:Y19)</f>
        <v/>
      </c>
      <c r="AR19" s="56">
        <f>AM19+AD19</f>
        <v/>
      </c>
    </row>
    <row r="20">
      <c r="A20" s="264" t="n">
        <v>42186</v>
      </c>
      <c r="B20" s="265" t="n">
        <v>8834027</v>
      </c>
      <c r="C20" s="265" t="n">
        <v>3840527</v>
      </c>
      <c r="D20" s="265" t="n">
        <v>216309</v>
      </c>
      <c r="E20" s="265" t="n">
        <v>224950</v>
      </c>
      <c r="F20" s="265" t="n">
        <v>0</v>
      </c>
      <c r="G20" s="265" t="n">
        <v>0</v>
      </c>
      <c r="H20" s="265" t="n">
        <v>0</v>
      </c>
      <c r="I20" s="266" t="n">
        <v>2507656</v>
      </c>
      <c r="J20" s="265" t="n">
        <v>217810</v>
      </c>
      <c r="K20" s="265" t="n">
        <v>77610</v>
      </c>
      <c r="L20" s="265" t="n">
        <v>25769</v>
      </c>
      <c r="M20" s="266" t="n">
        <v>0</v>
      </c>
      <c r="N20" s="266" t="n">
        <v>212246</v>
      </c>
      <c r="O20" s="265" t="n">
        <v>90399</v>
      </c>
      <c r="P20" s="266" t="n">
        <v>0</v>
      </c>
      <c r="Q20" s="266" t="n">
        <v>0</v>
      </c>
      <c r="R20" s="266" t="n"/>
      <c r="S20" s="266" t="n"/>
      <c r="T20" s="266" t="n"/>
      <c r="U20" s="266" t="n"/>
      <c r="V20" s="266" t="n"/>
      <c r="W20" s="266" t="n">
        <v>0</v>
      </c>
      <c r="X20" s="266" t="n">
        <v>636984</v>
      </c>
      <c r="Y20" s="265" t="n">
        <v>783767</v>
      </c>
      <c r="Z20" s="267" t="n">
        <v>277550</v>
      </c>
      <c r="AA20" s="268" t="n">
        <v>506217</v>
      </c>
      <c r="AB20" s="268" t="n">
        <v>2719902</v>
      </c>
      <c r="AC20" s="576" t="n"/>
      <c r="AD20" s="300" t="n">
        <v>0</v>
      </c>
      <c r="AE20" s="266" t="n">
        <v>0</v>
      </c>
      <c r="AF20" s="266" t="n">
        <v>0</v>
      </c>
      <c r="AG20" s="266" t="n">
        <v>0</v>
      </c>
      <c r="AH20" s="266" t="n">
        <v>0</v>
      </c>
      <c r="AI20" s="266" t="n"/>
      <c r="AJ20" s="266" t="n"/>
      <c r="AK20" s="684" t="n">
        <v>0</v>
      </c>
      <c r="AM20" s="684" t="n">
        <v>0</v>
      </c>
      <c r="AO20" s="56">
        <f>SUM(B9:B20)</f>
        <v/>
      </c>
      <c r="AP20" s="56" t="n"/>
      <c r="AQ20" s="56">
        <f>SUM(C20:Y20)</f>
        <v/>
      </c>
      <c r="AR20" s="56">
        <f>AM20+AD20</f>
        <v/>
      </c>
    </row>
    <row r="21">
      <c r="A21" s="264" t="n">
        <v>42217</v>
      </c>
      <c r="B21" s="265" t="n">
        <v>8681882</v>
      </c>
      <c r="C21" s="265" t="n">
        <v>3336768</v>
      </c>
      <c r="D21" s="265" t="n">
        <v>260880</v>
      </c>
      <c r="E21" s="265" t="n">
        <v>198008</v>
      </c>
      <c r="F21" s="265" t="n">
        <v>0</v>
      </c>
      <c r="G21" s="265" t="n">
        <v>0</v>
      </c>
      <c r="H21" s="265" t="n">
        <v>0</v>
      </c>
      <c r="I21" s="266" t="n">
        <v>2564183</v>
      </c>
      <c r="J21" s="265" t="n">
        <v>268478</v>
      </c>
      <c r="K21" s="265" t="n">
        <v>71460</v>
      </c>
      <c r="L21" s="265" t="n">
        <v>134760</v>
      </c>
      <c r="M21" s="266" t="n">
        <v>0</v>
      </c>
      <c r="N21" s="266" t="n">
        <v>252328</v>
      </c>
      <c r="O21" s="265" t="n">
        <v>107250</v>
      </c>
      <c r="P21" s="266" t="n">
        <v>0</v>
      </c>
      <c r="Q21" s="266" t="n">
        <v>0</v>
      </c>
      <c r="R21" s="266" t="n"/>
      <c r="S21" s="266" t="n"/>
      <c r="T21" s="266" t="n"/>
      <c r="U21" s="266" t="n"/>
      <c r="V21" s="266" t="n"/>
      <c r="W21" s="266" t="n">
        <v>0</v>
      </c>
      <c r="X21" s="266" t="n">
        <v>680006</v>
      </c>
      <c r="Y21" s="265" t="n">
        <v>807761</v>
      </c>
      <c r="Z21" s="267" t="n">
        <v>278196</v>
      </c>
      <c r="AA21" s="268" t="n">
        <v>529565</v>
      </c>
      <c r="AB21" s="268" t="n">
        <v>2816511</v>
      </c>
      <c r="AC21" s="576" t="n"/>
      <c r="AD21" s="300" t="n">
        <v>0</v>
      </c>
      <c r="AE21" s="266" t="n">
        <v>0</v>
      </c>
      <c r="AF21" s="266" t="n">
        <v>0</v>
      </c>
      <c r="AG21" s="266" t="n">
        <v>0</v>
      </c>
      <c r="AH21" s="266" t="n">
        <v>0</v>
      </c>
      <c r="AI21" s="266" t="n"/>
      <c r="AJ21" s="266" t="n"/>
      <c r="AK21" s="684" t="n">
        <v>0</v>
      </c>
      <c r="AM21" s="684" t="n">
        <v>0</v>
      </c>
      <c r="AO21" s="56">
        <f>SUM(B10:B21)</f>
        <v/>
      </c>
      <c r="AP21" s="56" t="n"/>
      <c r="AQ21" s="56">
        <f>SUM(C21:Y21)</f>
        <v/>
      </c>
      <c r="AR21" s="56">
        <f>AM21+AD21</f>
        <v/>
      </c>
    </row>
    <row r="22">
      <c r="A22" s="264" t="n">
        <v>42248</v>
      </c>
      <c r="B22" s="265" t="n">
        <v>9954396</v>
      </c>
      <c r="C22" s="265" t="n">
        <v>4633259</v>
      </c>
      <c r="D22" s="265" t="n">
        <v>234187</v>
      </c>
      <c r="E22" s="265" t="n">
        <v>228598</v>
      </c>
      <c r="F22" s="265" t="n">
        <v>0</v>
      </c>
      <c r="G22" s="265" t="n">
        <v>0</v>
      </c>
      <c r="H22" s="265" t="n">
        <v>0</v>
      </c>
      <c r="I22" s="266" t="n">
        <v>2359914</v>
      </c>
      <c r="J22" s="265" t="n">
        <v>263450</v>
      </c>
      <c r="K22" s="265" t="n">
        <v>56020</v>
      </c>
      <c r="L22" s="265" t="n">
        <v>135352</v>
      </c>
      <c r="M22" s="266" t="n">
        <v>0</v>
      </c>
      <c r="N22" s="266" t="n">
        <v>222957</v>
      </c>
      <c r="O22" s="265" t="n">
        <v>84622</v>
      </c>
      <c r="P22" s="266" t="n">
        <v>0</v>
      </c>
      <c r="Q22" s="266" t="n">
        <v>0</v>
      </c>
      <c r="R22" s="266" t="n"/>
      <c r="S22" s="266" t="n"/>
      <c r="T22" s="266" t="n"/>
      <c r="U22" s="266" t="n"/>
      <c r="V22" s="266" t="n"/>
      <c r="W22" s="266" t="n">
        <v>0</v>
      </c>
      <c r="X22" s="266" t="n">
        <v>887878</v>
      </c>
      <c r="Y22" s="265" t="n">
        <v>848159</v>
      </c>
      <c r="Z22" s="267" t="n">
        <v>338617</v>
      </c>
      <c r="AA22" s="268" t="n">
        <v>509542</v>
      </c>
      <c r="AB22" s="268" t="n">
        <v>2582871</v>
      </c>
      <c r="AC22" s="576" t="n"/>
      <c r="AD22" s="300" t="n">
        <v>0</v>
      </c>
      <c r="AE22" s="266" t="n">
        <v>0</v>
      </c>
      <c r="AF22" s="266" t="n">
        <v>0</v>
      </c>
      <c r="AG22" s="266" t="n">
        <v>0</v>
      </c>
      <c r="AH22" s="266" t="n">
        <v>0</v>
      </c>
      <c r="AI22" s="266" t="n"/>
      <c r="AJ22" s="266" t="n"/>
      <c r="AK22" s="684" t="n">
        <v>0</v>
      </c>
      <c r="AM22" s="684" t="n">
        <v>0</v>
      </c>
      <c r="AO22" s="56">
        <f>SUM(B11:B22)</f>
        <v/>
      </c>
      <c r="AP22" s="56" t="n"/>
      <c r="AQ22" s="56">
        <f>SUM(C22:Y22)</f>
        <v/>
      </c>
      <c r="AR22" s="56">
        <f>AM22+AD22</f>
        <v/>
      </c>
    </row>
    <row r="23">
      <c r="A23" s="264" t="n">
        <v>42278</v>
      </c>
      <c r="B23" s="265" t="n">
        <v>8352722</v>
      </c>
      <c r="C23" s="265" t="n">
        <v>4009560</v>
      </c>
      <c r="D23" s="265" t="n">
        <v>212948</v>
      </c>
      <c r="E23" s="265" t="n">
        <v>252642</v>
      </c>
      <c r="F23" s="265" t="n">
        <v>0</v>
      </c>
      <c r="G23" s="265" t="n">
        <v>0</v>
      </c>
      <c r="H23" s="265" t="n">
        <v>0</v>
      </c>
      <c r="I23" s="266" t="n">
        <v>1873529</v>
      </c>
      <c r="J23" s="265" t="n">
        <v>247453</v>
      </c>
      <c r="K23" s="265" t="n">
        <v>52867</v>
      </c>
      <c r="L23" s="265" t="n">
        <v>131511</v>
      </c>
      <c r="M23" s="266" t="n">
        <v>0</v>
      </c>
      <c r="N23" s="266" t="n">
        <v>179183</v>
      </c>
      <c r="O23" s="265" t="n">
        <v>77686</v>
      </c>
      <c r="P23" s="266" t="n">
        <v>0</v>
      </c>
      <c r="Q23" s="266" t="n">
        <v>0</v>
      </c>
      <c r="R23" s="266" t="n"/>
      <c r="S23" s="266" t="n"/>
      <c r="T23" s="266" t="n"/>
      <c r="U23" s="266" t="n"/>
      <c r="V23" s="266" t="n"/>
      <c r="W23" s="266" t="n">
        <v>0</v>
      </c>
      <c r="X23" s="266" t="n">
        <v>705699</v>
      </c>
      <c r="Y23" s="265" t="n">
        <v>609644</v>
      </c>
      <c r="Z23" s="267" t="n">
        <v>309456</v>
      </c>
      <c r="AA23" s="268" t="n">
        <v>300188</v>
      </c>
      <c r="AB23" s="268" t="n">
        <v>2052712</v>
      </c>
      <c r="AC23" s="576" t="n"/>
      <c r="AD23" s="300" t="n">
        <v>0</v>
      </c>
      <c r="AE23" s="266" t="n">
        <v>0</v>
      </c>
      <c r="AF23" s="266" t="n">
        <v>0</v>
      </c>
      <c r="AG23" s="266" t="n">
        <v>0</v>
      </c>
      <c r="AH23" s="266" t="n">
        <v>0</v>
      </c>
      <c r="AI23" s="266" t="n"/>
      <c r="AJ23" s="266" t="n"/>
      <c r="AK23" s="684" t="n">
        <v>0</v>
      </c>
      <c r="AM23" s="684" t="n">
        <v>0</v>
      </c>
      <c r="AO23" s="56">
        <f>SUM(B12:B23)</f>
        <v/>
      </c>
      <c r="AP23" s="56" t="n"/>
      <c r="AQ23" s="56">
        <f>SUM(C23:Y23)</f>
        <v/>
      </c>
      <c r="AR23" s="56">
        <f>AM23+AD23</f>
        <v/>
      </c>
    </row>
    <row r="24">
      <c r="A24" s="264" t="n">
        <v>42309</v>
      </c>
      <c r="B24" s="265" t="n">
        <v>8050995</v>
      </c>
      <c r="C24" s="265" t="n">
        <v>4200888</v>
      </c>
      <c r="D24" s="265" t="n">
        <v>229804</v>
      </c>
      <c r="E24" s="265" t="n">
        <v>304409</v>
      </c>
      <c r="F24" s="265" t="n">
        <v>0</v>
      </c>
      <c r="G24" s="265" t="n">
        <v>0</v>
      </c>
      <c r="H24" s="265" t="n">
        <v>0</v>
      </c>
      <c r="I24" s="266" t="n">
        <v>1464223</v>
      </c>
      <c r="J24" s="265" t="n">
        <v>278579</v>
      </c>
      <c r="K24" s="265" t="n">
        <v>45990</v>
      </c>
      <c r="L24" s="265" t="n">
        <v>146949</v>
      </c>
      <c r="M24" s="266" t="n">
        <v>0</v>
      </c>
      <c r="N24" s="266" t="n">
        <v>173483</v>
      </c>
      <c r="O24" s="265" t="n">
        <v>65641</v>
      </c>
      <c r="P24" s="266" t="n">
        <v>0</v>
      </c>
      <c r="Q24" s="266" t="n">
        <v>0</v>
      </c>
      <c r="R24" s="266" t="n"/>
      <c r="S24" s="266" t="n"/>
      <c r="T24" s="266" t="n"/>
      <c r="U24" s="266" t="n"/>
      <c r="V24" s="266" t="n"/>
      <c r="W24" s="266" t="n">
        <v>0</v>
      </c>
      <c r="X24" s="266" t="n">
        <v>587552</v>
      </c>
      <c r="Y24" s="265" t="n">
        <v>553477</v>
      </c>
      <c r="Z24" s="267" t="n">
        <v>318937</v>
      </c>
      <c r="AA24" s="268" t="n">
        <v>234540</v>
      </c>
      <c r="AB24" s="268" t="n">
        <v>1637706</v>
      </c>
      <c r="AC24" s="576" t="n"/>
      <c r="AD24" s="300" t="n">
        <v>0</v>
      </c>
      <c r="AE24" s="266" t="n">
        <v>0</v>
      </c>
      <c r="AF24" s="266" t="n">
        <v>0</v>
      </c>
      <c r="AG24" s="266" t="n">
        <v>0</v>
      </c>
      <c r="AH24" s="266" t="n">
        <v>0</v>
      </c>
      <c r="AI24" s="266" t="n"/>
      <c r="AJ24" s="266" t="n"/>
      <c r="AK24" s="684" t="n">
        <v>0</v>
      </c>
      <c r="AM24" s="684" t="n">
        <v>0</v>
      </c>
      <c r="AO24" s="56">
        <f>SUM(B13:B24)</f>
        <v/>
      </c>
      <c r="AP24" s="56" t="n"/>
      <c r="AQ24" s="56">
        <f>SUM(C24:Y24)</f>
        <v/>
      </c>
      <c r="AR24" s="56">
        <f>AM24+AD24</f>
        <v/>
      </c>
    </row>
    <row r="25">
      <c r="A25" s="264" t="n">
        <v>42339</v>
      </c>
      <c r="B25" s="265" t="n">
        <v>6493453</v>
      </c>
      <c r="C25" s="265" t="n">
        <v>3614603</v>
      </c>
      <c r="D25" s="265" t="n">
        <v>290741</v>
      </c>
      <c r="E25" s="265" t="n">
        <v>333130</v>
      </c>
      <c r="F25" s="265" t="n">
        <v>0</v>
      </c>
      <c r="G25" s="265" t="n">
        <v>0</v>
      </c>
      <c r="H25" s="265" t="n">
        <v>0</v>
      </c>
      <c r="I25" s="266" t="n">
        <v>690904</v>
      </c>
      <c r="J25" s="265" t="n">
        <v>285264</v>
      </c>
      <c r="K25" s="265" t="n">
        <v>65483</v>
      </c>
      <c r="L25" s="265" t="n">
        <v>103943</v>
      </c>
      <c r="M25" s="266" t="n">
        <v>0</v>
      </c>
      <c r="N25" s="266" t="n">
        <v>90243</v>
      </c>
      <c r="O25" s="265" t="n">
        <v>79484</v>
      </c>
      <c r="P25" s="266" t="n">
        <v>0</v>
      </c>
      <c r="Q25" s="266" t="n">
        <v>0</v>
      </c>
      <c r="R25" s="266" t="n"/>
      <c r="S25" s="266" t="n"/>
      <c r="T25" s="266" t="n"/>
      <c r="U25" s="266" t="n"/>
      <c r="V25" s="266" t="n"/>
      <c r="W25" s="266" t="n">
        <v>0</v>
      </c>
      <c r="X25" s="266" t="n">
        <v>453971</v>
      </c>
      <c r="Y25" s="265" t="n">
        <v>485687</v>
      </c>
      <c r="Z25" s="267" t="n">
        <v>282739</v>
      </c>
      <c r="AA25" s="268" t="n">
        <v>202948</v>
      </c>
      <c r="AB25" s="268" t="n">
        <v>781147</v>
      </c>
      <c r="AC25" s="576" t="n"/>
      <c r="AD25" s="300" t="n">
        <v>0</v>
      </c>
      <c r="AE25" s="266" t="n">
        <v>0</v>
      </c>
      <c r="AF25" s="266" t="n">
        <v>0</v>
      </c>
      <c r="AG25" s="266" t="n">
        <v>0</v>
      </c>
      <c r="AH25" s="266" t="n">
        <v>0</v>
      </c>
      <c r="AI25" s="266" t="n"/>
      <c r="AJ25" s="266" t="n"/>
      <c r="AK25" s="684" t="n">
        <v>0</v>
      </c>
      <c r="AM25" s="684" t="n">
        <v>0</v>
      </c>
      <c r="AO25" s="56">
        <f>SUM(B14:B25)</f>
        <v/>
      </c>
      <c r="AP25" s="56" t="n"/>
      <c r="AQ25" s="56">
        <f>SUM(C25:Y25)</f>
        <v/>
      </c>
      <c r="AR25" s="56">
        <f>AM25+AD25</f>
        <v/>
      </c>
    </row>
    <row r="26">
      <c r="A26" s="269" t="n">
        <v>42370</v>
      </c>
      <c r="B26" s="270" t="n">
        <v>6245223</v>
      </c>
      <c r="C26" s="270" t="n">
        <v>3831763</v>
      </c>
      <c r="D26" s="270" t="n">
        <v>139048</v>
      </c>
      <c r="E26" s="270" t="n">
        <v>277210</v>
      </c>
      <c r="F26" s="270" t="n">
        <v>0</v>
      </c>
      <c r="G26" s="270" t="n">
        <v>0</v>
      </c>
      <c r="H26" s="270" t="n">
        <v>0</v>
      </c>
      <c r="I26" s="270" t="n">
        <v>516685</v>
      </c>
      <c r="J26" s="270" t="n">
        <v>242251</v>
      </c>
      <c r="K26" s="270" t="n">
        <v>42075</v>
      </c>
      <c r="L26" s="270" t="n">
        <v>122690</v>
      </c>
      <c r="M26" s="270" t="n">
        <v>0</v>
      </c>
      <c r="N26" s="270" t="n">
        <v>50559</v>
      </c>
      <c r="O26" s="270" t="n">
        <v>78005</v>
      </c>
      <c r="P26" s="270" t="n">
        <v>0</v>
      </c>
      <c r="Q26" s="270" t="n">
        <v>0</v>
      </c>
      <c r="R26" s="270" t="n"/>
      <c r="S26" s="270" t="n"/>
      <c r="T26" s="270" t="n"/>
      <c r="U26" s="270" t="n"/>
      <c r="V26" s="270" t="n"/>
      <c r="W26" s="270" t="n">
        <v>0</v>
      </c>
      <c r="X26" s="271" t="n">
        <v>377458</v>
      </c>
      <c r="Y26" s="270" t="n">
        <v>567479</v>
      </c>
      <c r="Z26" s="272" t="n">
        <v>259474</v>
      </c>
      <c r="AA26" s="273" t="n">
        <v>308005</v>
      </c>
      <c r="AB26" s="273" t="n">
        <v>567244</v>
      </c>
      <c r="AC26" s="576" t="n"/>
      <c r="AD26" s="301" t="n">
        <v>0</v>
      </c>
      <c r="AE26" s="270" t="n">
        <v>0</v>
      </c>
      <c r="AF26" s="270" t="n">
        <v>0</v>
      </c>
      <c r="AG26" s="270" t="n">
        <v>0</v>
      </c>
      <c r="AH26" s="270" t="n">
        <v>0</v>
      </c>
      <c r="AI26" s="270" t="n"/>
      <c r="AJ26" s="270" t="n"/>
      <c r="AK26" s="685" t="n">
        <v>0</v>
      </c>
      <c r="AM26" s="685" t="n">
        <v>0</v>
      </c>
      <c r="AO26" s="56">
        <f>SUM(B15:B26)</f>
        <v/>
      </c>
      <c r="AP26" s="56" t="n"/>
      <c r="AQ26" s="56">
        <f>SUM(C26:Y26)</f>
        <v/>
      </c>
      <c r="AR26" s="56">
        <f>AM26+AD26</f>
        <v/>
      </c>
    </row>
    <row r="27">
      <c r="A27" s="269" t="n">
        <v>42401</v>
      </c>
      <c r="B27" s="270" t="n">
        <v>6466884</v>
      </c>
      <c r="C27" s="270" t="n">
        <v>3779412</v>
      </c>
      <c r="D27" s="270" t="n">
        <v>298078</v>
      </c>
      <c r="E27" s="270" t="n">
        <v>343984</v>
      </c>
      <c r="F27" s="270" t="n">
        <v>0</v>
      </c>
      <c r="G27" s="270" t="n">
        <v>0</v>
      </c>
      <c r="H27" s="270" t="n">
        <v>0</v>
      </c>
      <c r="I27" s="270" t="n">
        <v>406263</v>
      </c>
      <c r="J27" s="270" t="n">
        <v>294647</v>
      </c>
      <c r="K27" s="270" t="n">
        <v>45944</v>
      </c>
      <c r="L27" s="270" t="n">
        <v>117026</v>
      </c>
      <c r="M27" s="270" t="n">
        <v>0</v>
      </c>
      <c r="N27" s="270" t="n">
        <v>48852</v>
      </c>
      <c r="O27" s="270" t="n">
        <v>37408</v>
      </c>
      <c r="P27" s="270" t="n">
        <v>0</v>
      </c>
      <c r="Q27" s="270" t="n">
        <v>0</v>
      </c>
      <c r="R27" s="270" t="n"/>
      <c r="S27" s="270" t="n"/>
      <c r="T27" s="270" t="n"/>
      <c r="U27" s="270" t="n"/>
      <c r="V27" s="270" t="n"/>
      <c r="W27" s="270" t="n">
        <v>0</v>
      </c>
      <c r="X27" s="271" t="n">
        <v>487805</v>
      </c>
      <c r="Y27" s="270" t="n">
        <v>607465</v>
      </c>
      <c r="Z27" s="272" t="n">
        <v>272882</v>
      </c>
      <c r="AA27" s="273" t="n">
        <v>334583</v>
      </c>
      <c r="AB27" s="273" t="n">
        <v>455115</v>
      </c>
      <c r="AC27" s="576" t="n"/>
      <c r="AD27" s="301" t="n">
        <v>0</v>
      </c>
      <c r="AE27" s="270" t="n">
        <v>0</v>
      </c>
      <c r="AF27" s="270" t="n">
        <v>0</v>
      </c>
      <c r="AG27" s="270" t="n">
        <v>0</v>
      </c>
      <c r="AH27" s="270" t="n">
        <v>0</v>
      </c>
      <c r="AI27" s="270" t="n"/>
      <c r="AJ27" s="270" t="n"/>
      <c r="AK27" s="685" t="n">
        <v>0</v>
      </c>
      <c r="AM27" s="685" t="n">
        <v>0</v>
      </c>
      <c r="AO27" s="56">
        <f>SUM(B16:B27)</f>
        <v/>
      </c>
      <c r="AP27" s="56" t="n"/>
      <c r="AQ27" s="56">
        <f>SUM(C27:Y27)</f>
        <v/>
      </c>
      <c r="AR27" s="56">
        <f>AM27+AD27</f>
        <v/>
      </c>
    </row>
    <row r="28">
      <c r="A28" s="269" t="n">
        <v>42430</v>
      </c>
      <c r="B28" s="270" t="n">
        <v>6613470</v>
      </c>
      <c r="C28" s="270" t="n">
        <v>3972874</v>
      </c>
      <c r="D28" s="270" t="n">
        <v>204423</v>
      </c>
      <c r="E28" s="270" t="n">
        <v>276509</v>
      </c>
      <c r="F28" s="270" t="n">
        <v>0</v>
      </c>
      <c r="G28" s="270" t="n">
        <v>0</v>
      </c>
      <c r="H28" s="270" t="n">
        <v>0</v>
      </c>
      <c r="I28" s="270" t="n">
        <v>553500</v>
      </c>
      <c r="J28" s="270" t="n">
        <v>237417</v>
      </c>
      <c r="K28" s="270" t="n">
        <v>58069</v>
      </c>
      <c r="L28" s="270" t="n">
        <v>81220</v>
      </c>
      <c r="M28" s="270" t="n">
        <v>0</v>
      </c>
      <c r="N28" s="270" t="n">
        <v>57570</v>
      </c>
      <c r="O28" s="270" t="n">
        <v>60129</v>
      </c>
      <c r="P28" s="270" t="n">
        <v>0</v>
      </c>
      <c r="Q28" s="270" t="n">
        <v>0</v>
      </c>
      <c r="R28" s="270" t="n"/>
      <c r="S28" s="270" t="n"/>
      <c r="T28" s="270" t="n"/>
      <c r="U28" s="270" t="n"/>
      <c r="V28" s="270" t="n"/>
      <c r="W28" s="270" t="n">
        <v>0</v>
      </c>
      <c r="X28" s="271" t="n">
        <v>547267</v>
      </c>
      <c r="Y28" s="270" t="n">
        <v>564492</v>
      </c>
      <c r="Z28" s="272" t="n">
        <v>289377</v>
      </c>
      <c r="AA28" s="273" t="n">
        <v>275115</v>
      </c>
      <c r="AB28" s="273" t="n">
        <v>611070</v>
      </c>
      <c r="AC28" s="576" t="n"/>
      <c r="AD28" s="301" t="n">
        <v>0</v>
      </c>
      <c r="AE28" s="270" t="n">
        <v>0</v>
      </c>
      <c r="AF28" s="270" t="n">
        <v>0</v>
      </c>
      <c r="AG28" s="270" t="n">
        <v>0</v>
      </c>
      <c r="AH28" s="270" t="n">
        <v>0</v>
      </c>
      <c r="AI28" s="270" t="n"/>
      <c r="AJ28" s="270" t="n"/>
      <c r="AK28" s="685" t="n">
        <v>0</v>
      </c>
      <c r="AM28" s="685" t="n">
        <v>0</v>
      </c>
      <c r="AO28" s="56">
        <f>SUM(B17:B28)</f>
        <v/>
      </c>
      <c r="AP28" s="56" t="n"/>
      <c r="AQ28" s="56">
        <f>SUM(C28:Y28)</f>
        <v/>
      </c>
      <c r="AR28" s="56">
        <f>AM28+AD28</f>
        <v/>
      </c>
    </row>
    <row r="29">
      <c r="A29" s="269" t="n">
        <v>42461</v>
      </c>
      <c r="B29" s="270" t="n">
        <v>7584721</v>
      </c>
      <c r="C29" s="270" t="n">
        <v>4018970</v>
      </c>
      <c r="D29" s="270" t="n">
        <v>215813</v>
      </c>
      <c r="E29" s="270" t="n">
        <v>296537</v>
      </c>
      <c r="F29" s="270" t="n">
        <v>0</v>
      </c>
      <c r="G29" s="270" t="n">
        <v>0</v>
      </c>
      <c r="H29" s="270" t="n">
        <v>0</v>
      </c>
      <c r="I29" s="270" t="n">
        <v>1283919</v>
      </c>
      <c r="J29" s="270" t="n">
        <v>271059</v>
      </c>
      <c r="K29" s="270" t="n">
        <v>49082</v>
      </c>
      <c r="L29" s="270" t="n">
        <v>118821</v>
      </c>
      <c r="M29" s="270" t="n">
        <v>0</v>
      </c>
      <c r="N29" s="270" t="n">
        <v>135895</v>
      </c>
      <c r="O29" s="270" t="n">
        <v>63059</v>
      </c>
      <c r="P29" s="270" t="n">
        <v>0</v>
      </c>
      <c r="Q29" s="270" t="n">
        <v>0</v>
      </c>
      <c r="R29" s="270" t="n"/>
      <c r="S29" s="270" t="n"/>
      <c r="T29" s="270" t="n"/>
      <c r="U29" s="270" t="n"/>
      <c r="V29" s="270" t="n"/>
      <c r="W29" s="270" t="n">
        <v>0</v>
      </c>
      <c r="X29" s="271" t="n">
        <v>558826</v>
      </c>
      <c r="Y29" s="270" t="n">
        <v>572740</v>
      </c>
      <c r="Z29" s="272" t="n">
        <v>308674</v>
      </c>
      <c r="AA29" s="273" t="n">
        <v>264066</v>
      </c>
      <c r="AB29" s="273" t="n">
        <v>1419814</v>
      </c>
      <c r="AC29" s="576" t="n"/>
      <c r="AD29" s="301" t="n">
        <v>0</v>
      </c>
      <c r="AE29" s="270" t="n">
        <v>0</v>
      </c>
      <c r="AF29" s="270" t="n">
        <v>0</v>
      </c>
      <c r="AG29" s="270" t="n">
        <v>0</v>
      </c>
      <c r="AH29" s="270" t="n">
        <v>0</v>
      </c>
      <c r="AI29" s="270" t="n"/>
      <c r="AJ29" s="270" t="n"/>
      <c r="AK29" s="685" t="n">
        <v>0</v>
      </c>
      <c r="AM29" s="685" t="n">
        <v>0</v>
      </c>
      <c r="AO29" s="56">
        <f>SUM(B18:B29)</f>
        <v/>
      </c>
      <c r="AP29" s="56" t="n"/>
      <c r="AQ29" s="56">
        <f>SUM(C29:Y29)</f>
        <v/>
      </c>
      <c r="AR29" s="56">
        <f>AM29+AD29</f>
        <v/>
      </c>
    </row>
    <row r="30" ht="17" customHeight="1" thickBot="1">
      <c r="A30" s="269" t="n">
        <v>42491</v>
      </c>
      <c r="B30" s="270" t="n">
        <v>8730352</v>
      </c>
      <c r="C30" s="270" t="n">
        <v>3773707</v>
      </c>
      <c r="D30" s="270" t="n">
        <v>263078</v>
      </c>
      <c r="E30" s="270" t="n">
        <v>405553</v>
      </c>
      <c r="F30" s="270" t="n">
        <v>0</v>
      </c>
      <c r="G30" s="270" t="n">
        <v>0</v>
      </c>
      <c r="H30" s="270" t="n">
        <v>0</v>
      </c>
      <c r="I30" s="270" t="n">
        <v>1964154</v>
      </c>
      <c r="J30" s="270" t="n">
        <v>277527</v>
      </c>
      <c r="K30" s="270" t="n">
        <v>71026</v>
      </c>
      <c r="L30" s="270" t="n">
        <v>204440</v>
      </c>
      <c r="M30" s="270" t="n">
        <v>0</v>
      </c>
      <c r="N30" s="270" t="n">
        <v>241532</v>
      </c>
      <c r="O30" s="270" t="n">
        <v>102506</v>
      </c>
      <c r="P30" s="270" t="n">
        <v>0</v>
      </c>
      <c r="Q30" s="270" t="n">
        <v>0</v>
      </c>
      <c r="R30" s="270" t="n"/>
      <c r="S30" s="270" t="n"/>
      <c r="T30" s="270" t="n"/>
      <c r="U30" s="270" t="n"/>
      <c r="V30" s="270" t="n"/>
      <c r="W30" s="270" t="n">
        <v>0</v>
      </c>
      <c r="X30" s="271" t="n">
        <v>728971</v>
      </c>
      <c r="Y30" s="270" t="n">
        <v>697858</v>
      </c>
      <c r="Z30" s="272" t="n">
        <v>320173</v>
      </c>
      <c r="AA30" s="273" t="n">
        <v>377685</v>
      </c>
      <c r="AB30" s="273" t="n">
        <v>2205686</v>
      </c>
      <c r="AC30" s="576" t="n"/>
      <c r="AD30" s="301" t="n">
        <v>0</v>
      </c>
      <c r="AE30" s="270" t="n">
        <v>0</v>
      </c>
      <c r="AF30" s="270" t="n">
        <v>0</v>
      </c>
      <c r="AG30" s="270" t="n">
        <v>0</v>
      </c>
      <c r="AH30" s="270" t="n">
        <v>0</v>
      </c>
      <c r="AI30" s="270" t="n"/>
      <c r="AJ30" s="270" t="n"/>
      <c r="AK30" s="685" t="n">
        <v>0</v>
      </c>
      <c r="AM30" s="685" t="n">
        <v>0</v>
      </c>
      <c r="AO30" s="56">
        <f>SUM(B19:B30)</f>
        <v/>
      </c>
      <c r="AP30" s="56" t="n"/>
      <c r="AQ30" s="56">
        <f>SUM(C30:Y30)</f>
        <v/>
      </c>
      <c r="AR30" s="56">
        <f>AM30+AD30</f>
        <v/>
      </c>
    </row>
    <row r="31" ht="17" customHeight="1" thickBot="1">
      <c r="A31" s="269" t="n">
        <v>42522</v>
      </c>
      <c r="B31" s="270" t="n">
        <v>9791945</v>
      </c>
      <c r="C31" s="270" t="n">
        <v>4046518</v>
      </c>
      <c r="D31" s="270" t="n">
        <v>274465</v>
      </c>
      <c r="E31" s="270" t="n">
        <v>503779</v>
      </c>
      <c r="F31" s="270" t="n">
        <v>0</v>
      </c>
      <c r="G31" s="270" t="n">
        <v>0</v>
      </c>
      <c r="H31" s="270" t="n">
        <v>0</v>
      </c>
      <c r="I31" s="270" t="n">
        <v>2672172</v>
      </c>
      <c r="J31" s="270" t="n">
        <v>247180</v>
      </c>
      <c r="K31" s="270" t="n">
        <v>48151</v>
      </c>
      <c r="L31" s="270" t="n">
        <v>162606</v>
      </c>
      <c r="M31" s="270" t="n">
        <v>0</v>
      </c>
      <c r="N31" s="270" t="n">
        <v>204368</v>
      </c>
      <c r="O31" s="270" t="n">
        <v>87014</v>
      </c>
      <c r="P31" s="270" t="n">
        <v>0</v>
      </c>
      <c r="Q31" s="270" t="n">
        <v>0</v>
      </c>
      <c r="R31" s="270" t="n"/>
      <c r="S31" s="270" t="n"/>
      <c r="T31" s="270" t="n"/>
      <c r="U31" s="270" t="n"/>
      <c r="V31" s="270" t="n"/>
      <c r="W31" s="270" t="n">
        <v>0</v>
      </c>
      <c r="X31" s="271" t="n">
        <v>649314</v>
      </c>
      <c r="Y31" s="270" t="n">
        <v>896378</v>
      </c>
      <c r="Z31" s="272" t="n">
        <v>301989</v>
      </c>
      <c r="AA31" s="273" t="n">
        <v>594389</v>
      </c>
      <c r="AB31" s="273" t="n">
        <v>2876540</v>
      </c>
      <c r="AC31" s="576" t="n"/>
      <c r="AD31" s="301" t="n">
        <v>0</v>
      </c>
      <c r="AE31" s="270" t="n">
        <v>0</v>
      </c>
      <c r="AF31" s="270" t="n">
        <v>0</v>
      </c>
      <c r="AG31" s="270" t="n">
        <v>0</v>
      </c>
      <c r="AH31" s="270" t="n">
        <v>0</v>
      </c>
      <c r="AI31" s="270" t="n"/>
      <c r="AJ31" s="273" t="n"/>
      <c r="AK31" s="685" t="n">
        <v>0</v>
      </c>
      <c r="AM31" s="685" t="n">
        <v>0</v>
      </c>
      <c r="AO31" s="577">
        <f>SUM(B20:B31)</f>
        <v/>
      </c>
      <c r="AP31" s="578">
        <f>AK31</f>
        <v/>
      </c>
      <c r="AQ31" s="56">
        <f>SUM(C31:Y31)</f>
        <v/>
      </c>
      <c r="AR31" s="56">
        <f>AM31+AD31</f>
        <v/>
      </c>
    </row>
    <row r="32">
      <c r="A32" s="269" t="n">
        <v>42552</v>
      </c>
      <c r="B32" s="270" t="n">
        <v>9168714</v>
      </c>
      <c r="C32" s="270" t="n">
        <v>3655670</v>
      </c>
      <c r="D32" s="270" t="n">
        <v>171816</v>
      </c>
      <c r="E32" s="270" t="n">
        <v>346896</v>
      </c>
      <c r="F32" s="270" t="n">
        <v>0</v>
      </c>
      <c r="G32" s="270" t="n">
        <v>0</v>
      </c>
      <c r="H32" s="270" t="n">
        <v>0</v>
      </c>
      <c r="I32" s="270" t="n">
        <v>2679758</v>
      </c>
      <c r="J32" s="270" t="n">
        <v>241218</v>
      </c>
      <c r="K32" s="270" t="n">
        <v>56433</v>
      </c>
      <c r="L32" s="270" t="n">
        <v>183048</v>
      </c>
      <c r="M32" s="270" t="n">
        <v>0</v>
      </c>
      <c r="N32" s="270" t="n">
        <v>231512</v>
      </c>
      <c r="O32" s="270" t="n">
        <v>89776</v>
      </c>
      <c r="P32" s="270" t="n">
        <v>0</v>
      </c>
      <c r="Q32" s="270" t="n">
        <v>0</v>
      </c>
      <c r="R32" s="270" t="n"/>
      <c r="S32" s="270" t="n"/>
      <c r="T32" s="270" t="n"/>
      <c r="U32" s="270" t="n"/>
      <c r="V32" s="270" t="n"/>
      <c r="W32" s="270" t="n">
        <v>0</v>
      </c>
      <c r="X32" s="271" t="n">
        <v>701641</v>
      </c>
      <c r="Y32" s="270" t="n">
        <v>810946</v>
      </c>
      <c r="Z32" s="272" t="n">
        <v>285596</v>
      </c>
      <c r="AA32" s="273" t="n">
        <v>525350</v>
      </c>
      <c r="AB32" s="273" t="n">
        <v>2911270</v>
      </c>
      <c r="AC32" s="576" t="n"/>
      <c r="AD32" s="301" t="n">
        <v>0</v>
      </c>
      <c r="AE32" s="270" t="n">
        <v>0</v>
      </c>
      <c r="AF32" s="270" t="n">
        <v>0</v>
      </c>
      <c r="AG32" s="270" t="n">
        <v>0</v>
      </c>
      <c r="AH32" s="270" t="n">
        <v>0</v>
      </c>
      <c r="AI32" s="270" t="n"/>
      <c r="AJ32" s="270" t="n"/>
      <c r="AK32" s="685" t="n">
        <v>0</v>
      </c>
      <c r="AM32" s="685" t="n">
        <v>0</v>
      </c>
      <c r="AO32" s="56">
        <f>SUM(B21:B32)</f>
        <v/>
      </c>
      <c r="AP32" s="56" t="n"/>
      <c r="AQ32" s="56">
        <f>SUM(C32:Y32)</f>
        <v/>
      </c>
      <c r="AR32" s="56">
        <f>AM32+AD32</f>
        <v/>
      </c>
    </row>
    <row r="33">
      <c r="A33" s="269" t="n">
        <v>42583</v>
      </c>
      <c r="B33" s="270" t="n">
        <v>9494610</v>
      </c>
      <c r="C33" s="270" t="n">
        <v>3873088</v>
      </c>
      <c r="D33" s="270" t="n">
        <v>267163</v>
      </c>
      <c r="E33" s="270" t="n">
        <v>515939</v>
      </c>
      <c r="F33" s="270" t="n">
        <v>0</v>
      </c>
      <c r="G33" s="270" t="n">
        <v>0</v>
      </c>
      <c r="H33" s="270" t="n">
        <v>0</v>
      </c>
      <c r="I33" s="270" t="n">
        <v>2450437</v>
      </c>
      <c r="J33" s="270" t="n">
        <v>296189</v>
      </c>
      <c r="K33" s="270" t="n">
        <v>70401</v>
      </c>
      <c r="L33" s="270" t="n">
        <v>187636</v>
      </c>
      <c r="M33" s="270" t="n">
        <v>0</v>
      </c>
      <c r="N33" s="270" t="n">
        <v>253271</v>
      </c>
      <c r="O33" s="271" t="n">
        <v>98211</v>
      </c>
      <c r="P33" s="270" t="n">
        <v>0</v>
      </c>
      <c r="Q33" s="270" t="n">
        <v>0</v>
      </c>
      <c r="R33" s="270" t="n"/>
      <c r="S33" s="270" t="n"/>
      <c r="T33" s="270" t="n"/>
      <c r="U33" s="270" t="n"/>
      <c r="V33" s="270" t="n"/>
      <c r="W33" s="270" t="n">
        <v>0</v>
      </c>
      <c r="X33" s="271" t="n">
        <v>706214</v>
      </c>
      <c r="Y33" s="270" t="n">
        <v>776061</v>
      </c>
      <c r="Z33" s="272" t="n">
        <v>313559</v>
      </c>
      <c r="AA33" s="273" t="n">
        <v>462502</v>
      </c>
      <c r="AB33" s="273" t="n">
        <v>2703708</v>
      </c>
      <c r="AC33" s="576" t="n"/>
      <c r="AD33" s="301" t="n">
        <v>0</v>
      </c>
      <c r="AE33" s="270" t="n">
        <v>0</v>
      </c>
      <c r="AF33" s="270" t="n">
        <v>0</v>
      </c>
      <c r="AG33" s="270" t="n">
        <v>0</v>
      </c>
      <c r="AH33" s="270" t="n">
        <v>0</v>
      </c>
      <c r="AI33" s="270" t="n"/>
      <c r="AJ33" s="270" t="n"/>
      <c r="AK33" s="686" t="n">
        <v>0</v>
      </c>
      <c r="AM33" s="686" t="n">
        <v>0</v>
      </c>
      <c r="AO33" s="56">
        <f>SUM(B22:B33)</f>
        <v/>
      </c>
      <c r="AP33" s="56" t="n"/>
      <c r="AQ33" s="56">
        <f>SUM(C33:Y33)</f>
        <v/>
      </c>
      <c r="AR33" s="56">
        <f>AM33+AD33</f>
        <v/>
      </c>
    </row>
    <row r="34">
      <c r="A34" s="269" t="n">
        <v>42614</v>
      </c>
      <c r="B34" s="270" t="n">
        <v>9481784</v>
      </c>
      <c r="C34" s="270" t="n">
        <v>4228883</v>
      </c>
      <c r="D34" s="270" t="n">
        <v>247221</v>
      </c>
      <c r="E34" s="270" t="n">
        <v>400844</v>
      </c>
      <c r="F34" s="270" t="n">
        <v>0</v>
      </c>
      <c r="G34" s="270" t="n">
        <v>0</v>
      </c>
      <c r="H34" s="270" t="n">
        <v>0</v>
      </c>
      <c r="I34" s="270" t="n">
        <v>2315953</v>
      </c>
      <c r="J34" s="270" t="n">
        <v>260266</v>
      </c>
      <c r="K34" s="270" t="n">
        <v>58317</v>
      </c>
      <c r="L34" s="270" t="n">
        <v>155062</v>
      </c>
      <c r="M34" s="270" t="n">
        <v>0</v>
      </c>
      <c r="N34" s="270" t="n">
        <v>205585</v>
      </c>
      <c r="O34" s="271" t="n">
        <v>86794</v>
      </c>
      <c r="P34" s="270" t="n">
        <v>0</v>
      </c>
      <c r="Q34" s="270" t="n">
        <v>0</v>
      </c>
      <c r="R34" s="270" t="n"/>
      <c r="S34" s="270" t="n"/>
      <c r="T34" s="270" t="n"/>
      <c r="U34" s="270" t="n"/>
      <c r="V34" s="270" t="n"/>
      <c r="W34" s="270" t="n">
        <v>0</v>
      </c>
      <c r="X34" s="271" t="n">
        <v>809354</v>
      </c>
      <c r="Y34" s="270" t="n">
        <v>713505</v>
      </c>
      <c r="Z34" s="272" t="n">
        <v>333329</v>
      </c>
      <c r="AA34" s="273" t="n">
        <v>380176</v>
      </c>
      <c r="AB34" s="273" t="n">
        <v>2521538</v>
      </c>
      <c r="AC34" s="576" t="n"/>
      <c r="AD34" s="301" t="n">
        <v>0</v>
      </c>
      <c r="AE34" s="270" t="n">
        <v>0</v>
      </c>
      <c r="AF34" s="270" t="n">
        <v>0</v>
      </c>
      <c r="AG34" s="270" t="n">
        <v>0</v>
      </c>
      <c r="AH34" s="270" t="n">
        <v>0</v>
      </c>
      <c r="AI34" s="270" t="n"/>
      <c r="AJ34" s="270" t="n"/>
      <c r="AK34" s="686" t="n">
        <v>0</v>
      </c>
      <c r="AM34" s="686" t="n">
        <v>0</v>
      </c>
      <c r="AO34" s="56">
        <f>SUM(B23:B34)</f>
        <v/>
      </c>
      <c r="AP34" s="56" t="n"/>
      <c r="AQ34" s="56">
        <f>SUM(C34:Y34)</f>
        <v/>
      </c>
      <c r="AR34" s="56">
        <f>AM34+AD34</f>
        <v/>
      </c>
    </row>
    <row r="35">
      <c r="A35" s="269" t="n">
        <v>42644</v>
      </c>
      <c r="B35" s="270" t="n">
        <v>8039061</v>
      </c>
      <c r="C35" s="270" t="n">
        <v>3320287</v>
      </c>
      <c r="D35" s="270" t="n">
        <v>244358</v>
      </c>
      <c r="E35" s="270" t="n">
        <v>301842</v>
      </c>
      <c r="F35" s="270" t="n">
        <v>0</v>
      </c>
      <c r="G35" s="270" t="n">
        <v>0</v>
      </c>
      <c r="H35" s="270" t="n">
        <v>0</v>
      </c>
      <c r="I35" s="270" t="n">
        <v>2065366</v>
      </c>
      <c r="J35" s="270" t="n">
        <v>252484</v>
      </c>
      <c r="K35" s="270" t="n">
        <v>59236</v>
      </c>
      <c r="L35" s="270" t="n">
        <v>143725</v>
      </c>
      <c r="M35" s="270" t="n">
        <v>0</v>
      </c>
      <c r="N35" s="270" t="n">
        <v>191013</v>
      </c>
      <c r="O35" s="271" t="n">
        <v>67897</v>
      </c>
      <c r="P35" s="270" t="n">
        <v>0</v>
      </c>
      <c r="Q35" s="270" t="n">
        <v>0</v>
      </c>
      <c r="R35" s="270" t="n"/>
      <c r="S35" s="270" t="n"/>
      <c r="T35" s="270" t="n"/>
      <c r="U35" s="270" t="n"/>
      <c r="V35" s="270" t="n"/>
      <c r="W35" s="270" t="n">
        <v>0</v>
      </c>
      <c r="X35" s="271" t="n">
        <v>828064</v>
      </c>
      <c r="Y35" s="270" t="n">
        <v>564789</v>
      </c>
      <c r="Z35" s="272" t="n">
        <v>295061</v>
      </c>
      <c r="AA35" s="273" t="n">
        <v>269728</v>
      </c>
      <c r="AB35" s="273" t="n">
        <v>2256379</v>
      </c>
      <c r="AC35" s="576" t="n"/>
      <c r="AD35" s="301" t="n">
        <v>0</v>
      </c>
      <c r="AE35" s="270" t="n">
        <v>0</v>
      </c>
      <c r="AF35" s="270" t="n">
        <v>0</v>
      </c>
      <c r="AG35" s="270" t="n">
        <v>0</v>
      </c>
      <c r="AH35" s="270" t="n">
        <v>0</v>
      </c>
      <c r="AI35" s="270" t="n"/>
      <c r="AJ35" s="270" t="n"/>
      <c r="AK35" s="686" t="n">
        <v>0</v>
      </c>
      <c r="AM35" s="686" t="n">
        <v>0</v>
      </c>
      <c r="AO35" s="56">
        <f>SUM(B24:B35)</f>
        <v/>
      </c>
      <c r="AP35" s="56" t="n"/>
      <c r="AQ35" s="56">
        <f>SUM(C35:Y35)</f>
        <v/>
      </c>
      <c r="AR35" s="56">
        <f>AM35+AD35</f>
        <v/>
      </c>
    </row>
    <row r="36">
      <c r="A36" s="269" t="n">
        <v>42675</v>
      </c>
      <c r="B36" s="270" t="n">
        <v>8258064</v>
      </c>
      <c r="C36" s="270" t="n">
        <v>4405647</v>
      </c>
      <c r="D36" s="270" t="n">
        <v>269652</v>
      </c>
      <c r="E36" s="270" t="n">
        <v>561953</v>
      </c>
      <c r="F36" s="270" t="n">
        <v>0</v>
      </c>
      <c r="G36" s="270" t="n">
        <v>0</v>
      </c>
      <c r="H36" s="270" t="n">
        <v>0</v>
      </c>
      <c r="I36" s="270" t="n">
        <v>1190430</v>
      </c>
      <c r="J36" s="270" t="n">
        <v>309914</v>
      </c>
      <c r="K36" s="270" t="n">
        <v>74983</v>
      </c>
      <c r="L36" s="270" t="n">
        <v>137244</v>
      </c>
      <c r="M36" s="270" t="n">
        <v>0</v>
      </c>
      <c r="N36" s="270" t="n">
        <v>161352</v>
      </c>
      <c r="O36" s="271" t="n">
        <v>68587</v>
      </c>
      <c r="P36" s="270" t="n">
        <v>0</v>
      </c>
      <c r="Q36" s="270" t="n">
        <v>0</v>
      </c>
      <c r="R36" s="270" t="n"/>
      <c r="S36" s="270" t="n"/>
      <c r="T36" s="270" t="n"/>
      <c r="U36" s="270" t="n"/>
      <c r="V36" s="270" t="n"/>
      <c r="W36" s="270" t="n">
        <v>0</v>
      </c>
      <c r="X36" s="271" t="n">
        <v>531267</v>
      </c>
      <c r="Y36" s="270" t="n">
        <v>547035</v>
      </c>
      <c r="Z36" s="272" t="n">
        <v>351124</v>
      </c>
      <c r="AA36" s="273" t="n">
        <v>195911</v>
      </c>
      <c r="AB36" s="273" t="n">
        <v>1351782</v>
      </c>
      <c r="AC36" s="576" t="n"/>
      <c r="AD36" s="301" t="n">
        <v>0</v>
      </c>
      <c r="AE36" s="270" t="n">
        <v>0</v>
      </c>
      <c r="AF36" s="270" t="n">
        <v>0</v>
      </c>
      <c r="AG36" s="270" t="n">
        <v>0</v>
      </c>
      <c r="AH36" s="270" t="n">
        <v>0</v>
      </c>
      <c r="AI36" s="270" t="n"/>
      <c r="AJ36" s="270" t="n"/>
      <c r="AK36" s="686" t="n">
        <v>0</v>
      </c>
      <c r="AM36" s="686" t="n">
        <v>0</v>
      </c>
      <c r="AO36" s="56">
        <f>SUM(B25:B36)</f>
        <v/>
      </c>
      <c r="AP36" s="56" t="n"/>
      <c r="AQ36" s="56">
        <f>SUM(C36:Y36)</f>
        <v/>
      </c>
      <c r="AR36" s="56">
        <f>AM36+AD36</f>
        <v/>
      </c>
    </row>
    <row r="37">
      <c r="A37" s="269" t="n">
        <v>42705</v>
      </c>
      <c r="B37" s="270" t="n">
        <v>6468025</v>
      </c>
      <c r="C37" s="270" t="n">
        <v>3593398</v>
      </c>
      <c r="D37" s="270" t="n">
        <v>239740</v>
      </c>
      <c r="E37" s="270" t="n">
        <v>398980</v>
      </c>
      <c r="F37" s="270" t="n">
        <v>0</v>
      </c>
      <c r="G37" s="270" t="n">
        <v>0</v>
      </c>
      <c r="H37" s="270" t="n">
        <v>0</v>
      </c>
      <c r="I37" s="270" t="n">
        <v>761395</v>
      </c>
      <c r="J37" s="270" t="n">
        <v>261691</v>
      </c>
      <c r="K37" s="270" t="n">
        <v>59003</v>
      </c>
      <c r="L37" s="270" t="n">
        <v>108647</v>
      </c>
      <c r="M37" s="270" t="n">
        <v>0</v>
      </c>
      <c r="N37" s="270" t="n">
        <v>86111</v>
      </c>
      <c r="O37" s="271" t="n">
        <v>51534</v>
      </c>
      <c r="P37" s="270" t="n">
        <v>0</v>
      </c>
      <c r="Q37" s="270" t="n">
        <v>0</v>
      </c>
      <c r="R37" s="270" t="n"/>
      <c r="S37" s="270" t="n"/>
      <c r="T37" s="270" t="n"/>
      <c r="U37" s="270" t="n"/>
      <c r="V37" s="270" t="n"/>
      <c r="W37" s="270" t="n">
        <v>0</v>
      </c>
      <c r="X37" s="271" t="n">
        <v>463216</v>
      </c>
      <c r="Y37" s="270" t="n">
        <v>444310</v>
      </c>
      <c r="Z37" s="272" t="n">
        <v>303998</v>
      </c>
      <c r="AA37" s="273" t="n">
        <v>140312</v>
      </c>
      <c r="AB37" s="273" t="n">
        <v>847506</v>
      </c>
      <c r="AC37" s="576" t="n"/>
      <c r="AD37" s="301" t="n">
        <v>0</v>
      </c>
      <c r="AE37" s="270" t="n">
        <v>0</v>
      </c>
      <c r="AF37" s="270" t="n">
        <v>0</v>
      </c>
      <c r="AG37" s="270" t="n">
        <v>0</v>
      </c>
      <c r="AH37" s="270" t="n">
        <v>0</v>
      </c>
      <c r="AI37" s="270" t="n"/>
      <c r="AJ37" s="270" t="n"/>
      <c r="AK37" s="686" t="n">
        <v>0</v>
      </c>
      <c r="AM37" s="686" t="n">
        <v>0</v>
      </c>
      <c r="AO37" s="56">
        <f>SUM(B26:B37)</f>
        <v/>
      </c>
      <c r="AP37" s="56" t="n"/>
      <c r="AQ37" s="56">
        <f>SUM(C37:Y37)</f>
        <v/>
      </c>
      <c r="AR37" s="56">
        <f>AM37+AD37</f>
        <v/>
      </c>
    </row>
    <row r="38">
      <c r="A38" s="274" t="n">
        <v>42736</v>
      </c>
      <c r="B38" s="275" t="n">
        <v>5525573</v>
      </c>
      <c r="C38" s="275" t="n">
        <v>3099589</v>
      </c>
      <c r="D38" s="275" t="n">
        <v>214435</v>
      </c>
      <c r="E38" s="275" t="n">
        <v>370050</v>
      </c>
      <c r="F38" s="275" t="n">
        <v>0</v>
      </c>
      <c r="G38" s="275" t="n">
        <v>0</v>
      </c>
      <c r="H38" s="275" t="n">
        <v>0</v>
      </c>
      <c r="I38" s="275" t="n">
        <v>618875</v>
      </c>
      <c r="J38" s="275" t="n">
        <v>233523</v>
      </c>
      <c r="K38" s="275" t="n">
        <v>46449</v>
      </c>
      <c r="L38" s="275" t="n">
        <v>99324</v>
      </c>
      <c r="M38" s="276" t="n">
        <v>0</v>
      </c>
      <c r="N38" s="275" t="n">
        <v>55694</v>
      </c>
      <c r="O38" s="276" t="n">
        <v>41576</v>
      </c>
      <c r="P38" s="276" t="n">
        <v>0</v>
      </c>
      <c r="Q38" s="276" t="n">
        <v>0</v>
      </c>
      <c r="R38" s="276" t="n"/>
      <c r="S38" s="276" t="n"/>
      <c r="T38" s="276" t="n"/>
      <c r="U38" s="276" t="n"/>
      <c r="V38" s="276" t="n"/>
      <c r="W38" s="276" t="n">
        <v>0</v>
      </c>
      <c r="X38" s="276" t="n">
        <v>337896</v>
      </c>
      <c r="Y38" s="275" t="n">
        <v>408162</v>
      </c>
      <c r="Z38" s="277" t="n">
        <v>243772</v>
      </c>
      <c r="AA38" s="278" t="n">
        <v>164390</v>
      </c>
      <c r="AB38" s="278" t="n">
        <v>674569</v>
      </c>
      <c r="AC38" s="576" t="n"/>
      <c r="AD38" s="302" t="n">
        <v>0</v>
      </c>
      <c r="AE38" s="276" t="n">
        <v>0</v>
      </c>
      <c r="AF38" s="276" t="n">
        <v>0</v>
      </c>
      <c r="AG38" s="276" t="n">
        <v>0</v>
      </c>
      <c r="AH38" s="276" t="n">
        <v>0</v>
      </c>
      <c r="AI38" s="276" t="n"/>
      <c r="AJ38" s="276" t="n"/>
      <c r="AK38" s="687" t="n">
        <v>0</v>
      </c>
      <c r="AM38" s="687" t="n">
        <v>0</v>
      </c>
      <c r="AO38" s="56">
        <f>SUM(B27:B38)</f>
        <v/>
      </c>
      <c r="AP38" s="56" t="n"/>
      <c r="AQ38" s="56">
        <f>SUM(C38:Y38)</f>
        <v/>
      </c>
      <c r="AR38" s="56">
        <f>AM38+AD38</f>
        <v/>
      </c>
    </row>
    <row r="39">
      <c r="A39" s="274" t="n">
        <v>42767</v>
      </c>
      <c r="B39" s="275" t="n">
        <v>6826525</v>
      </c>
      <c r="C39" s="275" t="n">
        <v>4036987</v>
      </c>
      <c r="D39" s="275" t="n">
        <v>254971</v>
      </c>
      <c r="E39" s="275" t="n">
        <v>430923</v>
      </c>
      <c r="F39" s="275" t="n">
        <v>0</v>
      </c>
      <c r="G39" s="275" t="n">
        <v>0</v>
      </c>
      <c r="H39" s="275" t="n">
        <v>0</v>
      </c>
      <c r="I39" s="275" t="n">
        <v>526051</v>
      </c>
      <c r="J39" s="275" t="n">
        <v>277051</v>
      </c>
      <c r="K39" s="160" t="n">
        <v>57162</v>
      </c>
      <c r="L39" s="275" t="n">
        <v>104695</v>
      </c>
      <c r="M39" s="276" t="n">
        <v>0</v>
      </c>
      <c r="N39" s="275" t="n">
        <v>58566</v>
      </c>
      <c r="O39" s="276" t="n">
        <v>46491</v>
      </c>
      <c r="P39" s="276" t="n">
        <v>0</v>
      </c>
      <c r="Q39" s="276" t="n">
        <v>0</v>
      </c>
      <c r="R39" s="276" t="n"/>
      <c r="S39" s="276" t="n"/>
      <c r="T39" s="276" t="n"/>
      <c r="U39" s="276" t="n"/>
      <c r="V39" s="276" t="n"/>
      <c r="W39" s="276" t="n">
        <v>0</v>
      </c>
      <c r="X39" s="276" t="n">
        <v>498147</v>
      </c>
      <c r="Y39" s="275" t="n">
        <v>535481</v>
      </c>
      <c r="Z39" s="277" t="n">
        <v>308838</v>
      </c>
      <c r="AA39" s="278" t="n">
        <v>226643</v>
      </c>
      <c r="AB39" s="278" t="n">
        <v>584617</v>
      </c>
      <c r="AC39" s="576" t="n"/>
      <c r="AD39" s="302" t="n">
        <v>0</v>
      </c>
      <c r="AE39" s="276" t="n">
        <v>0</v>
      </c>
      <c r="AF39" s="276" t="n">
        <v>0</v>
      </c>
      <c r="AG39" s="276" t="n">
        <v>0</v>
      </c>
      <c r="AH39" s="276" t="n">
        <v>0</v>
      </c>
      <c r="AI39" s="276" t="n"/>
      <c r="AJ39" s="276" t="n"/>
      <c r="AK39" s="687" t="n">
        <v>0</v>
      </c>
      <c r="AM39" s="687" t="n">
        <v>0</v>
      </c>
      <c r="AO39" s="56">
        <f>SUM(B28:B39)</f>
        <v/>
      </c>
      <c r="AP39" s="56" t="n"/>
      <c r="AQ39" s="56">
        <f>SUM(C39:Y39)</f>
        <v/>
      </c>
      <c r="AR39" s="56">
        <f>AM39+AD39</f>
        <v/>
      </c>
    </row>
    <row r="40">
      <c r="A40" s="274" t="n">
        <v>42795</v>
      </c>
      <c r="B40" s="275" t="n">
        <v>6883831</v>
      </c>
      <c r="C40" s="275" t="n">
        <v>3870515</v>
      </c>
      <c r="D40" s="275" t="n">
        <v>248895</v>
      </c>
      <c r="E40" s="275" t="n">
        <v>445814</v>
      </c>
      <c r="F40" s="275" t="n">
        <v>0</v>
      </c>
      <c r="G40" s="275" t="n">
        <v>0</v>
      </c>
      <c r="H40" s="275" t="n">
        <v>0</v>
      </c>
      <c r="I40" s="275" t="n">
        <v>740508</v>
      </c>
      <c r="J40" s="275" t="n">
        <v>295298</v>
      </c>
      <c r="K40" s="160" t="n">
        <v>58107</v>
      </c>
      <c r="L40" s="275" t="n">
        <v>92166</v>
      </c>
      <c r="M40" s="276" t="n">
        <v>0</v>
      </c>
      <c r="N40" s="275" t="n">
        <v>72031</v>
      </c>
      <c r="O40" s="276" t="n">
        <v>46835</v>
      </c>
      <c r="P40" s="276" t="n">
        <v>0</v>
      </c>
      <c r="Q40" s="276" t="n">
        <v>0</v>
      </c>
      <c r="R40" s="276" t="n"/>
      <c r="S40" s="276" t="n"/>
      <c r="T40" s="276" t="n"/>
      <c r="U40" s="276" t="n"/>
      <c r="V40" s="276" t="n"/>
      <c r="W40" s="276" t="n">
        <v>0</v>
      </c>
      <c r="X40" s="276" t="n">
        <v>500980</v>
      </c>
      <c r="Y40" s="275" t="n">
        <v>512682</v>
      </c>
      <c r="Z40" s="277" t="n">
        <v>317794</v>
      </c>
      <c r="AA40" s="278" t="n">
        <v>194888</v>
      </c>
      <c r="AB40" s="278" t="n">
        <v>812539</v>
      </c>
      <c r="AC40" s="576" t="n"/>
      <c r="AD40" s="302" t="n">
        <v>0</v>
      </c>
      <c r="AE40" s="276" t="n">
        <v>0</v>
      </c>
      <c r="AF40" s="276" t="n">
        <v>0</v>
      </c>
      <c r="AG40" s="276" t="n">
        <v>0</v>
      </c>
      <c r="AH40" s="276" t="n">
        <v>0</v>
      </c>
      <c r="AI40" s="276" t="n"/>
      <c r="AJ40" s="276" t="n"/>
      <c r="AK40" s="687" t="n">
        <v>0</v>
      </c>
      <c r="AM40" s="687" t="n">
        <v>0</v>
      </c>
      <c r="AO40" s="56">
        <f>SUM(B29:B40)</f>
        <v/>
      </c>
      <c r="AP40" s="56" t="n"/>
      <c r="AQ40" s="56">
        <f>SUM(C40:Y40)</f>
        <v/>
      </c>
      <c r="AR40" s="56">
        <f>AM40+AD40</f>
        <v/>
      </c>
    </row>
    <row r="41">
      <c r="A41" s="274" t="n">
        <v>42826</v>
      </c>
      <c r="B41" s="275" t="n">
        <v>6688335</v>
      </c>
      <c r="C41" s="275" t="n">
        <v>3328654</v>
      </c>
      <c r="D41" s="275" t="n">
        <v>212465</v>
      </c>
      <c r="E41" s="275" t="n">
        <v>375876</v>
      </c>
      <c r="F41" s="275" t="n">
        <v>0</v>
      </c>
      <c r="G41" s="275" t="n">
        <v>0</v>
      </c>
      <c r="H41" s="275" t="n">
        <v>0</v>
      </c>
      <c r="I41" s="275" t="n">
        <v>1194038</v>
      </c>
      <c r="J41" s="275" t="n">
        <v>235542</v>
      </c>
      <c r="K41" s="160" t="n">
        <v>49717</v>
      </c>
      <c r="L41" s="275" t="n">
        <v>105608</v>
      </c>
      <c r="M41" s="276" t="n">
        <v>0</v>
      </c>
      <c r="N41" s="275" t="n">
        <v>123848</v>
      </c>
      <c r="O41" s="275" t="n">
        <v>51501</v>
      </c>
      <c r="P41" s="276" t="n">
        <v>0</v>
      </c>
      <c r="Q41" s="276" t="n">
        <v>0</v>
      </c>
      <c r="R41" s="276" t="n"/>
      <c r="S41" s="276" t="n"/>
      <c r="T41" s="276" t="n"/>
      <c r="U41" s="276" t="n"/>
      <c r="V41" s="276" t="n"/>
      <c r="W41" s="276" t="n">
        <v>0</v>
      </c>
      <c r="X41" s="276" t="n">
        <v>556388</v>
      </c>
      <c r="Y41" s="275" t="n">
        <v>454698</v>
      </c>
      <c r="Z41" s="277" t="n">
        <v>278250</v>
      </c>
      <c r="AA41" s="278" t="n">
        <v>176448</v>
      </c>
      <c r="AB41" s="278" t="n">
        <v>1317886</v>
      </c>
      <c r="AC41" s="576" t="n"/>
      <c r="AD41" s="302" t="n">
        <v>0</v>
      </c>
      <c r="AE41" s="276" t="n">
        <v>0</v>
      </c>
      <c r="AF41" s="276" t="n">
        <v>0</v>
      </c>
      <c r="AG41" s="276" t="n">
        <v>0</v>
      </c>
      <c r="AH41" s="276" t="n">
        <v>0</v>
      </c>
      <c r="AI41" s="276" t="n"/>
      <c r="AJ41" s="276" t="n"/>
      <c r="AK41" s="688" t="n">
        <v>0</v>
      </c>
      <c r="AM41" s="688" t="n">
        <v>0</v>
      </c>
      <c r="AO41" s="56">
        <f>SUM(B30:B41)</f>
        <v/>
      </c>
      <c r="AP41" s="56" t="n"/>
      <c r="AQ41" s="56">
        <f>SUM(C41:Y41)</f>
        <v/>
      </c>
      <c r="AR41" s="56">
        <f>AM41+AD41</f>
        <v/>
      </c>
    </row>
    <row r="42" ht="17" customHeight="1" thickBot="1">
      <c r="A42" s="274" t="n">
        <v>42856</v>
      </c>
      <c r="B42" s="275" t="n">
        <v>8137565</v>
      </c>
      <c r="C42" s="275" t="n">
        <v>3720289</v>
      </c>
      <c r="D42" s="275" t="n">
        <v>252700</v>
      </c>
      <c r="E42" s="275" t="n">
        <v>428220</v>
      </c>
      <c r="F42" s="275" t="n">
        <v>0</v>
      </c>
      <c r="G42" s="275" t="n">
        <v>0</v>
      </c>
      <c r="H42" s="275" t="n">
        <v>0</v>
      </c>
      <c r="I42" s="275" t="n">
        <v>1738362</v>
      </c>
      <c r="J42" s="275" t="n">
        <v>282988</v>
      </c>
      <c r="K42" s="160" t="n">
        <v>64509</v>
      </c>
      <c r="L42" s="275" t="n">
        <v>160553</v>
      </c>
      <c r="M42" s="276" t="n">
        <v>0</v>
      </c>
      <c r="N42" s="275" t="n">
        <v>193845</v>
      </c>
      <c r="O42" s="275" t="n">
        <v>68219</v>
      </c>
      <c r="P42" s="276" t="n">
        <v>0</v>
      </c>
      <c r="Q42" s="276" t="n">
        <v>0</v>
      </c>
      <c r="R42" s="276" t="n"/>
      <c r="S42" s="276" t="n"/>
      <c r="T42" s="276" t="n"/>
      <c r="U42" s="276" t="n"/>
      <c r="V42" s="276" t="n"/>
      <c r="W42" s="276" t="n">
        <v>0</v>
      </c>
      <c r="X42" s="276" t="n">
        <v>660533</v>
      </c>
      <c r="Y42" s="275" t="n">
        <v>567347</v>
      </c>
      <c r="Z42" s="277" t="n">
        <v>318068</v>
      </c>
      <c r="AA42" s="278" t="n">
        <v>249279</v>
      </c>
      <c r="AB42" s="278" t="n">
        <v>1932207</v>
      </c>
      <c r="AC42" s="576" t="n"/>
      <c r="AD42" s="302" t="n">
        <v>0</v>
      </c>
      <c r="AE42" s="276" t="n">
        <v>0</v>
      </c>
      <c r="AF42" s="276" t="n">
        <v>0</v>
      </c>
      <c r="AG42" s="276" t="n">
        <v>0</v>
      </c>
      <c r="AH42" s="276" t="n">
        <v>0</v>
      </c>
      <c r="AI42" s="276" t="n"/>
      <c r="AJ42" s="276" t="n"/>
      <c r="AK42" s="688" t="n">
        <v>0</v>
      </c>
      <c r="AM42" s="688" t="n">
        <v>0</v>
      </c>
      <c r="AO42" s="56">
        <f>SUM(B31:B42)</f>
        <v/>
      </c>
      <c r="AP42" s="56" t="n"/>
      <c r="AQ42" s="56">
        <f>SUM(C42:Y42)</f>
        <v/>
      </c>
      <c r="AR42" s="56">
        <f>AM42+AD42</f>
        <v/>
      </c>
    </row>
    <row r="43" ht="17" customHeight="1" thickBot="1">
      <c r="A43" s="274" t="n">
        <v>42887</v>
      </c>
      <c r="B43" s="275" t="n">
        <v>9514271</v>
      </c>
      <c r="C43" s="275" t="n">
        <v>4066105</v>
      </c>
      <c r="D43" s="275" t="n">
        <v>258022</v>
      </c>
      <c r="E43" s="275" t="n">
        <v>446908</v>
      </c>
      <c r="F43" s="275" t="n">
        <v>0</v>
      </c>
      <c r="G43" s="275" t="n">
        <v>0</v>
      </c>
      <c r="H43" s="275" t="n">
        <v>0</v>
      </c>
      <c r="I43" s="275" t="n">
        <v>2500352</v>
      </c>
      <c r="J43" s="275" t="n">
        <v>267111</v>
      </c>
      <c r="K43" s="160" t="n">
        <v>70932</v>
      </c>
      <c r="L43" s="275" t="n">
        <v>204894</v>
      </c>
      <c r="M43" s="276" t="n">
        <v>0</v>
      </c>
      <c r="N43" s="275" t="n">
        <v>240351</v>
      </c>
      <c r="O43" s="275" t="n">
        <v>86736</v>
      </c>
      <c r="P43" s="276" t="n">
        <v>0</v>
      </c>
      <c r="Q43" s="276" t="n">
        <v>0</v>
      </c>
      <c r="R43" s="276" t="n"/>
      <c r="S43" s="276" t="n"/>
      <c r="T43" s="276" t="n"/>
      <c r="U43" s="276" t="n"/>
      <c r="V43" s="276" t="n"/>
      <c r="W43" s="276" t="n">
        <v>0</v>
      </c>
      <c r="X43" s="276" t="n">
        <v>611695</v>
      </c>
      <c r="Y43" s="275" t="n">
        <v>761165</v>
      </c>
      <c r="Z43" s="277" t="n">
        <v>307686</v>
      </c>
      <c r="AA43" s="278" t="n">
        <v>453479</v>
      </c>
      <c r="AB43" s="278" t="n">
        <v>2740703</v>
      </c>
      <c r="AC43" s="576" t="n"/>
      <c r="AD43" s="302" t="n">
        <v>0</v>
      </c>
      <c r="AE43" s="276" t="n">
        <v>0</v>
      </c>
      <c r="AF43" s="276" t="n">
        <v>0</v>
      </c>
      <c r="AG43" s="276" t="n">
        <v>0</v>
      </c>
      <c r="AH43" s="276" t="n">
        <v>0</v>
      </c>
      <c r="AI43" s="276" t="n"/>
      <c r="AJ43" s="294" t="n"/>
      <c r="AK43" s="688" t="n">
        <v>0</v>
      </c>
      <c r="AM43" s="688" t="n">
        <v>0</v>
      </c>
      <c r="AO43" s="577">
        <f>SUM(B32:B43)</f>
        <v/>
      </c>
      <c r="AP43" s="578">
        <f>AK43</f>
        <v/>
      </c>
      <c r="AQ43" s="56">
        <f>SUM(C43:Y43)</f>
        <v/>
      </c>
      <c r="AR43" s="56">
        <f>AM43+AD43</f>
        <v/>
      </c>
    </row>
    <row r="44">
      <c r="A44" s="274" t="n">
        <v>42917</v>
      </c>
      <c r="B44" s="275" t="n">
        <v>8243086</v>
      </c>
      <c r="C44" s="275" t="n">
        <v>3001369</v>
      </c>
      <c r="D44" s="275" t="n">
        <v>231436</v>
      </c>
      <c r="E44" s="275" t="n">
        <v>384666</v>
      </c>
      <c r="F44" s="275" t="n">
        <v>0</v>
      </c>
      <c r="G44" s="275" t="n">
        <v>0</v>
      </c>
      <c r="H44" s="275" t="n">
        <v>0</v>
      </c>
      <c r="I44" s="275" t="n">
        <v>2544886</v>
      </c>
      <c r="J44" s="275" t="n">
        <v>241317</v>
      </c>
      <c r="K44" s="160" t="n">
        <v>62499</v>
      </c>
      <c r="L44" s="275" t="n">
        <v>192870</v>
      </c>
      <c r="M44" s="276" t="n">
        <v>0</v>
      </c>
      <c r="N44" s="279" t="n">
        <v>223983</v>
      </c>
      <c r="O44" s="275" t="n">
        <v>82519</v>
      </c>
      <c r="P44" s="276" t="n">
        <v>0</v>
      </c>
      <c r="Q44" s="276" t="n">
        <v>0</v>
      </c>
      <c r="R44" s="276" t="n"/>
      <c r="S44" s="276" t="n"/>
      <c r="T44" s="276" t="n"/>
      <c r="U44" s="276" t="n"/>
      <c r="V44" s="276" t="n"/>
      <c r="W44" s="276" t="n">
        <v>0</v>
      </c>
      <c r="X44" s="275" t="n">
        <v>700584</v>
      </c>
      <c r="Y44" s="275" t="n">
        <v>576957</v>
      </c>
      <c r="Z44" s="277" t="n">
        <v>212800</v>
      </c>
      <c r="AA44" s="278" t="n">
        <v>364157</v>
      </c>
      <c r="AB44" s="278" t="n">
        <v>2768869</v>
      </c>
      <c r="AC44" s="576" t="n"/>
      <c r="AD44" s="302" t="n">
        <v>0</v>
      </c>
      <c r="AE44" s="276" t="n">
        <v>0</v>
      </c>
      <c r="AF44" s="276" t="n">
        <v>0</v>
      </c>
      <c r="AG44" s="276" t="n">
        <v>0</v>
      </c>
      <c r="AH44" s="276" t="n">
        <v>0</v>
      </c>
      <c r="AI44" s="276" t="n"/>
      <c r="AJ44" s="276" t="n"/>
      <c r="AK44" s="688" t="n">
        <v>0</v>
      </c>
      <c r="AM44" s="688" t="n">
        <v>0</v>
      </c>
      <c r="AO44" s="56">
        <f>SUM(B33:B44)</f>
        <v/>
      </c>
      <c r="AP44" s="56" t="n"/>
      <c r="AQ44" s="56">
        <f>SUM(C44:Y44)</f>
        <v/>
      </c>
      <c r="AR44" s="56">
        <f>AM44+AD44</f>
        <v/>
      </c>
    </row>
    <row r="45">
      <c r="A45" s="274" t="n">
        <v>42948</v>
      </c>
      <c r="B45" s="275" t="n">
        <v>9842261</v>
      </c>
      <c r="C45" s="275" t="n">
        <v>4031396</v>
      </c>
      <c r="D45" s="275" t="n">
        <v>275532</v>
      </c>
      <c r="E45" s="275" t="n">
        <v>493213</v>
      </c>
      <c r="F45" s="275" t="n">
        <v>0</v>
      </c>
      <c r="G45" s="275" t="n">
        <v>0</v>
      </c>
      <c r="H45" s="275" t="n">
        <v>0</v>
      </c>
      <c r="I45" s="275" t="n">
        <v>2551418</v>
      </c>
      <c r="J45" s="275" t="n">
        <v>296187</v>
      </c>
      <c r="K45" s="160" t="n">
        <v>74921</v>
      </c>
      <c r="L45" s="275" t="n">
        <v>248922</v>
      </c>
      <c r="M45" s="276" t="n">
        <v>0</v>
      </c>
      <c r="N45" s="275" t="n">
        <v>278456</v>
      </c>
      <c r="O45" s="275" t="n">
        <v>82128</v>
      </c>
      <c r="P45" s="276" t="n">
        <v>0</v>
      </c>
      <c r="Q45" s="276" t="n">
        <v>0</v>
      </c>
      <c r="R45" s="276" t="n"/>
      <c r="S45" s="276" t="n"/>
      <c r="T45" s="276" t="n"/>
      <c r="U45" s="276" t="n"/>
      <c r="V45" s="276" t="n"/>
      <c r="W45" s="276" t="n">
        <v>0</v>
      </c>
      <c r="X45" s="275" t="n">
        <v>722301</v>
      </c>
      <c r="Y45" s="275" t="n">
        <v>787787</v>
      </c>
      <c r="Z45" s="277" t="n">
        <v>241411</v>
      </c>
      <c r="AA45" s="278" t="n">
        <v>546376</v>
      </c>
      <c r="AB45" s="278" t="n">
        <v>2829874</v>
      </c>
      <c r="AC45" s="576" t="n"/>
      <c r="AD45" s="302" t="n">
        <v>0</v>
      </c>
      <c r="AE45" s="276" t="n">
        <v>0</v>
      </c>
      <c r="AF45" s="276" t="n">
        <v>0</v>
      </c>
      <c r="AG45" s="276" t="n">
        <v>0</v>
      </c>
      <c r="AH45" s="276" t="n">
        <v>0</v>
      </c>
      <c r="AI45" s="276" t="n"/>
      <c r="AJ45" s="276" t="n"/>
      <c r="AK45" s="688" t="n">
        <v>0</v>
      </c>
      <c r="AM45" s="688" t="n">
        <v>0</v>
      </c>
      <c r="AO45" s="56">
        <f>SUM(B34:B45)</f>
        <v/>
      </c>
      <c r="AP45" s="56" t="n"/>
      <c r="AQ45" s="56">
        <f>SUM(C45:Y45)</f>
        <v/>
      </c>
      <c r="AR45" s="56">
        <f>AM45+AD45</f>
        <v/>
      </c>
    </row>
    <row r="46">
      <c r="A46" s="274" t="n">
        <v>42979</v>
      </c>
      <c r="B46" s="275" t="n">
        <v>9512976</v>
      </c>
      <c r="C46" s="275" t="n">
        <v>3773479</v>
      </c>
      <c r="D46" s="275" t="n">
        <v>258590</v>
      </c>
      <c r="E46" s="275" t="n">
        <v>442915</v>
      </c>
      <c r="F46" s="275" t="n">
        <v>0</v>
      </c>
      <c r="G46" s="275" t="n">
        <v>0</v>
      </c>
      <c r="H46" s="275" t="n">
        <v>0</v>
      </c>
      <c r="I46" s="275" t="n">
        <v>2600804</v>
      </c>
      <c r="J46" s="275" t="n">
        <v>288653</v>
      </c>
      <c r="K46" s="160" t="n">
        <v>60546</v>
      </c>
      <c r="L46" s="275" t="n">
        <v>207848</v>
      </c>
      <c r="M46" s="276" t="n">
        <v>0</v>
      </c>
      <c r="N46" s="275" t="n">
        <v>265391</v>
      </c>
      <c r="O46" s="275" t="n">
        <v>71953</v>
      </c>
      <c r="P46" s="276" t="n">
        <v>0</v>
      </c>
      <c r="Q46" s="276" t="n">
        <v>0</v>
      </c>
      <c r="R46" s="276" t="n"/>
      <c r="S46" s="276" t="n"/>
      <c r="T46" s="276" t="n"/>
      <c r="U46" s="276" t="n"/>
      <c r="V46" s="276" t="n"/>
      <c r="W46" s="276" t="n">
        <v>0</v>
      </c>
      <c r="X46" s="275" t="n">
        <v>787739</v>
      </c>
      <c r="Y46" s="275" t="n">
        <v>755058</v>
      </c>
      <c r="Z46" s="277" t="n">
        <v>247909</v>
      </c>
      <c r="AA46" s="278" t="n">
        <v>507149</v>
      </c>
      <c r="AB46" s="278" t="n">
        <v>2866195</v>
      </c>
      <c r="AC46" s="576" t="n"/>
      <c r="AD46" s="302" t="n">
        <v>0</v>
      </c>
      <c r="AE46" s="276" t="n">
        <v>0</v>
      </c>
      <c r="AF46" s="276" t="n">
        <v>0</v>
      </c>
      <c r="AG46" s="276" t="n">
        <v>0</v>
      </c>
      <c r="AH46" s="276" t="n">
        <v>0</v>
      </c>
      <c r="AI46" s="276" t="n"/>
      <c r="AJ46" s="276" t="n"/>
      <c r="AK46" s="688" t="n">
        <v>0</v>
      </c>
      <c r="AM46" s="688" t="n">
        <v>0</v>
      </c>
      <c r="AO46" s="56">
        <f>SUM(B35:B46)</f>
        <v/>
      </c>
      <c r="AP46" s="56" t="n"/>
      <c r="AQ46" s="56">
        <f>SUM(C46:Y46)</f>
        <v/>
      </c>
      <c r="AR46" s="56">
        <f>AM46+AD46</f>
        <v/>
      </c>
    </row>
    <row r="47">
      <c r="A47" s="274" t="n">
        <v>43009</v>
      </c>
      <c r="B47" s="275" t="n">
        <v>8514444</v>
      </c>
      <c r="C47" s="275" t="n">
        <v>3744126</v>
      </c>
      <c r="D47" s="275" t="n">
        <v>270654</v>
      </c>
      <c r="E47" s="275" t="n">
        <v>452584</v>
      </c>
      <c r="F47" s="275" t="n">
        <v>0</v>
      </c>
      <c r="G47" s="275" t="n">
        <v>0</v>
      </c>
      <c r="H47" s="275" t="n">
        <v>0</v>
      </c>
      <c r="I47" s="275" t="n">
        <v>1841190</v>
      </c>
      <c r="J47" s="275" t="n">
        <v>292092</v>
      </c>
      <c r="K47" s="160" t="n">
        <v>63022</v>
      </c>
      <c r="L47" s="275" t="n">
        <v>183095</v>
      </c>
      <c r="M47" s="276" t="n">
        <v>0</v>
      </c>
      <c r="N47" s="275" t="n">
        <v>217543</v>
      </c>
      <c r="O47" s="275" t="n">
        <v>42173</v>
      </c>
      <c r="P47" s="276" t="n">
        <v>0</v>
      </c>
      <c r="Q47" s="276" t="n">
        <v>0</v>
      </c>
      <c r="R47" s="276" t="n"/>
      <c r="S47" s="276" t="n"/>
      <c r="T47" s="276" t="n"/>
      <c r="U47" s="276" t="n"/>
      <c r="V47" s="276" t="n"/>
      <c r="W47" s="276" t="n">
        <v>0</v>
      </c>
      <c r="X47" s="275" t="n">
        <v>803446</v>
      </c>
      <c r="Y47" s="275" t="n">
        <v>604519</v>
      </c>
      <c r="Z47" s="277" t="n">
        <v>246432</v>
      </c>
      <c r="AA47" s="278" t="n">
        <v>358087</v>
      </c>
      <c r="AB47" s="278" t="n">
        <v>2058733</v>
      </c>
      <c r="AC47" s="576" t="n"/>
      <c r="AD47" s="302" t="n">
        <v>0</v>
      </c>
      <c r="AE47" s="276" t="n">
        <v>0</v>
      </c>
      <c r="AF47" s="276" t="n">
        <v>0</v>
      </c>
      <c r="AG47" s="276" t="n">
        <v>0</v>
      </c>
      <c r="AH47" s="276" t="n">
        <v>0</v>
      </c>
      <c r="AI47" s="276" t="n"/>
      <c r="AJ47" s="276" t="n"/>
      <c r="AK47" s="688" t="n">
        <v>0</v>
      </c>
      <c r="AM47" s="688" t="n">
        <v>0</v>
      </c>
      <c r="AO47" s="56">
        <f>SUM(B36:B47)</f>
        <v/>
      </c>
      <c r="AP47" s="56" t="n"/>
      <c r="AQ47" s="56">
        <f>SUM(C47:Y47)</f>
        <v/>
      </c>
      <c r="AR47" s="56">
        <f>AM47+AD47</f>
        <v/>
      </c>
    </row>
    <row r="48">
      <c r="A48" s="274" t="n">
        <v>43040</v>
      </c>
      <c r="B48" s="275" t="n">
        <v>7261986</v>
      </c>
      <c r="C48" s="275" t="n">
        <v>3933330</v>
      </c>
      <c r="D48" s="275" t="n">
        <v>249042</v>
      </c>
      <c r="E48" s="275" t="n">
        <v>421911</v>
      </c>
      <c r="F48" s="275" t="n">
        <v>0</v>
      </c>
      <c r="G48" s="275" t="n">
        <v>0</v>
      </c>
      <c r="H48" s="275" t="n">
        <v>0</v>
      </c>
      <c r="I48" s="275" t="n">
        <v>1084163</v>
      </c>
      <c r="J48" s="275" t="n">
        <v>284103</v>
      </c>
      <c r="K48" s="160" t="n">
        <v>55715</v>
      </c>
      <c r="L48" s="275" t="n">
        <v>122475</v>
      </c>
      <c r="M48" s="276" t="n">
        <v>0</v>
      </c>
      <c r="N48" s="275" t="n">
        <v>126984</v>
      </c>
      <c r="O48" s="275" t="n">
        <v>29219</v>
      </c>
      <c r="P48" s="276" t="n">
        <v>0</v>
      </c>
      <c r="Q48" s="276" t="n">
        <v>0</v>
      </c>
      <c r="R48" s="276" t="n"/>
      <c r="S48" s="276" t="n"/>
      <c r="T48" s="276" t="n"/>
      <c r="U48" s="276" t="n"/>
      <c r="V48" s="276" t="n"/>
      <c r="W48" s="276" t="n">
        <v>0</v>
      </c>
      <c r="X48" s="275" t="n">
        <v>512053</v>
      </c>
      <c r="Y48" s="275" t="n">
        <v>442991</v>
      </c>
      <c r="Z48" s="277" t="n">
        <v>271273</v>
      </c>
      <c r="AA48" s="278" t="n">
        <v>171718</v>
      </c>
      <c r="AB48" s="278" t="n">
        <v>1211147</v>
      </c>
      <c r="AC48" s="576" t="n"/>
      <c r="AD48" s="302" t="n">
        <v>0</v>
      </c>
      <c r="AE48" s="276" t="n">
        <v>0</v>
      </c>
      <c r="AF48" s="276" t="n">
        <v>0</v>
      </c>
      <c r="AG48" s="276" t="n">
        <v>0</v>
      </c>
      <c r="AH48" s="276" t="n">
        <v>0</v>
      </c>
      <c r="AI48" s="276" t="n"/>
      <c r="AJ48" s="276" t="n"/>
      <c r="AK48" s="688" t="n">
        <v>0</v>
      </c>
      <c r="AM48" s="688" t="n">
        <v>0</v>
      </c>
      <c r="AO48" s="56">
        <f>SUM(B37:B48)</f>
        <v/>
      </c>
      <c r="AP48" s="56" t="n"/>
      <c r="AQ48" s="56">
        <f>SUM(C48:Y48)</f>
        <v/>
      </c>
      <c r="AR48" s="56">
        <f>AM48+AD48</f>
        <v/>
      </c>
    </row>
    <row r="49">
      <c r="A49" s="274" t="n">
        <v>43070</v>
      </c>
      <c r="B49" s="275" t="n">
        <v>5970850</v>
      </c>
      <c r="C49" s="275" t="n">
        <v>3266116</v>
      </c>
      <c r="D49" s="275" t="n">
        <v>230252</v>
      </c>
      <c r="E49" s="275" t="n">
        <v>430229</v>
      </c>
      <c r="F49" s="275" t="n">
        <v>0</v>
      </c>
      <c r="G49" s="275" t="n">
        <v>0</v>
      </c>
      <c r="H49" s="275" t="n">
        <v>0</v>
      </c>
      <c r="I49" s="275" t="n">
        <v>611381</v>
      </c>
      <c r="J49" s="275" t="n">
        <v>273022</v>
      </c>
      <c r="K49" s="160" t="n">
        <v>56181</v>
      </c>
      <c r="L49" s="275" t="n">
        <v>119923</v>
      </c>
      <c r="M49" s="276" t="n">
        <v>0</v>
      </c>
      <c r="N49" s="275" t="n">
        <v>73274</v>
      </c>
      <c r="O49" s="275" t="n">
        <v>29061</v>
      </c>
      <c r="P49" s="276" t="n">
        <v>0</v>
      </c>
      <c r="Q49" s="276" t="n">
        <v>0</v>
      </c>
      <c r="R49" s="276" t="n"/>
      <c r="S49" s="276" t="n"/>
      <c r="T49" s="276" t="n"/>
      <c r="U49" s="276" t="n"/>
      <c r="V49" s="276" t="n"/>
      <c r="W49" s="276" t="n">
        <v>0</v>
      </c>
      <c r="X49" s="275" t="n">
        <v>469420</v>
      </c>
      <c r="Y49" s="275" t="n">
        <v>411991</v>
      </c>
      <c r="Z49" s="277" t="n">
        <v>234655</v>
      </c>
      <c r="AA49" s="278" t="n">
        <v>177336</v>
      </c>
      <c r="AB49" s="278" t="n">
        <v>684655</v>
      </c>
      <c r="AC49" s="576" t="n"/>
      <c r="AD49" s="302" t="n">
        <v>0</v>
      </c>
      <c r="AE49" s="276" t="n">
        <v>0</v>
      </c>
      <c r="AF49" s="276" t="n">
        <v>0</v>
      </c>
      <c r="AG49" s="276" t="n">
        <v>0</v>
      </c>
      <c r="AH49" s="276" t="n">
        <v>0</v>
      </c>
      <c r="AI49" s="276" t="n"/>
      <c r="AJ49" s="276" t="n"/>
      <c r="AK49" s="688" t="n">
        <v>0</v>
      </c>
      <c r="AM49" s="688" t="n">
        <v>0</v>
      </c>
      <c r="AO49" s="56">
        <f>SUM(B38:B49)</f>
        <v/>
      </c>
      <c r="AP49" s="56" t="n"/>
      <c r="AQ49" s="56">
        <f>SUM(C49:Y49)</f>
        <v/>
      </c>
      <c r="AR49" s="56">
        <f>AM49+AD49</f>
        <v/>
      </c>
    </row>
    <row r="50">
      <c r="A50" s="280" t="n">
        <v>43101</v>
      </c>
      <c r="B50" s="281" t="n">
        <v>6340475</v>
      </c>
      <c r="C50" s="281" t="n">
        <v>3715383</v>
      </c>
      <c r="D50" s="281" t="n">
        <v>255100</v>
      </c>
      <c r="E50" s="281" t="n">
        <v>462317</v>
      </c>
      <c r="F50" s="281" t="n">
        <v>0</v>
      </c>
      <c r="G50" s="281" t="n">
        <v>0</v>
      </c>
      <c r="H50" s="281" t="n">
        <v>0</v>
      </c>
      <c r="I50" s="282" t="n">
        <v>511044</v>
      </c>
      <c r="J50" s="281" t="n">
        <v>277806</v>
      </c>
      <c r="K50" s="161" t="n">
        <v>57343</v>
      </c>
      <c r="L50" s="281" t="n">
        <v>115237</v>
      </c>
      <c r="M50" s="281" t="n">
        <v>0</v>
      </c>
      <c r="N50" s="282" t="n">
        <v>61658</v>
      </c>
      <c r="O50" s="281" t="n">
        <v>26266</v>
      </c>
      <c r="P50" s="281" t="n">
        <v>0</v>
      </c>
      <c r="Q50" s="281" t="n">
        <v>0</v>
      </c>
      <c r="R50" s="281" t="n"/>
      <c r="S50" s="281" t="n"/>
      <c r="T50" s="281" t="n"/>
      <c r="U50" s="281" t="n"/>
      <c r="V50" s="281" t="n"/>
      <c r="W50" s="281" t="n">
        <v>0</v>
      </c>
      <c r="X50" s="281" t="n">
        <v>326074</v>
      </c>
      <c r="Y50" s="281" t="n">
        <v>532247</v>
      </c>
      <c r="Z50" s="283" t="n">
        <v>267046</v>
      </c>
      <c r="AA50" s="284" t="n">
        <v>265201</v>
      </c>
      <c r="AB50" s="284" t="n">
        <v>572702</v>
      </c>
      <c r="AC50" s="576" t="n"/>
      <c r="AD50" s="303" t="n">
        <v>0</v>
      </c>
      <c r="AE50" s="281" t="n">
        <v>0</v>
      </c>
      <c r="AF50" s="281" t="n">
        <v>0</v>
      </c>
      <c r="AG50" s="281" t="n">
        <v>0</v>
      </c>
      <c r="AH50" s="281" t="n">
        <v>0</v>
      </c>
      <c r="AI50" s="281" t="n"/>
      <c r="AJ50" s="281" t="n"/>
      <c r="AK50" s="689" t="n">
        <v>0</v>
      </c>
      <c r="AM50" s="689" t="n">
        <v>0</v>
      </c>
      <c r="AO50" s="56">
        <f>SUM(B39:B50)</f>
        <v/>
      </c>
      <c r="AP50" s="56" t="n"/>
      <c r="AQ50" s="56">
        <f>SUM(C50:Y50)</f>
        <v/>
      </c>
      <c r="AR50" s="56">
        <f>AM50+AD50</f>
        <v/>
      </c>
    </row>
    <row r="51">
      <c r="A51" s="280" t="n">
        <v>43132</v>
      </c>
      <c r="B51" s="281" t="n">
        <v>6010872</v>
      </c>
      <c r="C51" s="281" t="n">
        <v>3437800</v>
      </c>
      <c r="D51" s="281" t="n">
        <v>218539</v>
      </c>
      <c r="E51" s="281" t="n">
        <v>418582</v>
      </c>
      <c r="F51" s="281" t="n">
        <v>0</v>
      </c>
      <c r="G51" s="281" t="n">
        <v>0</v>
      </c>
      <c r="H51" s="281" t="n">
        <v>0</v>
      </c>
      <c r="I51" s="282" t="n">
        <v>439104</v>
      </c>
      <c r="J51" s="281" t="n">
        <v>229353</v>
      </c>
      <c r="K51" s="161" t="n">
        <v>59346</v>
      </c>
      <c r="L51" s="281" t="n">
        <v>112008</v>
      </c>
      <c r="M51" s="281" t="n">
        <v>0</v>
      </c>
      <c r="N51" s="282" t="n">
        <v>44948</v>
      </c>
      <c r="O51" s="281" t="n">
        <v>24999</v>
      </c>
      <c r="P51" s="281" t="n">
        <v>0</v>
      </c>
      <c r="Q51" s="281" t="n">
        <v>0</v>
      </c>
      <c r="R51" s="281" t="n"/>
      <c r="S51" s="281" t="n"/>
      <c r="T51" s="281" t="n"/>
      <c r="U51" s="281" t="n"/>
      <c r="V51" s="281" t="n"/>
      <c r="W51" s="281" t="n">
        <v>0</v>
      </c>
      <c r="X51" s="281" t="n">
        <v>436736</v>
      </c>
      <c r="Y51" s="281" t="n">
        <v>589457</v>
      </c>
      <c r="Z51" s="283" t="n">
        <v>272614</v>
      </c>
      <c r="AA51" s="284" t="n">
        <v>316843</v>
      </c>
      <c r="AB51" s="284" t="n">
        <v>484052</v>
      </c>
      <c r="AC51" s="576" t="n"/>
      <c r="AD51" s="304" t="n">
        <v>83562</v>
      </c>
      <c r="AE51" s="281" t="n">
        <v>0</v>
      </c>
      <c r="AF51" s="281" t="n">
        <v>0</v>
      </c>
      <c r="AG51" s="281" t="n">
        <v>0</v>
      </c>
      <c r="AH51" s="281" t="n">
        <v>0</v>
      </c>
      <c r="AI51" s="281" t="n"/>
      <c r="AJ51" s="281" t="n"/>
      <c r="AK51" s="689" t="n">
        <v>0</v>
      </c>
      <c r="AM51" s="689" t="n">
        <v>0</v>
      </c>
      <c r="AO51" s="56">
        <f>SUM(B40:B51)</f>
        <v/>
      </c>
      <c r="AP51" s="56" t="n"/>
      <c r="AQ51" s="56">
        <f>SUM(C51:Y51)</f>
        <v/>
      </c>
      <c r="AR51" s="56">
        <f>AM51+AD51</f>
        <v/>
      </c>
    </row>
    <row r="52">
      <c r="A52" s="280" t="n">
        <v>43160</v>
      </c>
      <c r="B52" s="281" t="n">
        <v>6466521</v>
      </c>
      <c r="C52" s="281" t="n">
        <v>3450924</v>
      </c>
      <c r="D52" s="281" t="n">
        <v>266749</v>
      </c>
      <c r="E52" s="281" t="n">
        <v>428068</v>
      </c>
      <c r="F52" s="281" t="n">
        <v>0</v>
      </c>
      <c r="G52" s="281" t="n">
        <v>0</v>
      </c>
      <c r="H52" s="281" t="n">
        <v>0</v>
      </c>
      <c r="I52" s="282" t="n">
        <v>808368</v>
      </c>
      <c r="J52" s="281" t="n">
        <v>298704</v>
      </c>
      <c r="K52" s="161" t="n">
        <v>42758</v>
      </c>
      <c r="L52" s="281" t="n">
        <v>101870</v>
      </c>
      <c r="M52" s="281" t="n">
        <v>0</v>
      </c>
      <c r="N52" s="282" t="n">
        <v>87607</v>
      </c>
      <c r="O52" s="281" t="n">
        <v>22757</v>
      </c>
      <c r="P52" s="281" t="n">
        <v>0</v>
      </c>
      <c r="Q52" s="281" t="n">
        <v>0</v>
      </c>
      <c r="R52" s="281" t="n"/>
      <c r="S52" s="281" t="n"/>
      <c r="T52" s="281" t="n"/>
      <c r="U52" s="281" t="n"/>
      <c r="V52" s="281" t="n"/>
      <c r="W52" s="281" t="n">
        <v>0</v>
      </c>
      <c r="X52" s="281" t="n">
        <v>471104</v>
      </c>
      <c r="Y52" s="281" t="n">
        <v>487612</v>
      </c>
      <c r="Z52" s="283" t="n">
        <v>306197</v>
      </c>
      <c r="AA52" s="284" t="n">
        <v>181415</v>
      </c>
      <c r="AB52" s="284" t="n">
        <v>895975</v>
      </c>
      <c r="AC52" s="576" t="n"/>
      <c r="AD52" s="304" t="n">
        <v>70345</v>
      </c>
      <c r="AE52" s="281" t="n">
        <v>0</v>
      </c>
      <c r="AF52" s="281" t="n">
        <v>0</v>
      </c>
      <c r="AG52" s="281" t="n">
        <v>0</v>
      </c>
      <c r="AH52" s="281" t="n">
        <v>0</v>
      </c>
      <c r="AI52" s="281" t="n"/>
      <c r="AJ52" s="281" t="n"/>
      <c r="AK52" s="689" t="n">
        <v>0</v>
      </c>
      <c r="AM52" s="689" t="n">
        <v>0</v>
      </c>
      <c r="AO52" s="56">
        <f>SUM(B41:B52)</f>
        <v/>
      </c>
      <c r="AP52" s="56" t="n"/>
      <c r="AQ52" s="56">
        <f>SUM(C52:Y52)</f>
        <v/>
      </c>
      <c r="AR52" s="56">
        <f>AM52+AD52</f>
        <v/>
      </c>
    </row>
    <row r="53">
      <c r="A53" s="280" t="n">
        <v>43191</v>
      </c>
      <c r="B53" s="281" t="n">
        <v>7476752</v>
      </c>
      <c r="C53" s="281" t="n">
        <v>3890381</v>
      </c>
      <c r="D53" s="281" t="n">
        <v>238376</v>
      </c>
      <c r="E53" s="281" t="n">
        <v>450705</v>
      </c>
      <c r="F53" s="281" t="n">
        <v>0</v>
      </c>
      <c r="G53" s="281" t="n">
        <v>0</v>
      </c>
      <c r="H53" s="281" t="n">
        <v>0</v>
      </c>
      <c r="I53" s="281" t="n">
        <v>1208521</v>
      </c>
      <c r="J53" s="281" t="n">
        <v>275522</v>
      </c>
      <c r="K53" s="161" t="n">
        <v>52528</v>
      </c>
      <c r="L53" s="281" t="n">
        <v>124604</v>
      </c>
      <c r="M53" s="281" t="n">
        <v>0</v>
      </c>
      <c r="N53" s="281" t="n">
        <v>137799</v>
      </c>
      <c r="O53" s="281" t="n">
        <v>21167</v>
      </c>
      <c r="P53" s="281" t="n">
        <v>0</v>
      </c>
      <c r="Q53" s="281" t="n">
        <v>0</v>
      </c>
      <c r="R53" s="281" t="n"/>
      <c r="S53" s="281" t="n"/>
      <c r="T53" s="281" t="n"/>
      <c r="U53" s="281" t="n"/>
      <c r="V53" s="281" t="n"/>
      <c r="W53" s="281" t="n">
        <v>0</v>
      </c>
      <c r="X53" s="281" t="n">
        <v>538438</v>
      </c>
      <c r="Y53" s="281" t="n">
        <v>538711</v>
      </c>
      <c r="Z53" s="283" t="n">
        <v>333892</v>
      </c>
      <c r="AA53" s="284" t="n">
        <v>204819</v>
      </c>
      <c r="AB53" s="284" t="n">
        <v>1346320</v>
      </c>
      <c r="AC53" s="576" t="n"/>
      <c r="AD53" s="304" t="n">
        <v>80484</v>
      </c>
      <c r="AE53" s="281" t="n">
        <v>0</v>
      </c>
      <c r="AF53" s="281" t="n">
        <v>0</v>
      </c>
      <c r="AG53" s="281" t="n">
        <v>0</v>
      </c>
      <c r="AH53" s="281" t="n">
        <v>0</v>
      </c>
      <c r="AI53" s="281" t="n"/>
      <c r="AJ53" s="281" t="n"/>
      <c r="AK53" s="689" t="n">
        <v>0</v>
      </c>
      <c r="AM53" s="689" t="n">
        <v>0</v>
      </c>
      <c r="AO53" s="56">
        <f>SUM(B42:B53)</f>
        <v/>
      </c>
      <c r="AP53" s="56" t="n"/>
      <c r="AQ53" s="56">
        <f>SUM(C53:Y53)</f>
        <v/>
      </c>
      <c r="AR53" s="56">
        <f>AM53+AD53</f>
        <v/>
      </c>
    </row>
    <row r="54" ht="17" customHeight="1" thickBot="1">
      <c r="A54" s="280" t="n">
        <v>43221</v>
      </c>
      <c r="B54" s="281" t="n">
        <v>8980797</v>
      </c>
      <c r="C54" s="281" t="n">
        <v>3663428</v>
      </c>
      <c r="D54" s="281" t="n">
        <v>275700</v>
      </c>
      <c r="E54" s="281" t="n">
        <v>506370</v>
      </c>
      <c r="F54" s="281" t="n">
        <v>0</v>
      </c>
      <c r="G54" s="281" t="n">
        <v>0</v>
      </c>
      <c r="H54" s="281" t="n">
        <v>0</v>
      </c>
      <c r="I54" s="281" t="n">
        <v>2176575</v>
      </c>
      <c r="J54" s="281" t="n">
        <v>304399</v>
      </c>
      <c r="K54" s="161" t="n">
        <v>60569</v>
      </c>
      <c r="L54" s="281" t="n">
        <v>183261</v>
      </c>
      <c r="M54" s="281" t="n">
        <v>0</v>
      </c>
      <c r="N54" s="281" t="n">
        <v>224034</v>
      </c>
      <c r="O54" s="281" t="n">
        <v>35915</v>
      </c>
      <c r="P54" s="281" t="n">
        <v>0</v>
      </c>
      <c r="Q54" s="281" t="n">
        <v>16340</v>
      </c>
      <c r="R54" s="281" t="n"/>
      <c r="S54" s="281" t="n"/>
      <c r="T54" s="281" t="n"/>
      <c r="U54" s="281" t="n"/>
      <c r="V54" s="281" t="n"/>
      <c r="W54" s="281" t="n">
        <v>0</v>
      </c>
      <c r="X54" s="281" t="n">
        <v>738822</v>
      </c>
      <c r="Y54" s="281" t="n">
        <v>795384</v>
      </c>
      <c r="Z54" s="283" t="n">
        <v>342020</v>
      </c>
      <c r="AA54" s="284" t="n">
        <v>453364</v>
      </c>
      <c r="AB54" s="284" t="n">
        <v>2400609</v>
      </c>
      <c r="AC54" s="576" t="n"/>
      <c r="AD54" s="304" t="n">
        <v>116361</v>
      </c>
      <c r="AE54" s="281" t="n">
        <v>0</v>
      </c>
      <c r="AF54" s="281" t="n">
        <v>0</v>
      </c>
      <c r="AG54" s="281" t="n">
        <v>0</v>
      </c>
      <c r="AH54" s="281" t="n">
        <v>0</v>
      </c>
      <c r="AI54" s="281" t="n"/>
      <c r="AJ54" s="281" t="n"/>
      <c r="AK54" s="689" t="n">
        <v>0</v>
      </c>
      <c r="AM54" s="689" t="n">
        <v>0</v>
      </c>
      <c r="AO54" s="56">
        <f>SUM(B43:B54)</f>
        <v/>
      </c>
      <c r="AP54" s="56" t="n"/>
      <c r="AQ54" s="56">
        <f>SUM(C54:Y54)</f>
        <v/>
      </c>
      <c r="AR54" s="56">
        <f>AM54+AD54</f>
        <v/>
      </c>
    </row>
    <row r="55" ht="17" customHeight="1" thickBot="1">
      <c r="A55" s="280" t="n">
        <v>43252</v>
      </c>
      <c r="B55" s="281" t="n">
        <v>8345430</v>
      </c>
      <c r="C55" s="281" t="n">
        <v>3243600</v>
      </c>
      <c r="D55" s="281" t="n">
        <v>230102</v>
      </c>
      <c r="E55" s="282" t="n">
        <v>463971</v>
      </c>
      <c r="F55" s="281" t="n">
        <v>0</v>
      </c>
      <c r="G55" s="281" t="n">
        <v>0</v>
      </c>
      <c r="H55" s="281" t="n">
        <v>0</v>
      </c>
      <c r="I55" s="282" t="n">
        <v>2314940</v>
      </c>
      <c r="J55" s="282" t="n">
        <v>265718</v>
      </c>
      <c r="K55" s="282" t="n">
        <v>74569</v>
      </c>
      <c r="L55" s="282" t="n">
        <v>191322</v>
      </c>
      <c r="M55" s="281" t="n">
        <v>0</v>
      </c>
      <c r="N55" s="282" t="n">
        <v>226980</v>
      </c>
      <c r="O55" s="282" t="n">
        <v>23888</v>
      </c>
      <c r="P55" s="281" t="n">
        <v>0</v>
      </c>
      <c r="Q55" s="281" t="n">
        <v>8379</v>
      </c>
      <c r="R55" s="281" t="n"/>
      <c r="S55" s="281" t="n"/>
      <c r="T55" s="281" t="n"/>
      <c r="U55" s="281" t="n"/>
      <c r="V55" s="281" t="n"/>
      <c r="W55" s="281" t="n">
        <v>0</v>
      </c>
      <c r="X55" s="282" t="n">
        <v>551495</v>
      </c>
      <c r="Y55" s="281" t="n">
        <v>750466</v>
      </c>
      <c r="Z55" s="283" t="n">
        <v>296584</v>
      </c>
      <c r="AA55" s="284" t="n">
        <v>453882</v>
      </c>
      <c r="AB55" s="284" t="n">
        <v>2541920</v>
      </c>
      <c r="AC55" s="576" t="n"/>
      <c r="AD55" s="304" t="n">
        <v>97157</v>
      </c>
      <c r="AE55" s="281" t="n">
        <v>0</v>
      </c>
      <c r="AF55" s="281" t="n">
        <v>0</v>
      </c>
      <c r="AG55" s="281" t="n">
        <v>0</v>
      </c>
      <c r="AH55" s="281" t="n">
        <v>0</v>
      </c>
      <c r="AI55" s="281" t="n"/>
      <c r="AJ55" s="284" t="n"/>
      <c r="AK55" s="690" t="n">
        <v>0</v>
      </c>
      <c r="AM55" s="690" t="n">
        <v>0</v>
      </c>
      <c r="AO55" s="577">
        <f>SUM(B44:B55)</f>
        <v/>
      </c>
      <c r="AP55" s="578">
        <f>AK55+SUM(AD44:AD55)</f>
        <v/>
      </c>
      <c r="AQ55" s="56">
        <f>SUM(C55:Y55)</f>
        <v/>
      </c>
      <c r="AR55" s="56">
        <f>AM55+AD55</f>
        <v/>
      </c>
    </row>
    <row r="56">
      <c r="A56" s="280" t="n">
        <v>43282</v>
      </c>
      <c r="B56" s="282" t="n">
        <v>9163876</v>
      </c>
      <c r="C56" s="282" t="n">
        <v>3596301</v>
      </c>
      <c r="D56" s="282" t="n">
        <v>269714</v>
      </c>
      <c r="E56" s="282" t="n">
        <v>448922</v>
      </c>
      <c r="F56" s="281" t="n">
        <v>0</v>
      </c>
      <c r="G56" s="281" t="n">
        <v>0</v>
      </c>
      <c r="H56" s="281" t="n">
        <v>0</v>
      </c>
      <c r="I56" s="282" t="n">
        <v>2556472</v>
      </c>
      <c r="J56" s="282" t="n">
        <v>246603</v>
      </c>
      <c r="K56" s="282" t="n">
        <v>84978</v>
      </c>
      <c r="L56" s="282" t="n">
        <v>217407</v>
      </c>
      <c r="M56" s="281" t="n">
        <v>0</v>
      </c>
      <c r="N56" s="282" t="n">
        <v>246683</v>
      </c>
      <c r="O56" s="282" t="n">
        <v>37883</v>
      </c>
      <c r="P56" s="281" t="n">
        <v>0</v>
      </c>
      <c r="Q56" s="281" t="n">
        <v>12527</v>
      </c>
      <c r="R56" s="281" t="n"/>
      <c r="S56" s="281" t="n"/>
      <c r="T56" s="281" t="n"/>
      <c r="U56" s="281" t="n"/>
      <c r="V56" s="281" t="n"/>
      <c r="W56" s="281" t="n">
        <v>0</v>
      </c>
      <c r="X56" s="282" t="n">
        <v>638211</v>
      </c>
      <c r="Y56" s="281" t="n">
        <v>808175</v>
      </c>
      <c r="Z56" s="283" t="n">
        <v>301748</v>
      </c>
      <c r="AA56" s="284" t="n">
        <v>506427</v>
      </c>
      <c r="AB56" s="284" t="n">
        <v>2803155</v>
      </c>
      <c r="AC56" s="576" t="n"/>
      <c r="AD56" s="304" t="n">
        <v>70578</v>
      </c>
      <c r="AE56" s="281" t="n">
        <v>0</v>
      </c>
      <c r="AF56" s="281" t="n">
        <v>0</v>
      </c>
      <c r="AG56" s="281" t="n">
        <v>0</v>
      </c>
      <c r="AH56" s="281" t="n">
        <v>0</v>
      </c>
      <c r="AI56" s="281" t="n"/>
      <c r="AJ56" s="281" t="n"/>
      <c r="AK56" s="690" t="n">
        <v>0</v>
      </c>
      <c r="AM56" s="690" t="n">
        <v>0</v>
      </c>
      <c r="AO56" s="56">
        <f>SUM(B45:B56)</f>
        <v/>
      </c>
      <c r="AP56" s="56" t="n"/>
      <c r="AQ56" s="56">
        <f>SUM(C56:Y56)</f>
        <v/>
      </c>
      <c r="AR56" s="56">
        <f>AM56+AD56</f>
        <v/>
      </c>
    </row>
    <row r="57">
      <c r="A57" s="280" t="n">
        <v>43313</v>
      </c>
      <c r="B57" s="282" t="n">
        <v>9264802</v>
      </c>
      <c r="C57" s="282" t="n">
        <v>3681107</v>
      </c>
      <c r="D57" s="282" t="n">
        <v>221923</v>
      </c>
      <c r="E57" s="282" t="n">
        <v>513076</v>
      </c>
      <c r="F57" s="281" t="n">
        <v>0</v>
      </c>
      <c r="G57" s="281" t="n">
        <v>0</v>
      </c>
      <c r="H57" s="281" t="n">
        <v>0</v>
      </c>
      <c r="I57" s="282" t="n">
        <v>2576284</v>
      </c>
      <c r="J57" s="282" t="n">
        <v>280930</v>
      </c>
      <c r="K57" s="282" t="n">
        <v>84295</v>
      </c>
      <c r="L57" s="282" t="n">
        <v>181347</v>
      </c>
      <c r="M57" s="281" t="n">
        <v>0</v>
      </c>
      <c r="N57" s="282" t="n">
        <v>248971</v>
      </c>
      <c r="O57" s="282" t="n">
        <v>36067</v>
      </c>
      <c r="P57" s="281" t="n">
        <v>0</v>
      </c>
      <c r="Q57" s="281" t="n">
        <v>8409</v>
      </c>
      <c r="R57" s="281" t="n"/>
      <c r="S57" s="281" t="n"/>
      <c r="T57" s="281" t="n"/>
      <c r="U57" s="281" t="n"/>
      <c r="V57" s="281" t="n"/>
      <c r="W57" s="281" t="n">
        <v>0</v>
      </c>
      <c r="X57" s="282" t="n">
        <v>612321</v>
      </c>
      <c r="Y57" s="281" t="n">
        <v>820072</v>
      </c>
      <c r="Z57" s="283" t="n">
        <v>314766</v>
      </c>
      <c r="AA57" s="284" t="n">
        <v>505306</v>
      </c>
      <c r="AB57" s="284" t="n">
        <v>2825255</v>
      </c>
      <c r="AC57" s="576" t="n"/>
      <c r="AD57" s="304" t="n">
        <v>85341</v>
      </c>
      <c r="AE57" s="281" t="n">
        <v>0</v>
      </c>
      <c r="AF57" s="281" t="n">
        <v>0</v>
      </c>
      <c r="AG57" s="281" t="n">
        <v>0</v>
      </c>
      <c r="AH57" s="281" t="n">
        <v>0</v>
      </c>
      <c r="AI57" s="281" t="n"/>
      <c r="AJ57" s="281" t="n"/>
      <c r="AK57" s="690" t="n">
        <v>0</v>
      </c>
      <c r="AM57" s="690" t="n">
        <v>0</v>
      </c>
      <c r="AO57" s="56">
        <f>SUM(B46:B57)</f>
        <v/>
      </c>
      <c r="AP57" s="56" t="n"/>
      <c r="AQ57" s="56">
        <f>SUM(C57:Y57)</f>
        <v/>
      </c>
      <c r="AR57" s="56">
        <f>AM57+AD57</f>
        <v/>
      </c>
    </row>
    <row r="58">
      <c r="A58" s="280" t="n">
        <v>43344</v>
      </c>
      <c r="B58" s="282" t="n">
        <v>8549475</v>
      </c>
      <c r="C58" s="282" t="n">
        <v>3388624</v>
      </c>
      <c r="D58" s="282" t="n">
        <v>222460</v>
      </c>
      <c r="E58" s="282" t="n">
        <v>448695</v>
      </c>
      <c r="F58" s="281" t="n">
        <v>0</v>
      </c>
      <c r="G58" s="281" t="n">
        <v>0</v>
      </c>
      <c r="H58" s="281" t="n">
        <v>0</v>
      </c>
      <c r="I58" s="282" t="n">
        <v>2177118</v>
      </c>
      <c r="J58" s="282" t="n">
        <v>269617</v>
      </c>
      <c r="K58" s="282" t="n">
        <v>68024</v>
      </c>
      <c r="L58" s="282" t="n">
        <v>147015</v>
      </c>
      <c r="M58" s="281" t="n">
        <v>0</v>
      </c>
      <c r="N58" s="282" t="n">
        <v>204451</v>
      </c>
      <c r="O58" s="282" t="n">
        <v>23465</v>
      </c>
      <c r="P58" s="281" t="n">
        <v>0</v>
      </c>
      <c r="Q58" s="281" t="n">
        <v>16958</v>
      </c>
      <c r="R58" s="281" t="n"/>
      <c r="S58" s="281" t="n"/>
      <c r="T58" s="281" t="n"/>
      <c r="U58" s="281" t="n"/>
      <c r="V58" s="281" t="n"/>
      <c r="W58" s="281" t="n">
        <v>0</v>
      </c>
      <c r="X58" s="282" t="n">
        <v>804200</v>
      </c>
      <c r="Y58" s="281" t="n">
        <v>778848</v>
      </c>
      <c r="Z58" s="283" t="n">
        <v>322443</v>
      </c>
      <c r="AA58" s="284" t="n">
        <v>456405</v>
      </c>
      <c r="AB58" s="284" t="n">
        <v>2381569</v>
      </c>
      <c r="AC58" s="576" t="n"/>
      <c r="AD58" s="304" t="n">
        <v>97245</v>
      </c>
      <c r="AE58" s="281" t="n">
        <v>0</v>
      </c>
      <c r="AF58" s="281" t="n">
        <v>0</v>
      </c>
      <c r="AG58" s="281" t="n">
        <v>0</v>
      </c>
      <c r="AH58" s="281" t="n">
        <v>0</v>
      </c>
      <c r="AI58" s="281" t="n"/>
      <c r="AJ58" s="281" t="n"/>
      <c r="AK58" s="690" t="n">
        <v>0</v>
      </c>
      <c r="AM58" s="690" t="n">
        <v>0</v>
      </c>
      <c r="AO58" s="56">
        <f>SUM(B47:B58)</f>
        <v/>
      </c>
      <c r="AP58" s="56" t="n"/>
      <c r="AQ58" s="56">
        <f>SUM(C58:Y58)</f>
        <v/>
      </c>
      <c r="AR58" s="56">
        <f>AM58+AD58</f>
        <v/>
      </c>
    </row>
    <row r="59">
      <c r="A59" s="285" t="n">
        <v>43374</v>
      </c>
      <c r="B59" s="282" t="n">
        <v>8134959</v>
      </c>
      <c r="C59" s="282" t="n">
        <v>3908089</v>
      </c>
      <c r="D59" s="282" t="n">
        <v>246334</v>
      </c>
      <c r="E59" s="282" t="n">
        <v>488440</v>
      </c>
      <c r="F59" s="281" t="n">
        <v>0</v>
      </c>
      <c r="G59" s="281" t="n">
        <v>0</v>
      </c>
      <c r="H59" s="281" t="n">
        <v>0</v>
      </c>
      <c r="I59" s="282" t="n">
        <v>1485329</v>
      </c>
      <c r="J59" s="282" t="n">
        <v>305093</v>
      </c>
      <c r="K59" s="282" t="n">
        <v>67677</v>
      </c>
      <c r="L59" s="282" t="n">
        <v>138871</v>
      </c>
      <c r="M59" s="281" t="n">
        <v>0</v>
      </c>
      <c r="N59" s="282" t="n">
        <v>167478</v>
      </c>
      <c r="O59" s="282" t="n">
        <v>22031</v>
      </c>
      <c r="P59" s="281" t="n">
        <v>0</v>
      </c>
      <c r="Q59" s="281" t="n">
        <v>85312</v>
      </c>
      <c r="R59" s="281" t="n"/>
      <c r="S59" s="281" t="n"/>
      <c r="T59" s="281" t="n"/>
      <c r="U59" s="281" t="n"/>
      <c r="V59" s="281" t="n"/>
      <c r="W59" s="281" t="n">
        <v>0</v>
      </c>
      <c r="X59" s="282" t="n">
        <v>584651</v>
      </c>
      <c r="Y59" s="282" t="n">
        <v>635654</v>
      </c>
      <c r="Z59" s="286" t="n">
        <v>351483</v>
      </c>
      <c r="AA59" s="287" t="n">
        <v>284171</v>
      </c>
      <c r="AB59" s="287" t="n">
        <v>1652807</v>
      </c>
      <c r="AC59" s="579" t="n"/>
      <c r="AD59" s="304" t="n">
        <v>112463</v>
      </c>
      <c r="AE59" s="281" t="n">
        <v>0</v>
      </c>
      <c r="AF59" s="281" t="n">
        <v>0</v>
      </c>
      <c r="AG59" s="281" t="n">
        <v>0</v>
      </c>
      <c r="AH59" s="281" t="n">
        <v>0</v>
      </c>
      <c r="AI59" s="281" t="n"/>
      <c r="AJ59" s="281" t="n"/>
      <c r="AK59" s="690" t="n">
        <v>0</v>
      </c>
      <c r="AM59" s="690" t="n">
        <v>0</v>
      </c>
      <c r="AO59" s="56">
        <f>SUM(B48:B59)</f>
        <v/>
      </c>
      <c r="AP59" s="56" t="n"/>
      <c r="AQ59" s="56">
        <f>SUM(C59:Y59)</f>
        <v/>
      </c>
      <c r="AR59" s="56">
        <f>AM59+AD59</f>
        <v/>
      </c>
    </row>
    <row r="60">
      <c r="A60" s="280" t="n">
        <v>43405</v>
      </c>
      <c r="B60" s="282" t="n">
        <v>7301374</v>
      </c>
      <c r="C60" s="282" t="n">
        <v>3828466</v>
      </c>
      <c r="D60" s="281" t="n">
        <v>218939</v>
      </c>
      <c r="E60" s="281" t="n">
        <v>407239</v>
      </c>
      <c r="F60" s="281" t="n">
        <v>0</v>
      </c>
      <c r="G60" s="281" t="n">
        <v>0</v>
      </c>
      <c r="H60" s="281" t="n">
        <v>0</v>
      </c>
      <c r="I60" s="281" t="n">
        <v>1134112</v>
      </c>
      <c r="J60" s="281" t="n">
        <v>287286</v>
      </c>
      <c r="K60" s="281" t="n">
        <v>57308</v>
      </c>
      <c r="L60" s="281" t="n">
        <v>113093</v>
      </c>
      <c r="M60" s="281" t="n">
        <v>0</v>
      </c>
      <c r="N60" s="281" t="n">
        <v>126558</v>
      </c>
      <c r="O60" s="282" t="n">
        <v>26144</v>
      </c>
      <c r="P60" s="281" t="n">
        <v>0</v>
      </c>
      <c r="Q60" s="281" t="n">
        <v>62066</v>
      </c>
      <c r="R60" s="281" t="n"/>
      <c r="S60" s="281" t="n"/>
      <c r="T60" s="281" t="n"/>
      <c r="U60" s="281" t="n"/>
      <c r="V60" s="281" t="n"/>
      <c r="W60" s="281" t="n">
        <v>0</v>
      </c>
      <c r="X60" s="282" t="n">
        <v>486495</v>
      </c>
      <c r="Y60" s="281" t="n">
        <v>553668</v>
      </c>
      <c r="Z60" s="283" t="n">
        <v>356420</v>
      </c>
      <c r="AA60" s="284" t="n">
        <v>197248</v>
      </c>
      <c r="AB60" s="284" t="n">
        <v>1260670</v>
      </c>
      <c r="AC60" s="576" t="n"/>
      <c r="AD60" s="304" t="n">
        <v>78899</v>
      </c>
      <c r="AE60" s="281" t="n">
        <v>0</v>
      </c>
      <c r="AF60" s="281" t="n">
        <v>0</v>
      </c>
      <c r="AG60" s="281" t="n">
        <v>0</v>
      </c>
      <c r="AH60" s="281" t="n">
        <v>0</v>
      </c>
      <c r="AI60" s="281" t="n"/>
      <c r="AJ60" s="281" t="n"/>
      <c r="AK60" s="690" t="n">
        <v>0</v>
      </c>
      <c r="AM60" s="690" t="n">
        <v>0</v>
      </c>
      <c r="AO60" s="56">
        <f>SUM(B49:B60)</f>
        <v/>
      </c>
      <c r="AP60" s="56" t="n"/>
      <c r="AQ60" s="56">
        <f>SUM(C60:Y60)</f>
        <v/>
      </c>
      <c r="AR60" s="56">
        <f>AM60+AD60</f>
        <v/>
      </c>
    </row>
    <row r="61">
      <c r="A61" s="280" t="n">
        <v>43435</v>
      </c>
      <c r="B61" s="282" t="n">
        <v>5745762</v>
      </c>
      <c r="C61" s="282" t="n">
        <v>3003100</v>
      </c>
      <c r="D61" s="281" t="n">
        <v>208027</v>
      </c>
      <c r="E61" s="281" t="n">
        <v>405643</v>
      </c>
      <c r="F61" s="281" t="n">
        <v>0</v>
      </c>
      <c r="G61" s="281" t="n">
        <v>0</v>
      </c>
      <c r="H61" s="281" t="n">
        <v>0</v>
      </c>
      <c r="I61" s="281" t="n">
        <v>682534</v>
      </c>
      <c r="J61" s="281" t="n">
        <v>253715</v>
      </c>
      <c r="K61" s="281" t="n">
        <v>49747</v>
      </c>
      <c r="L61" s="281" t="n">
        <v>97643</v>
      </c>
      <c r="M61" s="281" t="n">
        <v>0</v>
      </c>
      <c r="N61" s="281" t="n">
        <v>75003</v>
      </c>
      <c r="O61" s="282" t="n">
        <v>14837</v>
      </c>
      <c r="P61" s="281" t="n">
        <v>0</v>
      </c>
      <c r="Q61" s="281" t="n">
        <v>56360</v>
      </c>
      <c r="R61" s="281" t="n"/>
      <c r="S61" s="281" t="n"/>
      <c r="T61" s="281" t="n"/>
      <c r="U61" s="281" t="n"/>
      <c r="V61" s="281" t="n"/>
      <c r="W61" s="281" t="n">
        <v>0</v>
      </c>
      <c r="X61" s="282" t="n">
        <v>416236</v>
      </c>
      <c r="Y61" s="281" t="n">
        <v>482917</v>
      </c>
      <c r="Z61" s="283" t="n">
        <v>321018</v>
      </c>
      <c r="AA61" s="284" t="n">
        <v>161899</v>
      </c>
      <c r="AB61" s="284" t="n">
        <v>757537</v>
      </c>
      <c r="AC61" s="576" t="n"/>
      <c r="AD61" s="304" t="n">
        <v>70771</v>
      </c>
      <c r="AE61" s="281" t="n">
        <v>0</v>
      </c>
      <c r="AF61" s="281" t="n">
        <v>0</v>
      </c>
      <c r="AG61" s="281" t="n">
        <v>0</v>
      </c>
      <c r="AH61" s="281" t="n">
        <v>0</v>
      </c>
      <c r="AI61" s="281" t="n"/>
      <c r="AJ61" s="281" t="n"/>
      <c r="AK61" s="690" t="n">
        <v>0</v>
      </c>
      <c r="AM61" s="690" t="n">
        <v>0</v>
      </c>
      <c r="AO61" s="56">
        <f>SUM(B50:B61)</f>
        <v/>
      </c>
      <c r="AP61" s="56" t="n"/>
      <c r="AQ61" s="56">
        <f>SUM(C61:Y61)</f>
        <v/>
      </c>
      <c r="AR61" s="56">
        <f>AM61+AD61</f>
        <v/>
      </c>
    </row>
    <row r="62">
      <c r="A62" s="269" t="n">
        <v>43466</v>
      </c>
      <c r="B62" s="271" t="n">
        <v>6248667</v>
      </c>
      <c r="C62" s="271" t="n">
        <v>3629709</v>
      </c>
      <c r="D62" s="270" t="n">
        <v>222775</v>
      </c>
      <c r="E62" s="270" t="n">
        <v>421202</v>
      </c>
      <c r="F62" s="270" t="n">
        <v>0</v>
      </c>
      <c r="G62" s="270" t="n">
        <v>0</v>
      </c>
      <c r="H62" s="270" t="n">
        <v>0</v>
      </c>
      <c r="I62" s="270" t="n">
        <v>484198</v>
      </c>
      <c r="J62" s="270" t="n">
        <v>263925</v>
      </c>
      <c r="K62" s="270" t="n">
        <v>55886</v>
      </c>
      <c r="L62" s="270" t="n">
        <v>105554</v>
      </c>
      <c r="M62" s="271" t="n">
        <v>0</v>
      </c>
      <c r="N62" s="270" t="n">
        <v>60895</v>
      </c>
      <c r="O62" s="271" t="n">
        <v>21572</v>
      </c>
      <c r="P62" s="271" t="n">
        <v>0</v>
      </c>
      <c r="Q62" s="271" t="n">
        <v>53837</v>
      </c>
      <c r="R62" s="271" t="n"/>
      <c r="S62" s="271" t="n"/>
      <c r="T62" s="271" t="n"/>
      <c r="U62" s="271" t="n"/>
      <c r="V62" s="271" t="n"/>
      <c r="W62" s="271" t="n">
        <v>0</v>
      </c>
      <c r="X62" s="271" t="n">
        <v>341945</v>
      </c>
      <c r="Y62" s="270" t="n">
        <v>587169</v>
      </c>
      <c r="Z62" s="272" t="n">
        <v>326358</v>
      </c>
      <c r="AA62" s="273" t="n">
        <v>260811</v>
      </c>
      <c r="AB62" s="273" t="n">
        <v>545093</v>
      </c>
      <c r="AC62" s="576" t="n"/>
      <c r="AD62" s="305" t="n">
        <v>51400</v>
      </c>
      <c r="AE62" s="270" t="n">
        <v>0</v>
      </c>
      <c r="AF62" s="270" t="n">
        <v>0</v>
      </c>
      <c r="AG62" s="270" t="n">
        <v>0</v>
      </c>
      <c r="AH62" s="270" t="n">
        <v>0</v>
      </c>
      <c r="AI62" s="270" t="n"/>
      <c r="AJ62" s="270" t="n"/>
      <c r="AK62" s="686" t="n">
        <v>0</v>
      </c>
      <c r="AM62" s="686" t="n">
        <v>0</v>
      </c>
      <c r="AO62" s="56">
        <f>SUM(B51:B62)</f>
        <v/>
      </c>
      <c r="AP62" s="56" t="n"/>
      <c r="AQ62" s="56">
        <f>SUM(C62:Y62)</f>
        <v/>
      </c>
      <c r="AR62" s="56">
        <f>AM62+AD62</f>
        <v/>
      </c>
    </row>
    <row r="63">
      <c r="A63" s="269" t="n">
        <v>43497</v>
      </c>
      <c r="B63" s="271" t="n">
        <v>5832769</v>
      </c>
      <c r="C63" s="271" t="n">
        <v>3264996</v>
      </c>
      <c r="D63" s="270" t="n">
        <v>209124</v>
      </c>
      <c r="E63" s="270" t="n">
        <v>395384</v>
      </c>
      <c r="F63" s="270" t="n">
        <v>0</v>
      </c>
      <c r="G63" s="270" t="n">
        <v>0</v>
      </c>
      <c r="H63" s="270" t="n">
        <v>0</v>
      </c>
      <c r="I63" s="270" t="n">
        <v>597453</v>
      </c>
      <c r="J63" s="270" t="n">
        <v>254927</v>
      </c>
      <c r="K63" s="270" t="n">
        <v>43422</v>
      </c>
      <c r="L63" s="270" t="n">
        <v>87204</v>
      </c>
      <c r="M63" s="271" t="n">
        <v>0</v>
      </c>
      <c r="N63" s="270" t="n">
        <v>60345</v>
      </c>
      <c r="O63" s="271" t="n">
        <v>16313</v>
      </c>
      <c r="P63" s="271" t="n">
        <v>0</v>
      </c>
      <c r="Q63" s="271" t="n">
        <v>50658</v>
      </c>
      <c r="R63" s="271" t="n"/>
      <c r="S63" s="271" t="n"/>
      <c r="T63" s="271" t="n"/>
      <c r="U63" s="271" t="n"/>
      <c r="V63" s="271" t="n"/>
      <c r="W63" s="271" t="n">
        <v>0</v>
      </c>
      <c r="X63" s="271" t="n">
        <v>363265</v>
      </c>
      <c r="Y63" s="270" t="n">
        <v>489678</v>
      </c>
      <c r="Z63" s="272" t="n">
        <v>301948</v>
      </c>
      <c r="AA63" s="273" t="n">
        <v>187730</v>
      </c>
      <c r="AB63" s="273" t="n">
        <v>657798</v>
      </c>
      <c r="AC63" s="576" t="n"/>
      <c r="AD63" s="305" t="n">
        <v>68403</v>
      </c>
      <c r="AE63" s="270" t="n">
        <v>0</v>
      </c>
      <c r="AF63" s="270" t="n">
        <v>0</v>
      </c>
      <c r="AG63" s="270" t="n">
        <v>0</v>
      </c>
      <c r="AH63" s="270" t="n">
        <v>0</v>
      </c>
      <c r="AI63" s="270" t="n"/>
      <c r="AJ63" s="270" t="n"/>
      <c r="AK63" s="686" t="n">
        <v>0</v>
      </c>
      <c r="AM63" s="686" t="n">
        <v>0</v>
      </c>
      <c r="AO63" s="56">
        <f>SUM(B52:B63)</f>
        <v/>
      </c>
      <c r="AP63" s="56" t="n"/>
      <c r="AQ63" s="56">
        <f>SUM(C63:Y63)</f>
        <v/>
      </c>
      <c r="AR63" s="56">
        <f>AM63+AD63</f>
        <v/>
      </c>
    </row>
    <row r="64">
      <c r="A64" s="269" t="n">
        <v>43525</v>
      </c>
      <c r="B64" s="271" t="n">
        <v>6331150</v>
      </c>
      <c r="C64" s="271" t="n">
        <v>3345129</v>
      </c>
      <c r="D64" s="270" t="n">
        <v>207872</v>
      </c>
      <c r="E64" s="270" t="n">
        <v>391830</v>
      </c>
      <c r="F64" s="270" t="n">
        <v>0</v>
      </c>
      <c r="G64" s="270" t="n">
        <v>0</v>
      </c>
      <c r="H64" s="270" t="n">
        <v>0</v>
      </c>
      <c r="I64" s="270" t="n">
        <v>793174</v>
      </c>
      <c r="J64" s="270" t="n">
        <v>242810</v>
      </c>
      <c r="K64" s="270" t="n">
        <v>51330</v>
      </c>
      <c r="L64" s="270" t="n">
        <v>107277</v>
      </c>
      <c r="M64" s="271" t="n">
        <v>0</v>
      </c>
      <c r="N64" s="271" t="n">
        <v>90434</v>
      </c>
      <c r="O64" s="271" t="n">
        <v>27877</v>
      </c>
      <c r="P64" s="271" t="n">
        <v>0</v>
      </c>
      <c r="Q64" s="271" t="n">
        <v>51807</v>
      </c>
      <c r="R64" s="271" t="n"/>
      <c r="S64" s="271" t="n"/>
      <c r="T64" s="271" t="n"/>
      <c r="U64" s="271" t="n"/>
      <c r="V64" s="271" t="n"/>
      <c r="W64" s="271" t="n">
        <v>0</v>
      </c>
      <c r="X64" s="271" t="n">
        <v>479638</v>
      </c>
      <c r="Y64" s="270" t="n">
        <v>541972</v>
      </c>
      <c r="Z64" s="272" t="n">
        <v>329756</v>
      </c>
      <c r="AA64" s="273" t="n">
        <v>212216</v>
      </c>
      <c r="AB64" s="273" t="n">
        <v>883608</v>
      </c>
      <c r="AC64" s="576" t="n"/>
      <c r="AD64" s="305" t="n">
        <v>70519</v>
      </c>
      <c r="AE64" s="270" t="n">
        <v>0</v>
      </c>
      <c r="AF64" s="270" t="n">
        <v>0</v>
      </c>
      <c r="AG64" s="270" t="n">
        <v>0</v>
      </c>
      <c r="AH64" s="270" t="n">
        <v>0</v>
      </c>
      <c r="AI64" s="270" t="n"/>
      <c r="AJ64" s="270" t="n"/>
      <c r="AK64" s="686" t="n">
        <v>0</v>
      </c>
      <c r="AM64" s="686" t="n">
        <v>0</v>
      </c>
      <c r="AO64" s="56">
        <f>SUM(B53:B64)</f>
        <v/>
      </c>
      <c r="AP64" s="56" t="n"/>
      <c r="AQ64" s="56">
        <f>SUM(C64:Y64)</f>
        <v/>
      </c>
      <c r="AR64" s="56">
        <f>AM64+AD64</f>
        <v/>
      </c>
    </row>
    <row r="65">
      <c r="A65" s="269" t="n">
        <v>43556</v>
      </c>
      <c r="B65" s="271" t="n">
        <v>7724333</v>
      </c>
      <c r="C65" s="271" t="n">
        <v>3897277</v>
      </c>
      <c r="D65" s="270" t="n">
        <v>239709</v>
      </c>
      <c r="E65" s="270" t="n">
        <v>416769</v>
      </c>
      <c r="F65" s="270" t="n">
        <v>0</v>
      </c>
      <c r="G65" s="270" t="n">
        <v>0</v>
      </c>
      <c r="H65" s="270" t="n">
        <v>0</v>
      </c>
      <c r="I65" s="270" t="n">
        <v>1267906</v>
      </c>
      <c r="J65" s="270" t="n">
        <v>261684</v>
      </c>
      <c r="K65" s="270" t="n">
        <v>54547</v>
      </c>
      <c r="L65" s="270" t="n">
        <v>131475</v>
      </c>
      <c r="M65" s="271" t="n">
        <v>0</v>
      </c>
      <c r="N65" s="270" t="n">
        <v>128377</v>
      </c>
      <c r="O65" s="270" t="n">
        <v>50411</v>
      </c>
      <c r="P65" s="271" t="n">
        <v>0</v>
      </c>
      <c r="Q65" s="270" t="n">
        <v>74731</v>
      </c>
      <c r="R65" s="270" t="n"/>
      <c r="S65" s="270" t="n"/>
      <c r="T65" s="270" t="n"/>
      <c r="U65" s="270" t="n"/>
      <c r="V65" s="270" t="n"/>
      <c r="W65" s="271" t="n">
        <v>0</v>
      </c>
      <c r="X65" s="271" t="n">
        <v>545039</v>
      </c>
      <c r="Y65" s="270" t="n">
        <v>656408</v>
      </c>
      <c r="Z65" s="272" t="n">
        <v>354868</v>
      </c>
      <c r="AA65" s="273" t="n">
        <v>301540</v>
      </c>
      <c r="AB65" s="273" t="n">
        <v>1396283</v>
      </c>
      <c r="AC65" s="576" t="n"/>
      <c r="AD65" s="305" t="n">
        <v>91375</v>
      </c>
      <c r="AE65" s="270" t="n">
        <v>0</v>
      </c>
      <c r="AF65" s="270" t="n">
        <v>0</v>
      </c>
      <c r="AG65" s="270" t="n">
        <v>0</v>
      </c>
      <c r="AH65" s="270" t="n">
        <v>0</v>
      </c>
      <c r="AI65" s="270" t="n"/>
      <c r="AJ65" s="270" t="n"/>
      <c r="AK65" s="685" t="n">
        <v>0</v>
      </c>
      <c r="AM65" s="685" t="n">
        <v>0</v>
      </c>
      <c r="AO65" s="56">
        <f>SUM(B54:B65)</f>
        <v/>
      </c>
      <c r="AP65" s="56" t="n"/>
      <c r="AQ65" s="56">
        <f>SUM(C65:Y65)</f>
        <v/>
      </c>
      <c r="AR65" s="56">
        <f>AM65+AD65</f>
        <v/>
      </c>
    </row>
    <row r="66" ht="17" customHeight="1" thickBot="1">
      <c r="A66" s="269" t="n">
        <v>43586</v>
      </c>
      <c r="B66" s="271" t="n">
        <v>7840497</v>
      </c>
      <c r="C66" s="271" t="n">
        <v>3553410</v>
      </c>
      <c r="D66" s="270" t="n">
        <v>223486</v>
      </c>
      <c r="E66" s="270" t="n">
        <v>408004</v>
      </c>
      <c r="F66" s="270" t="n">
        <v>0</v>
      </c>
      <c r="G66" s="270" t="n">
        <v>0</v>
      </c>
      <c r="H66" s="270" t="n">
        <v>0</v>
      </c>
      <c r="I66" s="270" t="n">
        <v>1567740</v>
      </c>
      <c r="J66" s="270" t="n">
        <v>252730</v>
      </c>
      <c r="K66" s="270" t="n">
        <v>60316</v>
      </c>
      <c r="L66" s="270" t="n">
        <v>146843</v>
      </c>
      <c r="M66" s="271" t="n">
        <v>0</v>
      </c>
      <c r="N66" s="270" t="n">
        <v>168006</v>
      </c>
      <c r="O66" s="270" t="n">
        <v>48567</v>
      </c>
      <c r="P66" s="271" t="n">
        <v>0</v>
      </c>
      <c r="Q66" s="270" t="n">
        <v>75552</v>
      </c>
      <c r="R66" s="270" t="n"/>
      <c r="S66" s="270" t="n"/>
      <c r="T66" s="270" t="n"/>
      <c r="U66" s="270" t="n"/>
      <c r="V66" s="270" t="n"/>
      <c r="W66" s="271" t="n">
        <v>0</v>
      </c>
      <c r="X66" s="271" t="n">
        <v>650564</v>
      </c>
      <c r="Y66" s="270" t="n">
        <v>685279</v>
      </c>
      <c r="Z66" s="272" t="n">
        <v>332260</v>
      </c>
      <c r="AA66" s="273" t="n">
        <v>353019</v>
      </c>
      <c r="AB66" s="273" t="n">
        <v>1735746</v>
      </c>
      <c r="AC66" s="576" t="n"/>
      <c r="AD66" s="305" t="n">
        <v>102963</v>
      </c>
      <c r="AE66" s="270" t="n">
        <v>0</v>
      </c>
      <c r="AF66" s="270" t="n">
        <v>0</v>
      </c>
      <c r="AG66" s="270" t="n">
        <v>0</v>
      </c>
      <c r="AH66" s="270" t="n">
        <v>0</v>
      </c>
      <c r="AI66" s="270" t="n"/>
      <c r="AJ66" s="270" t="n"/>
      <c r="AK66" s="685" t="n">
        <v>0</v>
      </c>
      <c r="AM66" s="685" t="n">
        <v>0</v>
      </c>
      <c r="AO66" s="56">
        <f>SUM(B55:B66)</f>
        <v/>
      </c>
      <c r="AP66" s="56" t="n"/>
      <c r="AQ66" s="56">
        <f>SUM(C66:Y66)</f>
        <v/>
      </c>
      <c r="AR66" s="56">
        <f>AM66+AD66</f>
        <v/>
      </c>
    </row>
    <row r="67" ht="17" customHeight="1" thickBot="1">
      <c r="A67" s="269" t="n">
        <v>43617</v>
      </c>
      <c r="B67" s="271" t="n">
        <v>8048430</v>
      </c>
      <c r="C67" s="271" t="n">
        <v>3274264</v>
      </c>
      <c r="D67" s="270" t="n">
        <v>215214</v>
      </c>
      <c r="E67" s="270" t="n">
        <v>385131</v>
      </c>
      <c r="F67" s="270" t="n">
        <v>0</v>
      </c>
      <c r="G67" s="270" t="n">
        <v>0</v>
      </c>
      <c r="H67" s="270" t="n">
        <v>0</v>
      </c>
      <c r="I67" s="270" t="n">
        <v>2054826</v>
      </c>
      <c r="J67" s="270" t="n">
        <v>226595</v>
      </c>
      <c r="K67" s="270" t="n">
        <v>65999</v>
      </c>
      <c r="L67" s="270" t="n">
        <v>175675</v>
      </c>
      <c r="M67" s="271" t="n">
        <v>0</v>
      </c>
      <c r="N67" s="270" t="n">
        <v>204845</v>
      </c>
      <c r="O67" s="270" t="n">
        <v>60310</v>
      </c>
      <c r="P67" s="271" t="n">
        <v>0</v>
      </c>
      <c r="Q67" s="270" t="n">
        <v>75530</v>
      </c>
      <c r="R67" s="270" t="n"/>
      <c r="S67" s="270" t="n"/>
      <c r="T67" s="270" t="n"/>
      <c r="U67" s="270" t="n"/>
      <c r="V67" s="270" t="n"/>
      <c r="W67" s="271" t="n">
        <v>0</v>
      </c>
      <c r="X67" s="271" t="n">
        <v>554926</v>
      </c>
      <c r="Y67" s="270" t="n">
        <v>755115</v>
      </c>
      <c r="Z67" s="272" t="n">
        <v>242424</v>
      </c>
      <c r="AA67" s="273" t="n">
        <v>512691</v>
      </c>
      <c r="AB67" s="273" t="n">
        <v>2259671</v>
      </c>
      <c r="AC67" s="576" t="n"/>
      <c r="AD67" s="305" t="n">
        <v>90889</v>
      </c>
      <c r="AE67" s="270" t="n">
        <v>0</v>
      </c>
      <c r="AF67" s="270" t="n">
        <v>0</v>
      </c>
      <c r="AG67" s="270" t="n">
        <v>0</v>
      </c>
      <c r="AH67" s="270" t="n">
        <v>0</v>
      </c>
      <c r="AI67" s="270" t="n"/>
      <c r="AJ67" s="273" t="n"/>
      <c r="AK67" s="685" t="n">
        <v>0</v>
      </c>
      <c r="AM67" s="685" t="n">
        <v>0</v>
      </c>
      <c r="AO67" s="577">
        <f>SUM(B56:B67)</f>
        <v/>
      </c>
      <c r="AP67" s="578">
        <f>AK67+SUM(AD56:AD67)</f>
        <v/>
      </c>
      <c r="AQ67" s="56">
        <f>SUM(C67:Y67)</f>
        <v/>
      </c>
      <c r="AR67" s="56">
        <f>AM67+AD67</f>
        <v/>
      </c>
    </row>
    <row r="68">
      <c r="A68" s="269" t="n">
        <v>43647</v>
      </c>
      <c r="B68" s="271" t="n">
        <v>9301477</v>
      </c>
      <c r="C68" s="271" t="n">
        <v>3802878</v>
      </c>
      <c r="D68" s="270" t="n">
        <v>252456</v>
      </c>
      <c r="E68" s="270" t="n">
        <v>452014</v>
      </c>
      <c r="F68" s="270" t="n">
        <v>0</v>
      </c>
      <c r="G68" s="270" t="n">
        <v>0</v>
      </c>
      <c r="H68" s="270" t="n">
        <v>0</v>
      </c>
      <c r="I68" s="270" t="n">
        <v>2356091</v>
      </c>
      <c r="J68" s="270" t="n">
        <v>265538</v>
      </c>
      <c r="K68" s="270" t="n">
        <v>83679</v>
      </c>
      <c r="L68" s="270" t="n">
        <v>215366</v>
      </c>
      <c r="M68" s="271" t="n">
        <v>0</v>
      </c>
      <c r="N68" s="270" t="n">
        <v>249610</v>
      </c>
      <c r="O68" s="270" t="n">
        <v>71160</v>
      </c>
      <c r="P68" s="271" t="n">
        <v>0</v>
      </c>
      <c r="Q68" s="270" t="n">
        <v>101005</v>
      </c>
      <c r="R68" s="270" t="n"/>
      <c r="S68" s="270" t="n"/>
      <c r="T68" s="270" t="n"/>
      <c r="U68" s="270" t="n"/>
      <c r="V68" s="270" t="n"/>
      <c r="W68" s="271" t="n">
        <v>0</v>
      </c>
      <c r="X68" s="271" t="n">
        <v>586193</v>
      </c>
      <c r="Y68" s="270" t="n">
        <v>865487</v>
      </c>
      <c r="Z68" s="272" t="n">
        <v>260859</v>
      </c>
      <c r="AA68" s="273" t="n">
        <v>604628</v>
      </c>
      <c r="AB68" s="273" t="n">
        <v>2605701</v>
      </c>
      <c r="AC68" s="576" t="n"/>
      <c r="AD68" s="305" t="n">
        <v>74995</v>
      </c>
      <c r="AE68" s="270" t="n">
        <v>0</v>
      </c>
      <c r="AF68" s="270" t="n">
        <v>0</v>
      </c>
      <c r="AG68" s="270" t="n">
        <v>0</v>
      </c>
      <c r="AH68" s="270" t="n">
        <v>0</v>
      </c>
      <c r="AI68" s="270" t="n"/>
      <c r="AJ68" s="270" t="n"/>
      <c r="AK68" s="685" t="n">
        <v>0</v>
      </c>
      <c r="AM68" s="685" t="n">
        <v>0</v>
      </c>
      <c r="AO68" s="56">
        <f>SUM(B57:B68)</f>
        <v/>
      </c>
      <c r="AP68" s="56" t="n"/>
      <c r="AQ68" s="56">
        <f>SUM(C68:Y68)</f>
        <v/>
      </c>
      <c r="AR68" s="56">
        <f>AM68+AD68</f>
        <v/>
      </c>
    </row>
    <row r="69">
      <c r="A69" s="269" t="n">
        <v>43678</v>
      </c>
      <c r="B69" s="271" t="n">
        <v>9116965</v>
      </c>
      <c r="C69" s="271" t="n">
        <v>3220290</v>
      </c>
      <c r="D69" s="270" t="n">
        <v>242645</v>
      </c>
      <c r="E69" s="270" t="n">
        <v>422221</v>
      </c>
      <c r="F69" s="270" t="n">
        <v>0</v>
      </c>
      <c r="G69" s="270" t="n">
        <v>424725</v>
      </c>
      <c r="H69" s="270" t="n">
        <v>0</v>
      </c>
      <c r="I69" s="270" t="n">
        <v>2390328</v>
      </c>
      <c r="J69" s="270" t="n">
        <v>252699</v>
      </c>
      <c r="K69" s="270" t="n">
        <v>74912</v>
      </c>
      <c r="L69" s="270" t="n">
        <v>170764</v>
      </c>
      <c r="M69" s="271" t="n">
        <v>0</v>
      </c>
      <c r="N69" s="270" t="n">
        <v>227597</v>
      </c>
      <c r="O69" s="270" t="n">
        <v>54203</v>
      </c>
      <c r="P69" s="271" t="n">
        <v>0</v>
      </c>
      <c r="Q69" s="270" t="n">
        <v>94217</v>
      </c>
      <c r="R69" s="270" t="n"/>
      <c r="S69" s="270" t="n"/>
      <c r="T69" s="270" t="n"/>
      <c r="U69" s="270" t="n"/>
      <c r="V69" s="270" t="n"/>
      <c r="W69" s="271" t="n">
        <v>0</v>
      </c>
      <c r="X69" s="271" t="n">
        <v>654976</v>
      </c>
      <c r="Y69" s="270" t="n">
        <v>887388</v>
      </c>
      <c r="Z69" s="272" t="n">
        <v>258945</v>
      </c>
      <c r="AA69" s="273" t="n">
        <v>628443</v>
      </c>
      <c r="AB69" s="273" t="n">
        <v>2617925</v>
      </c>
      <c r="AC69" s="576" t="n"/>
      <c r="AD69" s="305" t="n">
        <v>67653</v>
      </c>
      <c r="AE69" s="270" t="n">
        <v>0</v>
      </c>
      <c r="AF69" s="270" t="n">
        <v>0</v>
      </c>
      <c r="AG69" s="270" t="n">
        <v>0</v>
      </c>
      <c r="AH69" s="270" t="n">
        <v>0</v>
      </c>
      <c r="AI69" s="270" t="n"/>
      <c r="AJ69" s="270" t="n"/>
      <c r="AK69" s="685" t="n">
        <v>0</v>
      </c>
      <c r="AM69" s="685" t="n">
        <v>0</v>
      </c>
      <c r="AO69" s="56">
        <f>SUM(B58:B69)</f>
        <v/>
      </c>
      <c r="AP69" s="56" t="n"/>
      <c r="AQ69" s="56">
        <f>SUM(C69:Y69)</f>
        <v/>
      </c>
      <c r="AR69" s="56">
        <f>AM69+AD69</f>
        <v/>
      </c>
    </row>
    <row r="70">
      <c r="A70" s="269" t="n">
        <v>43709</v>
      </c>
      <c r="B70" s="271" t="n">
        <v>9462055</v>
      </c>
      <c r="C70" s="271" t="n">
        <v>3755080.21768979</v>
      </c>
      <c r="D70" s="270" t="n">
        <v>230045</v>
      </c>
      <c r="E70" s="270" t="n">
        <v>402702</v>
      </c>
      <c r="F70" s="270" t="n">
        <v>0</v>
      </c>
      <c r="G70" s="270" t="n">
        <v>100551</v>
      </c>
      <c r="H70" s="270" t="n">
        <v>59436</v>
      </c>
      <c r="I70" s="270" t="n">
        <v>2310802.78231021</v>
      </c>
      <c r="J70" s="270" t="n">
        <v>249415</v>
      </c>
      <c r="K70" s="270" t="n">
        <v>75384</v>
      </c>
      <c r="L70" s="270" t="n">
        <v>160706</v>
      </c>
      <c r="M70" s="271" t="n">
        <v>0</v>
      </c>
      <c r="N70" s="270" t="n">
        <v>225882</v>
      </c>
      <c r="O70" s="270" t="n">
        <v>44385</v>
      </c>
      <c r="P70" s="271" t="n">
        <v>0</v>
      </c>
      <c r="Q70" s="270" t="n">
        <v>83764</v>
      </c>
      <c r="R70" s="270" t="n"/>
      <c r="S70" s="270" t="n"/>
      <c r="T70" s="270" t="n"/>
      <c r="U70" s="270" t="n"/>
      <c r="V70" s="270" t="n"/>
      <c r="W70" s="271" t="n">
        <v>0</v>
      </c>
      <c r="X70" s="271" t="n">
        <v>827293</v>
      </c>
      <c r="Y70" s="270" t="n">
        <v>936609</v>
      </c>
      <c r="Z70" s="272" t="n">
        <v>377836</v>
      </c>
      <c r="AA70" s="273" t="n">
        <v>558773</v>
      </c>
      <c r="AB70" s="273" t="n">
        <v>2536684.78231021</v>
      </c>
      <c r="AC70" s="576" t="n"/>
      <c r="AD70" s="305" t="n">
        <v>115167</v>
      </c>
      <c r="AE70" s="270" t="n">
        <v>0</v>
      </c>
      <c r="AF70" s="270" t="n">
        <v>0</v>
      </c>
      <c r="AG70" s="270" t="n">
        <v>0</v>
      </c>
      <c r="AH70" s="270" t="n">
        <v>0</v>
      </c>
      <c r="AI70" s="270" t="n"/>
      <c r="AJ70" s="270" t="n"/>
      <c r="AK70" s="685" t="n">
        <v>0</v>
      </c>
      <c r="AM70" s="685" t="n">
        <v>0</v>
      </c>
      <c r="AO70" s="56">
        <f>SUM(B59:B70)</f>
        <v/>
      </c>
      <c r="AP70" s="56" t="n"/>
      <c r="AQ70" s="56">
        <f>SUM(C70:Y70)</f>
        <v/>
      </c>
      <c r="AR70" s="56">
        <f>AM70+AD70</f>
        <v/>
      </c>
    </row>
    <row r="71">
      <c r="A71" s="269" t="n">
        <v>43739</v>
      </c>
      <c r="B71" s="271" t="n">
        <v>8322078</v>
      </c>
      <c r="C71" s="271" t="n">
        <v>3512233.204706864</v>
      </c>
      <c r="D71" s="271" t="n">
        <v>253825</v>
      </c>
      <c r="E71" s="271" t="n">
        <v>442513</v>
      </c>
      <c r="F71" s="270" t="n">
        <v>0</v>
      </c>
      <c r="G71" s="271" t="n">
        <v>113044</v>
      </c>
      <c r="H71" s="271" t="n">
        <v>55451</v>
      </c>
      <c r="I71" s="271" t="n">
        <v>1831017.795293136</v>
      </c>
      <c r="J71" s="271" t="n">
        <v>275324</v>
      </c>
      <c r="K71" s="271" t="n">
        <v>63423</v>
      </c>
      <c r="L71" s="271" t="n">
        <v>128778</v>
      </c>
      <c r="M71" s="271" t="n">
        <v>0</v>
      </c>
      <c r="N71" s="271" t="n">
        <v>187955</v>
      </c>
      <c r="O71" s="271" t="n">
        <v>49676</v>
      </c>
      <c r="P71" s="271" t="n">
        <v>0</v>
      </c>
      <c r="Q71" s="271" t="n">
        <v>85459</v>
      </c>
      <c r="R71" s="271" t="n"/>
      <c r="S71" s="271" t="n"/>
      <c r="T71" s="271" t="n"/>
      <c r="U71" s="271" t="n"/>
      <c r="V71" s="271" t="n"/>
      <c r="W71" s="271" t="n">
        <v>0</v>
      </c>
      <c r="X71" s="271" t="n">
        <v>573373</v>
      </c>
      <c r="Y71" s="271" t="n">
        <v>750006</v>
      </c>
      <c r="Z71" s="272" t="n">
        <v>348709</v>
      </c>
      <c r="AA71" s="288" t="n">
        <v>401297</v>
      </c>
      <c r="AB71" s="288" t="n">
        <v>2018972.795293136</v>
      </c>
      <c r="AC71" s="579" t="n"/>
      <c r="AD71" s="305" t="n">
        <v>144704</v>
      </c>
      <c r="AE71" s="270" t="n">
        <v>0</v>
      </c>
      <c r="AF71" s="270" t="n">
        <v>0</v>
      </c>
      <c r="AG71" s="270" t="n">
        <v>0</v>
      </c>
      <c r="AH71" s="270" t="n">
        <v>0</v>
      </c>
      <c r="AI71" s="270" t="n"/>
      <c r="AJ71" s="270" t="n"/>
      <c r="AK71" s="686" t="n">
        <v>0</v>
      </c>
      <c r="AM71" s="686" t="n">
        <v>0</v>
      </c>
      <c r="AO71" s="56">
        <f>SUM(B60:B71)</f>
        <v/>
      </c>
      <c r="AP71" s="56" t="n"/>
      <c r="AQ71" s="56">
        <f>SUM(C71:Y71)</f>
        <v/>
      </c>
      <c r="AR71" s="56">
        <f>AM71+AD71</f>
        <v/>
      </c>
    </row>
    <row r="72">
      <c r="A72" s="269" t="n">
        <v>43770</v>
      </c>
      <c r="B72" s="271" t="n">
        <v>6415073</v>
      </c>
      <c r="C72" s="271" t="n">
        <v>3281818.682502469</v>
      </c>
      <c r="D72" s="271" t="n">
        <v>216193</v>
      </c>
      <c r="E72" s="271" t="n">
        <v>367280</v>
      </c>
      <c r="F72" s="270" t="n">
        <v>0</v>
      </c>
      <c r="G72" s="271" t="n">
        <v>91082</v>
      </c>
      <c r="H72" s="271" t="n">
        <v>59722</v>
      </c>
      <c r="I72" s="271" t="n">
        <v>910263.3174975311</v>
      </c>
      <c r="J72" s="271" t="n">
        <v>218913</v>
      </c>
      <c r="K72" s="271" t="n">
        <v>48453</v>
      </c>
      <c r="L72" s="271" t="n">
        <v>98766</v>
      </c>
      <c r="M72" s="271" t="n">
        <v>0</v>
      </c>
      <c r="N72" s="271" t="n">
        <v>102398</v>
      </c>
      <c r="O72" s="271" t="n">
        <v>38563</v>
      </c>
      <c r="P72" s="271" t="n">
        <v>0</v>
      </c>
      <c r="Q72" s="271" t="n">
        <v>44065</v>
      </c>
      <c r="R72" s="271" t="n"/>
      <c r="S72" s="271" t="n"/>
      <c r="T72" s="271" t="n"/>
      <c r="U72" s="271" t="n"/>
      <c r="V72" s="271" t="n"/>
      <c r="W72" s="271" t="n">
        <v>0</v>
      </c>
      <c r="X72" s="271" t="n">
        <v>451117</v>
      </c>
      <c r="Y72" s="271" t="n">
        <v>486439</v>
      </c>
      <c r="Z72" s="272" t="n">
        <v>283909</v>
      </c>
      <c r="AA72" s="288" t="n">
        <v>202530</v>
      </c>
      <c r="AB72" s="288" t="n">
        <v>1012661.317497531</v>
      </c>
      <c r="AC72" s="579" t="n"/>
      <c r="AD72" s="305" t="n">
        <v>82531</v>
      </c>
      <c r="AE72" s="270" t="n">
        <v>0</v>
      </c>
      <c r="AF72" s="270" t="n">
        <v>0</v>
      </c>
      <c r="AG72" s="270" t="n">
        <v>0</v>
      </c>
      <c r="AH72" s="270" t="n">
        <v>0</v>
      </c>
      <c r="AI72" s="270" t="n"/>
      <c r="AJ72" s="270" t="n"/>
      <c r="AK72" s="686" t="n">
        <v>0</v>
      </c>
      <c r="AM72" s="686" t="n">
        <v>0</v>
      </c>
      <c r="AO72" s="56">
        <f>SUM(B61:B72)</f>
        <v/>
      </c>
      <c r="AP72" s="56" t="n"/>
      <c r="AQ72" s="56">
        <f>SUM(C72:Y72)</f>
        <v/>
      </c>
      <c r="AR72" s="56">
        <f>AM72+AD72</f>
        <v/>
      </c>
    </row>
    <row r="73">
      <c r="A73" s="269" t="n">
        <v>43800</v>
      </c>
      <c r="B73" s="271" t="n">
        <v>5899084</v>
      </c>
      <c r="C73" s="271" t="n">
        <v>3254720.865330245</v>
      </c>
      <c r="D73" s="271" t="n">
        <v>229842</v>
      </c>
      <c r="E73" s="271" t="n">
        <v>390890</v>
      </c>
      <c r="F73" s="270" t="n">
        <v>0</v>
      </c>
      <c r="G73" s="271" t="n">
        <v>105592</v>
      </c>
      <c r="H73" s="271" t="n">
        <v>59707</v>
      </c>
      <c r="I73" s="271" t="n">
        <v>538670.1346697551</v>
      </c>
      <c r="J73" s="271" t="n">
        <v>232536</v>
      </c>
      <c r="K73" s="271" t="n">
        <v>46020</v>
      </c>
      <c r="L73" s="271" t="n">
        <v>77558</v>
      </c>
      <c r="M73" s="271" t="n">
        <v>0</v>
      </c>
      <c r="N73" s="271" t="n">
        <v>73091</v>
      </c>
      <c r="O73" s="271" t="n">
        <v>40146</v>
      </c>
      <c r="P73" s="271" t="n">
        <v>0</v>
      </c>
      <c r="Q73" s="271" t="n">
        <v>39890</v>
      </c>
      <c r="R73" s="271" t="n"/>
      <c r="S73" s="271" t="n"/>
      <c r="T73" s="271" t="n"/>
      <c r="U73" s="271" t="n"/>
      <c r="V73" s="271" t="n"/>
      <c r="W73" s="271" t="n">
        <v>0</v>
      </c>
      <c r="X73" s="271" t="n">
        <v>325231</v>
      </c>
      <c r="Y73" s="271" t="n">
        <v>485190</v>
      </c>
      <c r="Z73" s="272" t="n">
        <v>280873</v>
      </c>
      <c r="AA73" s="288" t="n">
        <v>204317</v>
      </c>
      <c r="AB73" s="288" t="n">
        <v>611761.1346697551</v>
      </c>
      <c r="AC73" s="579" t="n"/>
      <c r="AD73" s="305" t="n">
        <v>48121</v>
      </c>
      <c r="AE73" s="270" t="n">
        <v>0</v>
      </c>
      <c r="AF73" s="270" t="n">
        <v>0</v>
      </c>
      <c r="AG73" s="270" t="n">
        <v>0</v>
      </c>
      <c r="AH73" s="270" t="n">
        <v>0</v>
      </c>
      <c r="AI73" s="270" t="n"/>
      <c r="AJ73" s="270" t="n"/>
      <c r="AK73" s="686" t="n">
        <v>0</v>
      </c>
      <c r="AM73" s="686" t="n">
        <v>0</v>
      </c>
      <c r="AO73" s="56">
        <f>SUM(B62:B73)</f>
        <v/>
      </c>
      <c r="AP73" s="56" t="n"/>
      <c r="AQ73" s="56">
        <f>SUM(C73:Y73)</f>
        <v/>
      </c>
      <c r="AR73" s="56">
        <f>AM73+AD73</f>
        <v/>
      </c>
    </row>
    <row r="74">
      <c r="A74" s="264" t="n">
        <v>43831</v>
      </c>
      <c r="B74" s="266" t="n">
        <v>5768791</v>
      </c>
      <c r="C74" s="266" t="n">
        <v>3078548.92088489</v>
      </c>
      <c r="D74" s="266" t="n">
        <v>236757</v>
      </c>
      <c r="E74" s="266" t="n">
        <v>414212</v>
      </c>
      <c r="F74" s="266" t="n">
        <v>0</v>
      </c>
      <c r="G74" s="266" t="n">
        <v>135848</v>
      </c>
      <c r="H74" s="266" t="n">
        <v>74925</v>
      </c>
      <c r="I74" s="266" t="n">
        <v>514211.0791151094</v>
      </c>
      <c r="J74" s="266" t="n">
        <v>258161</v>
      </c>
      <c r="K74" s="266" t="n">
        <v>45705</v>
      </c>
      <c r="L74" s="266" t="n">
        <v>85583</v>
      </c>
      <c r="M74" s="266" t="n">
        <v>0</v>
      </c>
      <c r="N74" s="266" t="n">
        <v>64772</v>
      </c>
      <c r="O74" s="266" t="n">
        <v>41213</v>
      </c>
      <c r="P74" s="266" t="n">
        <v>0</v>
      </c>
      <c r="Q74" s="266" t="n">
        <v>31253</v>
      </c>
      <c r="R74" s="266" t="n"/>
      <c r="S74" s="266" t="n"/>
      <c r="T74" s="266" t="n"/>
      <c r="U74" s="266" t="n"/>
      <c r="V74" s="266" t="n"/>
      <c r="W74" s="266" t="n">
        <v>0</v>
      </c>
      <c r="X74" s="266" t="n">
        <v>304301</v>
      </c>
      <c r="Y74" s="266" t="n">
        <v>483301</v>
      </c>
      <c r="Z74" s="267" t="n">
        <v>262219</v>
      </c>
      <c r="AA74" s="289" t="n">
        <v>221082</v>
      </c>
      <c r="AB74" s="289" t="n">
        <v>578983.0791151094</v>
      </c>
      <c r="AC74" s="579" t="n"/>
      <c r="AD74" s="306" t="n">
        <v>36605</v>
      </c>
      <c r="AE74" s="266" t="n">
        <v>0</v>
      </c>
      <c r="AF74" s="266" t="n">
        <v>0</v>
      </c>
      <c r="AG74" s="266" t="n">
        <v>0</v>
      </c>
      <c r="AH74" s="266" t="n">
        <v>0</v>
      </c>
      <c r="AI74" s="266" t="n"/>
      <c r="AJ74" s="266" t="n"/>
      <c r="AK74" s="683" t="n">
        <v>0</v>
      </c>
      <c r="AM74" s="683" t="n">
        <v>0</v>
      </c>
      <c r="AO74" s="56">
        <f>SUM(B63:B74)</f>
        <v/>
      </c>
      <c r="AP74" s="56" t="n"/>
      <c r="AQ74" s="56">
        <f>SUM(C74:Y74)</f>
        <v/>
      </c>
      <c r="AR74" s="56">
        <f>AM74+AD74</f>
        <v/>
      </c>
    </row>
    <row r="75">
      <c r="A75" s="264" t="n">
        <v>43862</v>
      </c>
      <c r="B75" s="266" t="n">
        <v>5023807</v>
      </c>
      <c r="C75" s="266" t="n">
        <v>2865741.761495811</v>
      </c>
      <c r="D75" s="266" t="n">
        <v>157931</v>
      </c>
      <c r="E75" s="266" t="n">
        <v>298508</v>
      </c>
      <c r="F75" s="266" t="n">
        <v>0</v>
      </c>
      <c r="G75" s="266" t="n">
        <v>92910</v>
      </c>
      <c r="H75" s="266" t="n">
        <v>51118</v>
      </c>
      <c r="I75" s="266" t="n">
        <v>421075.2385041887</v>
      </c>
      <c r="J75" s="266" t="n">
        <v>164814</v>
      </c>
      <c r="K75" s="266" t="n">
        <v>38096</v>
      </c>
      <c r="L75" s="266" t="n">
        <v>58743</v>
      </c>
      <c r="M75" s="266" t="n">
        <v>0</v>
      </c>
      <c r="N75" s="266" t="n">
        <v>50512</v>
      </c>
      <c r="O75" s="266" t="n">
        <v>40527</v>
      </c>
      <c r="P75" s="266" t="n">
        <v>0</v>
      </c>
      <c r="Q75" s="266" t="n">
        <v>10207</v>
      </c>
      <c r="R75" s="266" t="n"/>
      <c r="S75" s="266" t="n"/>
      <c r="T75" s="266" t="n"/>
      <c r="U75" s="266" t="n"/>
      <c r="V75" s="266" t="n"/>
      <c r="W75" s="266" t="n">
        <v>0</v>
      </c>
      <c r="X75" s="266" t="n">
        <v>305392</v>
      </c>
      <c r="Y75" s="266" t="n">
        <v>468232</v>
      </c>
      <c r="Z75" s="267" t="n">
        <v>208348</v>
      </c>
      <c r="AA75" s="289" t="n">
        <v>259884</v>
      </c>
      <c r="AB75" s="289" t="n">
        <v>471587.2385041887</v>
      </c>
      <c r="AC75" s="579" t="n"/>
      <c r="AD75" s="306" t="n">
        <v>42917</v>
      </c>
      <c r="AE75" s="266" t="n">
        <v>0</v>
      </c>
      <c r="AF75" s="266" t="n">
        <v>0</v>
      </c>
      <c r="AG75" s="266" t="n">
        <v>0</v>
      </c>
      <c r="AH75" s="266" t="n">
        <v>0</v>
      </c>
      <c r="AI75" s="266" t="n"/>
      <c r="AJ75" s="266" t="n"/>
      <c r="AK75" s="683" t="n">
        <v>0</v>
      </c>
      <c r="AM75" s="683" t="n">
        <v>0</v>
      </c>
      <c r="AO75" s="56">
        <f>SUM(B64:B75)</f>
        <v/>
      </c>
      <c r="AP75" s="56" t="n"/>
      <c r="AQ75" s="56">
        <f>SUM(C75:Y75)</f>
        <v/>
      </c>
      <c r="AR75" s="56">
        <f>AM75+AD75</f>
        <v/>
      </c>
    </row>
    <row r="76">
      <c r="A76" s="264" t="n">
        <v>43891</v>
      </c>
      <c r="B76" s="266" t="n">
        <v>5824742</v>
      </c>
      <c r="C76" s="266" t="n">
        <v>3080473.757548288</v>
      </c>
      <c r="D76" s="266" t="n">
        <v>230277</v>
      </c>
      <c r="E76" s="266" t="n">
        <v>366209</v>
      </c>
      <c r="F76" s="266" t="n">
        <v>0</v>
      </c>
      <c r="G76" s="266" t="n">
        <v>127209</v>
      </c>
      <c r="H76" s="266" t="n">
        <v>78486</v>
      </c>
      <c r="I76" s="266" t="n">
        <v>672076.2424517119</v>
      </c>
      <c r="J76" s="266" t="n">
        <v>226846</v>
      </c>
      <c r="K76" s="266" t="n">
        <v>40647</v>
      </c>
      <c r="L76" s="266" t="n">
        <v>51768</v>
      </c>
      <c r="M76" s="266" t="n">
        <v>0</v>
      </c>
      <c r="N76" s="266" t="n">
        <v>62594</v>
      </c>
      <c r="O76" s="266" t="n">
        <v>53768</v>
      </c>
      <c r="P76" s="266" t="n">
        <v>0</v>
      </c>
      <c r="Q76" s="266" t="n">
        <v>26680</v>
      </c>
      <c r="R76" s="266" t="n"/>
      <c r="S76" s="266" t="n"/>
      <c r="T76" s="266" t="n"/>
      <c r="U76" s="266" t="n"/>
      <c r="V76" s="266" t="n"/>
      <c r="W76" s="266" t="n">
        <v>0</v>
      </c>
      <c r="X76" s="266" t="n">
        <v>309551</v>
      </c>
      <c r="Y76" s="266" t="n">
        <v>498157</v>
      </c>
      <c r="Z76" s="267" t="n">
        <v>261289</v>
      </c>
      <c r="AA76" s="289" t="n">
        <v>236868</v>
      </c>
      <c r="AB76" s="289" t="n">
        <v>734670.2424517119</v>
      </c>
      <c r="AC76" s="579" t="n"/>
      <c r="AD76" s="306" t="n">
        <v>36608</v>
      </c>
      <c r="AE76" s="266" t="n">
        <v>0</v>
      </c>
      <c r="AF76" s="266" t="n">
        <v>0</v>
      </c>
      <c r="AG76" s="266" t="n">
        <v>0</v>
      </c>
      <c r="AH76" s="266" t="n">
        <v>0</v>
      </c>
      <c r="AI76" s="266" t="n"/>
      <c r="AJ76" s="266" t="n"/>
      <c r="AK76" s="683" t="n">
        <v>0</v>
      </c>
      <c r="AM76" s="683" t="n">
        <v>0</v>
      </c>
      <c r="AO76" s="56">
        <f>SUM(B65:B76)</f>
        <v/>
      </c>
      <c r="AP76" s="56" t="n"/>
      <c r="AQ76" s="56">
        <f>SUM(C76:Y76)</f>
        <v/>
      </c>
      <c r="AR76" s="56">
        <f>AM76+AD76</f>
        <v/>
      </c>
    </row>
    <row r="77">
      <c r="A77" s="264" t="n">
        <v>43922</v>
      </c>
      <c r="B77" s="266" t="n">
        <v>5681721</v>
      </c>
      <c r="C77" s="266" t="n">
        <v>2963980.07</v>
      </c>
      <c r="D77" s="266" t="n">
        <v>186270</v>
      </c>
      <c r="E77" s="266" t="n">
        <v>350090</v>
      </c>
      <c r="F77" s="266" t="n">
        <v>0</v>
      </c>
      <c r="G77" s="266" t="n">
        <v>107135.8</v>
      </c>
      <c r="H77" s="266" t="n">
        <v>90793</v>
      </c>
      <c r="I77" s="266" t="n">
        <v>719292.13</v>
      </c>
      <c r="J77" s="266" t="n">
        <v>201132</v>
      </c>
      <c r="K77" s="266" t="n">
        <v>48025</v>
      </c>
      <c r="L77" s="266" t="n">
        <v>62887</v>
      </c>
      <c r="M77" s="266" t="n">
        <v>0</v>
      </c>
      <c r="N77" s="266" t="n">
        <v>78033</v>
      </c>
      <c r="O77" s="266" t="n">
        <v>36680</v>
      </c>
      <c r="P77" s="266" t="n">
        <v>0</v>
      </c>
      <c r="Q77" s="266" t="n">
        <v>33324</v>
      </c>
      <c r="R77" s="266" t="n"/>
      <c r="S77" s="266" t="n"/>
      <c r="T77" s="266" t="n"/>
      <c r="U77" s="266" t="n"/>
      <c r="V77" s="266" t="n"/>
      <c r="W77" s="266" t="n">
        <v>0</v>
      </c>
      <c r="X77" s="266" t="n">
        <v>327861</v>
      </c>
      <c r="Y77" s="266" t="n">
        <v>476218</v>
      </c>
      <c r="Z77" s="267" t="n">
        <v>231032</v>
      </c>
      <c r="AA77" s="289" t="n">
        <v>245186</v>
      </c>
      <c r="AB77" s="289" t="n">
        <v>797325.13</v>
      </c>
      <c r="AC77" s="579" t="n"/>
      <c r="AD77" s="306" t="n">
        <v>37869</v>
      </c>
      <c r="AE77" s="266" t="n">
        <v>0</v>
      </c>
      <c r="AF77" s="266" t="n">
        <v>0</v>
      </c>
      <c r="AG77" s="266" t="n">
        <v>0</v>
      </c>
      <c r="AH77" s="266" t="n">
        <v>0</v>
      </c>
      <c r="AI77" s="266" t="n"/>
      <c r="AJ77" s="266" t="n"/>
      <c r="AK77" s="683" t="n">
        <v>0</v>
      </c>
      <c r="AM77" s="683" t="n">
        <v>0</v>
      </c>
      <c r="AO77" s="56">
        <f>SUM(B66:B77)</f>
        <v/>
      </c>
      <c r="AP77" s="56" t="n"/>
      <c r="AQ77" s="56">
        <f>SUM(C77:Y77)</f>
        <v/>
      </c>
      <c r="AR77" s="56">
        <f>AM77+AD77</f>
        <v/>
      </c>
    </row>
    <row r="78" ht="17" customHeight="1" thickBot="1">
      <c r="A78" s="264" t="n">
        <v>43952</v>
      </c>
      <c r="B78" s="266" t="n">
        <v>7583231</v>
      </c>
      <c r="C78" s="266" t="n">
        <v>3071782.218703309</v>
      </c>
      <c r="D78" s="266" t="n">
        <v>208650</v>
      </c>
      <c r="E78" s="266" t="n">
        <v>384452</v>
      </c>
      <c r="F78" s="266" t="n">
        <v>0</v>
      </c>
      <c r="G78" s="266" t="n">
        <v>99522</v>
      </c>
      <c r="H78" s="266" t="n">
        <v>97251</v>
      </c>
      <c r="I78" s="266" t="n">
        <v>1805652.78129669</v>
      </c>
      <c r="J78" s="266" t="n">
        <v>223924</v>
      </c>
      <c r="K78" s="266" t="n">
        <v>62443</v>
      </c>
      <c r="L78" s="266" t="n">
        <v>84897</v>
      </c>
      <c r="M78" s="266" t="n">
        <v>0</v>
      </c>
      <c r="N78" s="266" t="n">
        <v>186627</v>
      </c>
      <c r="O78" s="266" t="n">
        <v>63932</v>
      </c>
      <c r="P78" s="266" t="n">
        <v>0</v>
      </c>
      <c r="Q78" s="266" t="n">
        <v>76640</v>
      </c>
      <c r="R78" s="266" t="n"/>
      <c r="S78" s="266" t="n"/>
      <c r="T78" s="266" t="n"/>
      <c r="U78" s="266" t="n"/>
      <c r="V78" s="266" t="n"/>
      <c r="W78" s="266" t="n">
        <v>0</v>
      </c>
      <c r="X78" s="266" t="n">
        <v>490579</v>
      </c>
      <c r="Y78" s="266" t="n">
        <v>726879</v>
      </c>
      <c r="Z78" s="267" t="n">
        <v>260510</v>
      </c>
      <c r="AA78" s="289" t="n">
        <v>466369</v>
      </c>
      <c r="AB78" s="289" t="n">
        <v>1992279.78129669</v>
      </c>
      <c r="AC78" s="579" t="n"/>
      <c r="AD78" s="306" t="n">
        <v>192030</v>
      </c>
      <c r="AE78" s="266" t="n">
        <v>0</v>
      </c>
      <c r="AF78" s="266" t="n">
        <v>0</v>
      </c>
      <c r="AG78" s="266" t="n">
        <v>0</v>
      </c>
      <c r="AH78" s="266" t="n">
        <v>0</v>
      </c>
      <c r="AI78" s="266" t="n"/>
      <c r="AJ78" s="266" t="n"/>
      <c r="AK78" s="683" t="n">
        <v>0</v>
      </c>
      <c r="AM78" s="683" t="n">
        <v>0</v>
      </c>
      <c r="AO78" s="56">
        <f>SUM(B67:B78)</f>
        <v/>
      </c>
      <c r="AP78" s="56" t="n"/>
      <c r="AQ78" s="56">
        <f>SUM(C78:Y78)</f>
        <v/>
      </c>
      <c r="AR78" s="56">
        <f>AM78+AD78</f>
        <v/>
      </c>
    </row>
    <row r="79" ht="17" customHeight="1" thickBot="1">
      <c r="A79" s="264" t="n">
        <v>43983</v>
      </c>
      <c r="B79" s="266" t="n">
        <v>8954220</v>
      </c>
      <c r="C79" s="266" t="n">
        <v>3648771.19970989</v>
      </c>
      <c r="D79" s="266" t="n">
        <v>228347</v>
      </c>
      <c r="E79" s="266" t="n">
        <v>396101</v>
      </c>
      <c r="F79" s="266" t="n">
        <v>0</v>
      </c>
      <c r="G79" s="266" t="n">
        <v>109687</v>
      </c>
      <c r="H79" s="266" t="n">
        <v>115327</v>
      </c>
      <c r="I79" s="266" t="n">
        <v>2206132.80029011</v>
      </c>
      <c r="J79" s="266" t="n">
        <v>240416</v>
      </c>
      <c r="K79" s="266" t="n">
        <v>78338</v>
      </c>
      <c r="L79" s="266" t="n">
        <v>119344</v>
      </c>
      <c r="M79" s="266" t="n">
        <v>0</v>
      </c>
      <c r="N79" s="266" t="n">
        <v>225215</v>
      </c>
      <c r="O79" s="266" t="n">
        <v>67302</v>
      </c>
      <c r="P79" s="266" t="n">
        <v>0</v>
      </c>
      <c r="Q79" s="266" t="n">
        <v>93585</v>
      </c>
      <c r="R79" s="266" t="n"/>
      <c r="S79" s="266" t="n"/>
      <c r="T79" s="266" t="n"/>
      <c r="U79" s="266" t="n"/>
      <c r="V79" s="266" t="n"/>
      <c r="W79" s="266" t="n">
        <v>0</v>
      </c>
      <c r="X79" s="266" t="n">
        <v>456065</v>
      </c>
      <c r="Y79" s="266" t="n">
        <v>969589</v>
      </c>
      <c r="Z79" s="267" t="n">
        <v>291027</v>
      </c>
      <c r="AA79" s="289" t="n">
        <v>678562</v>
      </c>
      <c r="AB79" s="289" t="n">
        <v>2431347.80029011</v>
      </c>
      <c r="AC79" s="579" t="n"/>
      <c r="AD79" s="306" t="n">
        <v>68497</v>
      </c>
      <c r="AE79" s="266" t="n">
        <v>0</v>
      </c>
      <c r="AF79" s="266" t="n">
        <v>0</v>
      </c>
      <c r="AG79" s="266" t="n">
        <v>0</v>
      </c>
      <c r="AH79" s="266" t="n">
        <v>0</v>
      </c>
      <c r="AI79" s="266" t="n"/>
      <c r="AJ79" s="289" t="n"/>
      <c r="AK79" s="683" t="n">
        <v>0</v>
      </c>
      <c r="AM79" s="683" t="n">
        <v>0</v>
      </c>
      <c r="AO79" s="577">
        <f>SUM(B68:B79)</f>
        <v/>
      </c>
      <c r="AP79" s="578">
        <f>AK79+SUM(AD68:AD79)</f>
        <v/>
      </c>
      <c r="AQ79" s="56">
        <f>SUM(C79:Y79)</f>
        <v/>
      </c>
      <c r="AR79" s="56">
        <f>AM79+AD79</f>
        <v/>
      </c>
    </row>
    <row r="80">
      <c r="A80" s="264" t="n">
        <v>44013</v>
      </c>
      <c r="B80" s="266" t="n">
        <v>8833132</v>
      </c>
      <c r="C80" s="266" t="n">
        <v>3490262.449999999</v>
      </c>
      <c r="D80" s="266" t="n">
        <v>228257</v>
      </c>
      <c r="E80" s="266" t="n">
        <v>404540</v>
      </c>
      <c r="F80" s="266" t="n">
        <v>0</v>
      </c>
      <c r="G80" s="266" t="n">
        <v>110641</v>
      </c>
      <c r="H80" s="266" t="n">
        <v>120796</v>
      </c>
      <c r="I80" s="266" t="n">
        <v>2154407.55</v>
      </c>
      <c r="J80" s="266" t="n">
        <v>231715</v>
      </c>
      <c r="K80" s="266" t="n">
        <v>83182</v>
      </c>
      <c r="L80" s="266" t="n">
        <v>140263</v>
      </c>
      <c r="M80" s="266" t="n">
        <v>0</v>
      </c>
      <c r="N80" s="266" t="n">
        <v>242508</v>
      </c>
      <c r="O80" s="266" t="n">
        <v>88475</v>
      </c>
      <c r="P80" s="266" t="n">
        <v>0</v>
      </c>
      <c r="Q80" s="266" t="n">
        <v>47947</v>
      </c>
      <c r="R80" s="266" t="n"/>
      <c r="S80" s="266" t="n"/>
      <c r="T80" s="266" t="n"/>
      <c r="U80" s="266" t="n"/>
      <c r="V80" s="266" t="n"/>
      <c r="W80" s="266" t="n">
        <v>0</v>
      </c>
      <c r="X80" s="266" t="n">
        <v>464378</v>
      </c>
      <c r="Y80" s="266" t="n">
        <v>1025760</v>
      </c>
      <c r="Z80" s="267" t="n">
        <v>265659</v>
      </c>
      <c r="AA80" s="289" t="n">
        <v>760101</v>
      </c>
      <c r="AB80" s="289" t="n">
        <v>2396915.55</v>
      </c>
      <c r="AC80" s="579" t="n"/>
      <c r="AD80" s="306" t="n">
        <v>62076</v>
      </c>
      <c r="AE80" s="266" t="n">
        <v>0</v>
      </c>
      <c r="AF80" s="266" t="n">
        <v>0</v>
      </c>
      <c r="AG80" s="266" t="n">
        <v>0</v>
      </c>
      <c r="AH80" s="266" t="n">
        <v>0</v>
      </c>
      <c r="AI80" s="266" t="n"/>
      <c r="AJ80" s="266" t="n"/>
      <c r="AK80" s="683" t="n">
        <v>0</v>
      </c>
      <c r="AM80" s="683" t="n">
        <v>0</v>
      </c>
      <c r="AO80" s="56">
        <f>SUM(B69:B80)</f>
        <v/>
      </c>
      <c r="AP80" s="56" t="n"/>
      <c r="AQ80" s="56">
        <f>SUM(C80:Y80)</f>
        <v/>
      </c>
      <c r="AR80" s="56">
        <f>AM80+AD80</f>
        <v/>
      </c>
    </row>
    <row r="81">
      <c r="A81" s="264" t="n">
        <v>44044</v>
      </c>
      <c r="B81" s="266" t="n">
        <v>7931452</v>
      </c>
      <c r="C81" s="266" t="n">
        <v>2706435.533479581</v>
      </c>
      <c r="D81" s="266" t="n">
        <v>197866</v>
      </c>
      <c r="E81" s="266" t="n">
        <v>348726</v>
      </c>
      <c r="F81" s="266" t="n">
        <v>0</v>
      </c>
      <c r="G81" s="266" t="n">
        <v>107732</v>
      </c>
      <c r="H81" s="266" t="n">
        <v>136811</v>
      </c>
      <c r="I81" s="266" t="n">
        <v>2394486.46652042</v>
      </c>
      <c r="J81" s="266" t="n">
        <v>200857</v>
      </c>
      <c r="K81" s="266" t="n">
        <v>76791</v>
      </c>
      <c r="L81" s="266" t="n">
        <v>121644</v>
      </c>
      <c r="M81" s="266" t="n">
        <v>0</v>
      </c>
      <c r="N81" s="266" t="n">
        <v>229261</v>
      </c>
      <c r="O81" s="266" t="n">
        <v>53605</v>
      </c>
      <c r="P81" s="266" t="n">
        <v>0</v>
      </c>
      <c r="Q81" s="266" t="n">
        <v>45846</v>
      </c>
      <c r="R81" s="266" t="n"/>
      <c r="S81" s="266" t="n"/>
      <c r="T81" s="266" t="n"/>
      <c r="U81" s="266" t="n"/>
      <c r="V81" s="266" t="n"/>
      <c r="W81" s="266" t="n">
        <v>0</v>
      </c>
      <c r="X81" s="266" t="n">
        <v>481052</v>
      </c>
      <c r="Y81" s="266" t="n">
        <v>830339</v>
      </c>
      <c r="Z81" s="267" t="n">
        <v>232096</v>
      </c>
      <c r="AA81" s="289" t="n">
        <v>598243</v>
      </c>
      <c r="AB81" s="289" t="n">
        <v>2623747.46652042</v>
      </c>
      <c r="AC81" s="579" t="n"/>
      <c r="AD81" s="306" t="n">
        <v>70639</v>
      </c>
      <c r="AE81" s="266" t="n">
        <v>0</v>
      </c>
      <c r="AF81" s="266" t="n">
        <v>0</v>
      </c>
      <c r="AG81" s="266" t="n">
        <v>0</v>
      </c>
      <c r="AH81" s="266" t="n">
        <v>0</v>
      </c>
      <c r="AI81" s="266" t="n"/>
      <c r="AJ81" s="266" t="n"/>
      <c r="AK81" s="683" t="n">
        <v>0</v>
      </c>
      <c r="AM81" s="683" t="n">
        <v>0</v>
      </c>
      <c r="AO81" s="56">
        <f>SUM(B70:B81)</f>
        <v/>
      </c>
      <c r="AP81" s="56" t="n"/>
      <c r="AQ81" s="56">
        <f>SUM(C81:Y81)</f>
        <v/>
      </c>
      <c r="AR81" s="56">
        <f>AM81+AD81</f>
        <v/>
      </c>
    </row>
    <row r="82">
      <c r="A82" s="264" t="n">
        <v>44075</v>
      </c>
      <c r="B82" s="266" t="n">
        <v>9473248</v>
      </c>
      <c r="C82" s="266" t="n">
        <v>4067167.602130599</v>
      </c>
      <c r="D82" s="266" t="n">
        <v>227234</v>
      </c>
      <c r="E82" s="266" t="n">
        <v>401301</v>
      </c>
      <c r="F82" s="266" t="n">
        <v>0</v>
      </c>
      <c r="G82" s="266" t="n">
        <v>105161</v>
      </c>
      <c r="H82" s="266" t="n">
        <v>145991</v>
      </c>
      <c r="I82" s="266" t="n">
        <v>2048304.397869401</v>
      </c>
      <c r="J82" s="266" t="n">
        <v>250434</v>
      </c>
      <c r="K82" s="266" t="n">
        <v>74921</v>
      </c>
      <c r="L82" s="266" t="n">
        <v>130572</v>
      </c>
      <c r="M82" s="266" t="n">
        <v>0</v>
      </c>
      <c r="N82" s="266" t="n">
        <v>227888</v>
      </c>
      <c r="O82" s="266" t="n">
        <v>53030</v>
      </c>
      <c r="P82" s="266" t="n">
        <v>0</v>
      </c>
      <c r="Q82" s="266" t="n">
        <v>67681</v>
      </c>
      <c r="R82" s="266" t="n"/>
      <c r="S82" s="266" t="n"/>
      <c r="T82" s="266" t="n"/>
      <c r="U82" s="266" t="n"/>
      <c r="V82" s="266" t="n"/>
      <c r="W82" s="266" t="n">
        <v>290330</v>
      </c>
      <c r="X82" s="266" t="n">
        <v>456104</v>
      </c>
      <c r="Y82" s="266" t="n">
        <v>927129</v>
      </c>
      <c r="Z82" s="267" t="n">
        <v>303922</v>
      </c>
      <c r="AA82" s="289" t="n">
        <v>623207</v>
      </c>
      <c r="AB82" s="289" t="n">
        <v>2276192.397869401</v>
      </c>
      <c r="AC82" s="579" t="n"/>
      <c r="AD82" s="306" t="n">
        <v>228211</v>
      </c>
      <c r="AE82" s="266" t="n">
        <v>0</v>
      </c>
      <c r="AF82" s="266" t="n">
        <v>0</v>
      </c>
      <c r="AG82" s="266" t="n">
        <v>0</v>
      </c>
      <c r="AH82" s="266" t="n">
        <v>0</v>
      </c>
      <c r="AI82" s="266" t="n"/>
      <c r="AJ82" s="266" t="n"/>
      <c r="AK82" s="683" t="n">
        <v>0</v>
      </c>
      <c r="AM82" s="683" t="n">
        <v>0</v>
      </c>
      <c r="AO82" s="56">
        <f>SUM(B71:B82)</f>
        <v/>
      </c>
      <c r="AP82" s="56" t="n"/>
      <c r="AQ82" s="56">
        <f>SUM(C82:Y82)</f>
        <v/>
      </c>
      <c r="AR82" s="56">
        <f>AM82+AD82</f>
        <v/>
      </c>
    </row>
    <row r="83">
      <c r="A83" s="264" t="n">
        <v>44105</v>
      </c>
      <c r="B83" s="266" t="n">
        <v>7236358</v>
      </c>
      <c r="C83" s="266" t="n">
        <v>3329580.0449934</v>
      </c>
      <c r="D83" s="266" t="n">
        <v>211299</v>
      </c>
      <c r="E83" s="266" t="n">
        <v>373141</v>
      </c>
      <c r="F83" s="266" t="n">
        <v>0</v>
      </c>
      <c r="G83" s="266" t="n">
        <v>104277.6</v>
      </c>
      <c r="H83" s="266" t="n">
        <v>145355</v>
      </c>
      <c r="I83" s="266" t="n">
        <v>1335753.3550066</v>
      </c>
      <c r="J83" s="266" t="n">
        <v>232357</v>
      </c>
      <c r="K83" s="266" t="n">
        <v>54482</v>
      </c>
      <c r="L83" s="266" t="n">
        <v>100678</v>
      </c>
      <c r="M83" s="266" t="n">
        <v>0</v>
      </c>
      <c r="N83" s="266" t="n">
        <v>152364</v>
      </c>
      <c r="O83" s="266" t="n">
        <v>47889</v>
      </c>
      <c r="P83" s="266" t="n">
        <v>0</v>
      </c>
      <c r="Q83" s="266" t="n">
        <v>59602</v>
      </c>
      <c r="R83" s="266" t="n"/>
      <c r="S83" s="266" t="n"/>
      <c r="T83" s="266" t="n"/>
      <c r="U83" s="266" t="n"/>
      <c r="V83" s="266" t="n"/>
      <c r="W83" s="266" t="n">
        <v>89769</v>
      </c>
      <c r="X83" s="266" t="n">
        <v>412147</v>
      </c>
      <c r="Y83" s="266" t="n">
        <v>587664</v>
      </c>
      <c r="Z83" s="267" t="n">
        <v>267278</v>
      </c>
      <c r="AA83" s="289" t="n">
        <v>320386</v>
      </c>
      <c r="AB83" s="289" t="n">
        <v>1488117.3550066</v>
      </c>
      <c r="AC83" s="579" t="n"/>
      <c r="AD83" s="306" t="n">
        <v>90540</v>
      </c>
      <c r="AE83" s="266" t="n">
        <v>0</v>
      </c>
      <c r="AF83" s="266" t="n">
        <v>0</v>
      </c>
      <c r="AG83" s="266" t="n">
        <v>0</v>
      </c>
      <c r="AH83" s="266" t="n">
        <v>0</v>
      </c>
      <c r="AI83" s="266" t="n"/>
      <c r="AJ83" s="266" t="n"/>
      <c r="AK83" s="683" t="n">
        <v>0</v>
      </c>
      <c r="AM83" s="683" t="n">
        <v>0</v>
      </c>
      <c r="AO83" s="56">
        <f>SUM(B72:B83)</f>
        <v/>
      </c>
      <c r="AP83" s="56" t="n"/>
      <c r="AQ83" s="56">
        <f>SUM(C83:Y83)</f>
        <v/>
      </c>
      <c r="AR83" s="56">
        <f>AM83+AD83</f>
        <v/>
      </c>
    </row>
    <row r="84">
      <c r="A84" s="264" t="n">
        <v>44136</v>
      </c>
      <c r="B84" s="266" t="n">
        <v>6770208</v>
      </c>
      <c r="C84" s="266" t="n">
        <v>3423239.6140418</v>
      </c>
      <c r="D84" s="266" t="n">
        <v>227410</v>
      </c>
      <c r="E84" s="266" t="n">
        <v>396796</v>
      </c>
      <c r="F84" s="266" t="n">
        <v>0</v>
      </c>
      <c r="G84" s="266" t="n">
        <v>108587</v>
      </c>
      <c r="H84" s="266" t="n">
        <v>177222</v>
      </c>
      <c r="I84" s="266" t="n">
        <v>915177.3859581997</v>
      </c>
      <c r="J84" s="266" t="n">
        <v>234747</v>
      </c>
      <c r="K84" s="266" t="n">
        <v>51126</v>
      </c>
      <c r="L84" s="266" t="n">
        <v>81285</v>
      </c>
      <c r="M84" s="266" t="n">
        <v>0</v>
      </c>
      <c r="N84" s="266" t="n">
        <v>98770</v>
      </c>
      <c r="O84" s="266" t="n">
        <v>37909</v>
      </c>
      <c r="P84" s="266" t="n">
        <v>0</v>
      </c>
      <c r="Q84" s="266" t="n">
        <v>53349</v>
      </c>
      <c r="R84" s="266" t="n"/>
      <c r="S84" s="266" t="n"/>
      <c r="T84" s="266" t="n"/>
      <c r="U84" s="266" t="n"/>
      <c r="V84" s="266" t="n"/>
      <c r="W84" s="266" t="n">
        <v>74036</v>
      </c>
      <c r="X84" s="266" t="n">
        <v>365102</v>
      </c>
      <c r="Y84" s="266" t="n">
        <v>525452</v>
      </c>
      <c r="Z84" s="267" t="n">
        <v>293224</v>
      </c>
      <c r="AA84" s="289" t="n">
        <v>232228</v>
      </c>
      <c r="AB84" s="289" t="n">
        <v>1013947.3859582</v>
      </c>
      <c r="AC84" s="579" t="n"/>
      <c r="AD84" s="306" t="n">
        <v>68723</v>
      </c>
      <c r="AE84" s="266" t="n">
        <v>0</v>
      </c>
      <c r="AF84" s="266" t="n">
        <v>0</v>
      </c>
      <c r="AG84" s="266" t="n">
        <v>0</v>
      </c>
      <c r="AH84" s="266" t="n">
        <v>0</v>
      </c>
      <c r="AI84" s="266" t="n"/>
      <c r="AJ84" s="266" t="n"/>
      <c r="AK84" s="683" t="n">
        <v>0</v>
      </c>
      <c r="AM84" s="683" t="n">
        <v>0</v>
      </c>
      <c r="AO84" s="56">
        <f>SUM(B73:B84)</f>
        <v/>
      </c>
      <c r="AP84" s="56" t="n"/>
      <c r="AQ84" s="56">
        <f>SUM(C84:Y84)</f>
        <v/>
      </c>
      <c r="AR84" s="56">
        <f>AM84+AD84</f>
        <v/>
      </c>
    </row>
    <row r="85">
      <c r="A85" s="264" t="n">
        <v>44166</v>
      </c>
      <c r="B85" s="266" t="n">
        <v>5773520</v>
      </c>
      <c r="C85" s="266" t="n">
        <v>3075672.1964862</v>
      </c>
      <c r="D85" s="266" t="n">
        <v>200695</v>
      </c>
      <c r="E85" s="266" t="n">
        <v>380382</v>
      </c>
      <c r="F85" s="266" t="n">
        <v>0</v>
      </c>
      <c r="G85" s="266" t="n">
        <v>97232</v>
      </c>
      <c r="H85" s="266" t="n">
        <v>152820</v>
      </c>
      <c r="I85" s="266" t="n">
        <v>506804.8035137999</v>
      </c>
      <c r="J85" s="266" t="n">
        <v>232272</v>
      </c>
      <c r="K85" s="266" t="n">
        <v>47403</v>
      </c>
      <c r="L85" s="266" t="n">
        <v>48764</v>
      </c>
      <c r="M85" s="266" t="n">
        <v>0</v>
      </c>
      <c r="N85" s="266" t="n">
        <v>50904</v>
      </c>
      <c r="O85" s="266" t="n">
        <v>62080</v>
      </c>
      <c r="P85" s="266" t="n">
        <v>0</v>
      </c>
      <c r="Q85" s="266" t="n">
        <v>34551</v>
      </c>
      <c r="R85" s="266" t="n"/>
      <c r="S85" s="266" t="n"/>
      <c r="T85" s="266" t="n"/>
      <c r="U85" s="266" t="n"/>
      <c r="V85" s="266" t="n"/>
      <c r="W85" s="266" t="n">
        <v>70802</v>
      </c>
      <c r="X85" s="266" t="n">
        <v>303654</v>
      </c>
      <c r="Y85" s="266" t="n">
        <v>509484</v>
      </c>
      <c r="Z85" s="267" t="n">
        <v>259382</v>
      </c>
      <c r="AA85" s="289" t="n">
        <v>250102</v>
      </c>
      <c r="AB85" s="289" t="n">
        <v>557708.8035137999</v>
      </c>
      <c r="AC85" s="579" t="n"/>
      <c r="AD85" s="306" t="n">
        <v>59377</v>
      </c>
      <c r="AE85" s="266" t="n">
        <v>0</v>
      </c>
      <c r="AF85" s="266" t="n">
        <v>0</v>
      </c>
      <c r="AG85" s="266" t="n">
        <v>0</v>
      </c>
      <c r="AH85" s="266" t="n">
        <v>0</v>
      </c>
      <c r="AI85" s="266" t="n"/>
      <c r="AJ85" s="266" t="n"/>
      <c r="AK85" s="683" t="n">
        <v>0</v>
      </c>
      <c r="AM85" s="683" t="n">
        <v>0</v>
      </c>
      <c r="AO85" s="56">
        <f>SUM(B74:B85)</f>
        <v/>
      </c>
      <c r="AP85" s="56" t="n"/>
      <c r="AQ85" s="56">
        <f>SUM(C85:Y85)</f>
        <v/>
      </c>
      <c r="AR85" s="56">
        <f>AM85+AD85</f>
        <v/>
      </c>
    </row>
    <row r="86">
      <c r="A86" s="290" t="n">
        <v>44197</v>
      </c>
      <c r="B86" s="291" t="n">
        <v>5701348</v>
      </c>
      <c r="C86" s="291" t="n">
        <v>3020329.7757378</v>
      </c>
      <c r="D86" s="291" t="n">
        <v>206965</v>
      </c>
      <c r="E86" s="291" t="n">
        <v>382076</v>
      </c>
      <c r="F86" s="291" t="n">
        <v>0</v>
      </c>
      <c r="G86" s="291" t="n">
        <v>147415</v>
      </c>
      <c r="H86" s="291" t="n">
        <v>147739</v>
      </c>
      <c r="I86" s="291" t="n">
        <v>393066.2242622</v>
      </c>
      <c r="J86" s="291" t="n">
        <v>223334</v>
      </c>
      <c r="K86" s="291" t="n">
        <v>44857</v>
      </c>
      <c r="L86" s="291" t="n">
        <v>48817</v>
      </c>
      <c r="M86" s="291" t="n">
        <v>0</v>
      </c>
      <c r="N86" s="291" t="n">
        <v>47672</v>
      </c>
      <c r="O86" s="291" t="n">
        <v>30752</v>
      </c>
      <c r="P86" s="291" t="n">
        <v>0</v>
      </c>
      <c r="Q86" s="291" t="n">
        <v>16074</v>
      </c>
      <c r="R86" s="291" t="n"/>
      <c r="S86" s="291" t="n"/>
      <c r="T86" s="291" t="n"/>
      <c r="U86" s="291" t="n"/>
      <c r="V86" s="291" t="n"/>
      <c r="W86" s="291" t="n">
        <v>79942</v>
      </c>
      <c r="X86" s="291" t="n">
        <v>325594</v>
      </c>
      <c r="Y86" s="291" t="n">
        <v>586715</v>
      </c>
      <c r="Z86" s="292" t="n">
        <v>249052</v>
      </c>
      <c r="AA86" s="293" t="n">
        <v>337663</v>
      </c>
      <c r="AB86" s="293" t="n">
        <v>440738.2242622</v>
      </c>
      <c r="AC86" s="579" t="n"/>
      <c r="AD86" s="307" t="n">
        <v>62522</v>
      </c>
      <c r="AE86" s="291" t="n">
        <v>0</v>
      </c>
      <c r="AF86" s="291" t="n">
        <v>0</v>
      </c>
      <c r="AG86" s="291" t="n">
        <v>0</v>
      </c>
      <c r="AH86" s="291" t="n">
        <v>0</v>
      </c>
      <c r="AI86" s="291" t="n"/>
      <c r="AJ86" s="291" t="n"/>
      <c r="AK86" s="691" t="n">
        <v>0</v>
      </c>
      <c r="AM86" s="691" t="n">
        <v>0</v>
      </c>
      <c r="AO86" s="56">
        <f>SUM(B75:B86)</f>
        <v/>
      </c>
      <c r="AP86" s="56" t="n"/>
      <c r="AQ86" s="56">
        <f>SUM(C86:Y86)</f>
        <v/>
      </c>
      <c r="AR86" s="56">
        <f>AM86+AD86</f>
        <v/>
      </c>
    </row>
    <row r="87">
      <c r="A87" s="290" t="n">
        <v>44228</v>
      </c>
      <c r="B87" s="291" t="n">
        <v>5426615</v>
      </c>
      <c r="C87" s="291" t="n">
        <v>2958403.0367956</v>
      </c>
      <c r="D87" s="291" t="n">
        <v>170515</v>
      </c>
      <c r="E87" s="291" t="n">
        <v>321055</v>
      </c>
      <c r="F87" s="291" t="n">
        <v>0</v>
      </c>
      <c r="G87" s="291" t="n">
        <v>102737</v>
      </c>
      <c r="H87" s="291" t="n">
        <v>161735</v>
      </c>
      <c r="I87" s="291" t="n">
        <v>528780.9632043999</v>
      </c>
      <c r="J87" s="291" t="n">
        <v>197886</v>
      </c>
      <c r="K87" s="291" t="n">
        <v>40970</v>
      </c>
      <c r="L87" s="291" t="n">
        <v>42444</v>
      </c>
      <c r="M87" s="291" t="n">
        <v>0</v>
      </c>
      <c r="N87" s="291" t="n">
        <v>52226</v>
      </c>
      <c r="O87" s="291" t="n">
        <v>26966</v>
      </c>
      <c r="P87" s="291" t="n">
        <v>0</v>
      </c>
      <c r="Q87" s="291" t="n">
        <v>14515</v>
      </c>
      <c r="R87" s="291" t="n"/>
      <c r="S87" s="291" t="n"/>
      <c r="T87" s="291" t="n"/>
      <c r="U87" s="291" t="n"/>
      <c r="V87" s="291" t="n"/>
      <c r="W87" s="291" t="n">
        <v>65365</v>
      </c>
      <c r="X87" s="291" t="n">
        <v>319533</v>
      </c>
      <c r="Y87" s="291" t="n">
        <v>423484</v>
      </c>
      <c r="Z87" s="292" t="n">
        <v>237507</v>
      </c>
      <c r="AA87" s="293" t="n">
        <v>185977</v>
      </c>
      <c r="AB87" s="293" t="n">
        <v>581006.9632043999</v>
      </c>
      <c r="AC87" s="579" t="n"/>
      <c r="AD87" s="307" t="n">
        <v>62522</v>
      </c>
      <c r="AE87" s="291" t="n">
        <v>0</v>
      </c>
      <c r="AF87" s="291" t="n">
        <v>0</v>
      </c>
      <c r="AG87" s="291" t="n">
        <v>0</v>
      </c>
      <c r="AH87" s="291" t="n">
        <v>0</v>
      </c>
      <c r="AI87" s="291" t="n"/>
      <c r="AJ87" s="291" t="n"/>
      <c r="AK87" s="691" t="n">
        <v>0</v>
      </c>
      <c r="AM87" s="691" t="n">
        <v>0</v>
      </c>
      <c r="AO87" s="56">
        <f>SUM(B76:B87)</f>
        <v/>
      </c>
      <c r="AP87" s="56" t="n"/>
      <c r="AQ87" s="56">
        <f>SUM(C87:Y87)</f>
        <v/>
      </c>
      <c r="AR87" s="56">
        <f>AM87+AD87</f>
        <v/>
      </c>
    </row>
    <row r="88">
      <c r="A88" s="290" t="n">
        <v>44256</v>
      </c>
      <c r="B88" s="291" t="n">
        <v>6796687</v>
      </c>
      <c r="C88" s="291" t="n">
        <v>3625896.4016302</v>
      </c>
      <c r="D88" s="291" t="n">
        <v>213068</v>
      </c>
      <c r="E88" s="291" t="n">
        <v>392798</v>
      </c>
      <c r="F88" s="291" t="n">
        <v>0</v>
      </c>
      <c r="G88" s="291" t="n">
        <v>119602</v>
      </c>
      <c r="H88" s="291" t="n">
        <v>177452</v>
      </c>
      <c r="I88" s="291" t="n">
        <v>785188.5983698</v>
      </c>
      <c r="J88" s="291" t="n">
        <v>242322</v>
      </c>
      <c r="K88" s="291" t="n">
        <v>52128</v>
      </c>
      <c r="L88" s="291" t="n">
        <v>54444</v>
      </c>
      <c r="M88" s="291" t="n">
        <v>0</v>
      </c>
      <c r="N88" s="291" t="n">
        <v>77337</v>
      </c>
      <c r="O88" s="291" t="n">
        <v>34524</v>
      </c>
      <c r="P88" s="291" t="n">
        <v>0</v>
      </c>
      <c r="Q88" s="291" t="n">
        <v>57884</v>
      </c>
      <c r="R88" s="291" t="n"/>
      <c r="S88" s="291" t="n"/>
      <c r="T88" s="291" t="n"/>
      <c r="U88" s="291" t="n"/>
      <c r="V88" s="291" t="n"/>
      <c r="W88" s="291" t="n">
        <v>81956</v>
      </c>
      <c r="X88" s="291" t="n">
        <v>357255</v>
      </c>
      <c r="Y88" s="291" t="n">
        <v>524832</v>
      </c>
      <c r="Z88" s="292" t="n">
        <v>288377</v>
      </c>
      <c r="AA88" s="293" t="n">
        <v>236455</v>
      </c>
      <c r="AB88" s="293" t="n">
        <v>862525.5983698</v>
      </c>
      <c r="AC88" s="579" t="n"/>
      <c r="AD88" s="307" t="n">
        <v>59428</v>
      </c>
      <c r="AE88" s="291" t="n">
        <v>0</v>
      </c>
      <c r="AF88" s="291" t="n">
        <v>0</v>
      </c>
      <c r="AG88" s="291" t="n">
        <v>0</v>
      </c>
      <c r="AH88" s="291" t="n">
        <v>0</v>
      </c>
      <c r="AI88" s="291" t="n"/>
      <c r="AJ88" s="291" t="n"/>
      <c r="AK88" s="691" t="n">
        <v>0</v>
      </c>
      <c r="AM88" s="691" t="n">
        <v>0</v>
      </c>
      <c r="AO88" s="56">
        <f>SUM(B77:B88)</f>
        <v/>
      </c>
      <c r="AP88" s="56" t="n"/>
      <c r="AQ88" s="56">
        <f>SUM(C88:Y88)</f>
        <v/>
      </c>
      <c r="AR88" s="56">
        <f>AM88+AD88</f>
        <v/>
      </c>
    </row>
    <row r="89">
      <c r="A89" s="290" t="n">
        <v>44287</v>
      </c>
      <c r="B89" s="291" t="n">
        <v>7087733</v>
      </c>
      <c r="C89" s="291" t="n">
        <v>3510739.3847514</v>
      </c>
      <c r="D89" s="291" t="n">
        <v>201013</v>
      </c>
      <c r="E89" s="291" t="n">
        <v>384122</v>
      </c>
      <c r="F89" s="291" t="n">
        <v>0</v>
      </c>
      <c r="G89" s="291" t="n">
        <v>106950</v>
      </c>
      <c r="H89" s="291" t="n">
        <v>160888</v>
      </c>
      <c r="I89" s="291" t="n">
        <v>1050938.6152486</v>
      </c>
      <c r="J89" s="291" t="n">
        <v>233551</v>
      </c>
      <c r="K89" s="291" t="n">
        <v>52762</v>
      </c>
      <c r="L89" s="291" t="n">
        <v>53047</v>
      </c>
      <c r="M89" s="291" t="n">
        <v>0</v>
      </c>
      <c r="N89" s="291" t="n">
        <v>122683</v>
      </c>
      <c r="O89" s="291" t="n">
        <v>44705</v>
      </c>
      <c r="P89" s="291" t="n">
        <v>3251</v>
      </c>
      <c r="Q89" s="291" t="n">
        <v>67675</v>
      </c>
      <c r="R89" s="291" t="n"/>
      <c r="S89" s="291" t="n"/>
      <c r="T89" s="291" t="n"/>
      <c r="U89" s="291" t="n"/>
      <c r="V89" s="291" t="n"/>
      <c r="W89" s="291" t="n">
        <v>91645</v>
      </c>
      <c r="X89" s="291" t="n">
        <v>449503</v>
      </c>
      <c r="Y89" s="291" t="n">
        <v>554260</v>
      </c>
      <c r="Z89" s="292" t="n">
        <v>282594</v>
      </c>
      <c r="AA89" s="293" t="n">
        <v>271666</v>
      </c>
      <c r="AB89" s="293" t="n">
        <v>1173621.6152486</v>
      </c>
      <c r="AC89" s="579" t="n"/>
      <c r="AD89" s="307" t="n">
        <v>84036</v>
      </c>
      <c r="AE89" s="291" t="n">
        <v>0</v>
      </c>
      <c r="AF89" s="291" t="n">
        <v>0</v>
      </c>
      <c r="AG89" s="291" t="n">
        <v>0</v>
      </c>
      <c r="AH89" s="291" t="n">
        <v>0</v>
      </c>
      <c r="AI89" s="291" t="n"/>
      <c r="AJ89" s="291" t="n"/>
      <c r="AK89" s="691" t="n">
        <v>0</v>
      </c>
      <c r="AM89" s="691" t="n">
        <v>0</v>
      </c>
      <c r="AO89" s="56">
        <f>SUM(B78:B89)</f>
        <v/>
      </c>
      <c r="AP89" s="56" t="n"/>
      <c r="AQ89" s="56">
        <f>SUM(C89:Y89)</f>
        <v/>
      </c>
      <c r="AR89" s="56">
        <f>AM89+AD89</f>
        <v/>
      </c>
    </row>
    <row r="90" ht="17" customHeight="1" thickBot="1">
      <c r="A90" s="290" t="n">
        <v>44317</v>
      </c>
      <c r="B90" s="291" t="n">
        <v>8790715</v>
      </c>
      <c r="C90" s="291" t="n">
        <v>3690093.1497068</v>
      </c>
      <c r="D90" s="291" t="n">
        <v>157781</v>
      </c>
      <c r="E90" s="291" t="n">
        <v>367014</v>
      </c>
      <c r="F90" s="291" t="n">
        <v>0</v>
      </c>
      <c r="G90" s="291" t="n">
        <v>109455</v>
      </c>
      <c r="H90" s="291" t="n">
        <v>167706</v>
      </c>
      <c r="I90" s="291" t="n">
        <v>1964651.8502932</v>
      </c>
      <c r="J90" s="291" t="n">
        <v>209323</v>
      </c>
      <c r="K90" s="291" t="n">
        <v>63649</v>
      </c>
      <c r="L90" s="291" t="n">
        <v>77349</v>
      </c>
      <c r="M90" s="291" t="n">
        <v>0</v>
      </c>
      <c r="N90" s="291" t="n">
        <v>200723</v>
      </c>
      <c r="O90" s="291" t="n">
        <v>47375</v>
      </c>
      <c r="P90" s="291" t="n">
        <v>4531</v>
      </c>
      <c r="Q90" s="291" t="n">
        <v>94294</v>
      </c>
      <c r="R90" s="291" t="n"/>
      <c r="S90" s="291" t="n"/>
      <c r="T90" s="291" t="n"/>
      <c r="U90" s="291" t="n"/>
      <c r="V90" s="291" t="n"/>
      <c r="W90" s="291" t="n">
        <v>117414</v>
      </c>
      <c r="X90" s="291" t="n">
        <v>631202</v>
      </c>
      <c r="Y90" s="291" t="n">
        <v>888154</v>
      </c>
      <c r="Z90" s="292" t="n">
        <v>308231</v>
      </c>
      <c r="AA90" s="293" t="n">
        <v>579923</v>
      </c>
      <c r="AB90" s="293" t="n">
        <v>2165374.8502932</v>
      </c>
      <c r="AC90" s="579" t="n"/>
      <c r="AD90" s="307" t="n">
        <v>108882</v>
      </c>
      <c r="AE90" s="291" t="n">
        <v>0</v>
      </c>
      <c r="AF90" s="291" t="n">
        <v>0</v>
      </c>
      <c r="AG90" s="291" t="n">
        <v>0</v>
      </c>
      <c r="AH90" s="291" t="n">
        <v>0</v>
      </c>
      <c r="AI90" s="291" t="n"/>
      <c r="AJ90" s="291" t="n"/>
      <c r="AK90" s="691" t="n">
        <v>0</v>
      </c>
      <c r="AM90" s="691" t="n">
        <v>0</v>
      </c>
      <c r="AO90" s="56">
        <f>SUM(B79:B90)</f>
        <v/>
      </c>
      <c r="AP90" s="56" t="n"/>
      <c r="AQ90" s="56">
        <f>SUM(C90:Y90)</f>
        <v/>
      </c>
      <c r="AR90" s="56">
        <f>AM90+AD90</f>
        <v/>
      </c>
    </row>
    <row r="91" ht="17" customHeight="1" thickBot="1">
      <c r="A91" s="290" t="n">
        <v>44348</v>
      </c>
      <c r="B91" s="291" t="n">
        <v>8497159</v>
      </c>
      <c r="C91" s="291" t="n">
        <v>3315619.460143</v>
      </c>
      <c r="D91" s="291" t="n">
        <v>201385</v>
      </c>
      <c r="E91" s="291" t="n">
        <v>411370</v>
      </c>
      <c r="F91" s="291" t="n">
        <v>0</v>
      </c>
      <c r="G91" s="291" t="n">
        <v>113591</v>
      </c>
      <c r="H91" s="291" t="n">
        <v>192254</v>
      </c>
      <c r="I91" s="291" t="n">
        <v>2020738.539857</v>
      </c>
      <c r="J91" s="291" t="n">
        <v>230711</v>
      </c>
      <c r="K91" s="291" t="n">
        <v>64191</v>
      </c>
      <c r="L91" s="291" t="n">
        <v>113132</v>
      </c>
      <c r="M91" s="291" t="n">
        <v>0</v>
      </c>
      <c r="N91" s="291" t="n">
        <v>228931</v>
      </c>
      <c r="O91" s="291" t="n">
        <v>57454</v>
      </c>
      <c r="P91" s="291" t="n">
        <v>5693</v>
      </c>
      <c r="Q91" s="291" t="n">
        <v>93048</v>
      </c>
      <c r="R91" s="291" t="n"/>
      <c r="S91" s="291" t="n"/>
      <c r="T91" s="291" t="n"/>
      <c r="U91" s="291" t="n"/>
      <c r="V91" s="291" t="n"/>
      <c r="W91" s="291" t="n">
        <v>146373</v>
      </c>
      <c r="X91" s="291" t="n">
        <v>491465</v>
      </c>
      <c r="Y91" s="291" t="n">
        <v>811203</v>
      </c>
      <c r="Z91" s="292" t="n">
        <v>275823</v>
      </c>
      <c r="AA91" s="293" t="n">
        <v>535380</v>
      </c>
      <c r="AB91" s="293" t="n">
        <v>2249669.539857</v>
      </c>
      <c r="AC91" s="579" t="n"/>
      <c r="AD91" s="307" t="n">
        <v>114411</v>
      </c>
      <c r="AE91" s="291" t="n">
        <v>0</v>
      </c>
      <c r="AF91" s="291" t="n">
        <v>0</v>
      </c>
      <c r="AG91" s="291" t="n">
        <v>0</v>
      </c>
      <c r="AH91" s="291" t="n">
        <v>0</v>
      </c>
      <c r="AI91" s="291" t="n"/>
      <c r="AJ91" s="293" t="n"/>
      <c r="AK91" s="691" t="n">
        <v>0</v>
      </c>
      <c r="AM91" s="691" t="n">
        <v>0</v>
      </c>
      <c r="AO91" s="577">
        <f>SUM(B80:B91)</f>
        <v/>
      </c>
      <c r="AP91" s="578">
        <f>AK91+SUM(AD80:AD91)</f>
        <v/>
      </c>
      <c r="AQ91" s="56">
        <f>SUM(C91:Y91)</f>
        <v/>
      </c>
      <c r="AR91" s="56">
        <f>AM91+AD91</f>
        <v/>
      </c>
    </row>
    <row r="92">
      <c r="A92" s="290" t="n">
        <v>44378</v>
      </c>
      <c r="B92" s="291" t="n">
        <v>8964920</v>
      </c>
      <c r="C92" s="291" t="n">
        <v>3490827.429737</v>
      </c>
      <c r="D92" s="291" t="n">
        <v>211130</v>
      </c>
      <c r="E92" s="291" t="n">
        <v>392084</v>
      </c>
      <c r="F92" s="291" t="n">
        <v>0</v>
      </c>
      <c r="G92" s="291" t="n">
        <v>113461</v>
      </c>
      <c r="H92" s="291" t="n">
        <v>192177</v>
      </c>
      <c r="I92" s="291" t="n">
        <v>2299974.570263001</v>
      </c>
      <c r="J92" s="291" t="n">
        <v>217688</v>
      </c>
      <c r="K92" s="291" t="n">
        <v>64138</v>
      </c>
      <c r="L92" s="291" t="n">
        <v>116904</v>
      </c>
      <c r="M92" s="291" t="n">
        <v>0</v>
      </c>
      <c r="N92" s="291" t="n">
        <v>218297</v>
      </c>
      <c r="O92" s="291" t="n">
        <v>56883</v>
      </c>
      <c r="P92" s="291" t="n">
        <v>5581</v>
      </c>
      <c r="Q92" s="291" t="n">
        <v>95666</v>
      </c>
      <c r="R92" s="291" t="n"/>
      <c r="S92" s="291" t="n"/>
      <c r="T92" s="291" t="n"/>
      <c r="U92" s="291" t="n"/>
      <c r="V92" s="291" t="n"/>
      <c r="W92" s="291" t="n">
        <v>151553</v>
      </c>
      <c r="X92" s="291" t="n">
        <v>408611</v>
      </c>
      <c r="Y92" s="291" t="n">
        <v>929945</v>
      </c>
      <c r="Z92" s="292" t="n">
        <v>289890</v>
      </c>
      <c r="AA92" s="293" t="n">
        <v>640055</v>
      </c>
      <c r="AB92" s="293" t="n">
        <v>2518271.570263001</v>
      </c>
      <c r="AC92" s="579" t="n"/>
      <c r="AD92" s="307" t="n">
        <v>81450</v>
      </c>
      <c r="AE92" s="291" t="n">
        <v>0</v>
      </c>
      <c r="AF92" s="291" t="n">
        <v>0</v>
      </c>
      <c r="AG92" s="291" t="n">
        <v>0</v>
      </c>
      <c r="AH92" s="291" t="n">
        <v>0</v>
      </c>
      <c r="AI92" s="291" t="n"/>
      <c r="AJ92" s="291" t="n"/>
      <c r="AK92" s="691" t="n">
        <v>0</v>
      </c>
      <c r="AM92" s="691" t="n">
        <v>0</v>
      </c>
      <c r="AO92" s="56">
        <f>SUM(B81:B92)</f>
        <v/>
      </c>
      <c r="AP92" s="56" t="n"/>
      <c r="AQ92" s="56">
        <f>SUM(C92:Y92)</f>
        <v/>
      </c>
      <c r="AR92" s="56">
        <f>AM92+AD92</f>
        <v/>
      </c>
    </row>
    <row r="93">
      <c r="A93" s="290" t="n">
        <v>44409</v>
      </c>
      <c r="B93" s="291" t="n">
        <v>8816088</v>
      </c>
      <c r="C93" s="291" t="n">
        <v>3689590.4115214</v>
      </c>
      <c r="D93" s="291" t="n">
        <v>220506</v>
      </c>
      <c r="E93" s="291" t="n">
        <v>352448</v>
      </c>
      <c r="F93" s="291" t="n">
        <v>0</v>
      </c>
      <c r="G93" s="291" t="n">
        <v>132185</v>
      </c>
      <c r="H93" s="291" t="n">
        <v>180103</v>
      </c>
      <c r="I93" s="291" t="n">
        <v>2132948.5884786</v>
      </c>
      <c r="J93" s="291" t="n">
        <v>194063</v>
      </c>
      <c r="K93" s="291" t="n">
        <v>60143</v>
      </c>
      <c r="L93" s="291" t="n">
        <v>118510</v>
      </c>
      <c r="M93" s="291" t="n">
        <v>0</v>
      </c>
      <c r="N93" s="291" t="n">
        <v>200250</v>
      </c>
      <c r="O93" s="291" t="n">
        <v>46263</v>
      </c>
      <c r="P93" s="291" t="n">
        <v>5230</v>
      </c>
      <c r="Q93" s="291" t="n">
        <v>82541</v>
      </c>
      <c r="R93" s="291" t="n"/>
      <c r="S93" s="291" t="n"/>
      <c r="T93" s="291" t="n"/>
      <c r="U93" s="291" t="n"/>
      <c r="V93" s="291" t="n"/>
      <c r="W93" s="291" t="n">
        <v>149677</v>
      </c>
      <c r="X93" s="291" t="n">
        <v>397526</v>
      </c>
      <c r="Y93" s="291" t="n">
        <v>854104</v>
      </c>
      <c r="Z93" s="292" t="n">
        <v>293783</v>
      </c>
      <c r="AA93" s="293" t="n">
        <v>560321</v>
      </c>
      <c r="AB93" s="293" t="n">
        <v>2333198.5884786</v>
      </c>
      <c r="AC93" s="579" t="n"/>
      <c r="AD93" s="307" t="n">
        <v>84180</v>
      </c>
      <c r="AE93" s="291" t="n">
        <v>0</v>
      </c>
      <c r="AF93" s="291" t="n">
        <v>0</v>
      </c>
      <c r="AG93" s="291" t="n">
        <v>0</v>
      </c>
      <c r="AH93" s="291" t="n">
        <v>0</v>
      </c>
      <c r="AI93" s="291" t="n"/>
      <c r="AJ93" s="291" t="n"/>
      <c r="AK93" s="691" t="n">
        <v>0</v>
      </c>
      <c r="AM93" s="691" t="n">
        <v>0</v>
      </c>
      <c r="AO93" s="56">
        <f>SUM(B82:B93)</f>
        <v/>
      </c>
      <c r="AP93" s="56" t="n"/>
      <c r="AQ93" s="56">
        <f>SUM(C93:Y93)</f>
        <v/>
      </c>
      <c r="AR93" s="56">
        <f>AM93+AD93</f>
        <v/>
      </c>
    </row>
    <row r="94">
      <c r="A94" s="290" t="n">
        <v>44440</v>
      </c>
      <c r="B94" s="291" t="n">
        <v>9747181</v>
      </c>
      <c r="C94" s="291" t="n">
        <v>3783050.722083</v>
      </c>
      <c r="D94" s="291" t="n">
        <v>219215</v>
      </c>
      <c r="E94" s="291" t="n">
        <v>429406</v>
      </c>
      <c r="F94" s="291" t="n">
        <v>0</v>
      </c>
      <c r="G94" s="291" t="n">
        <v>94590</v>
      </c>
      <c r="H94" s="291" t="n">
        <v>181287</v>
      </c>
      <c r="I94" s="291" t="n">
        <v>2283872.277917</v>
      </c>
      <c r="J94" s="291" t="n">
        <v>257162</v>
      </c>
      <c r="K94" s="291" t="n">
        <v>66269</v>
      </c>
      <c r="L94" s="291" t="n">
        <v>118507</v>
      </c>
      <c r="M94" s="291" t="n">
        <v>0</v>
      </c>
      <c r="N94" s="291" t="n">
        <v>225009</v>
      </c>
      <c r="O94" s="291" t="n">
        <v>54395</v>
      </c>
      <c r="P94" s="291" t="n">
        <v>6632</v>
      </c>
      <c r="Q94" s="291" t="n">
        <v>100255</v>
      </c>
      <c r="R94" s="291" t="n"/>
      <c r="S94" s="291" t="n"/>
      <c r="T94" s="291" t="n"/>
      <c r="U94" s="291" t="n"/>
      <c r="V94" s="291" t="n"/>
      <c r="W94" s="291" t="n">
        <v>203939</v>
      </c>
      <c r="X94" s="291" t="n">
        <v>743567</v>
      </c>
      <c r="Y94" s="291" t="n">
        <v>980025</v>
      </c>
      <c r="Z94" s="292" t="n">
        <v>338691</v>
      </c>
      <c r="AA94" s="293" t="n">
        <v>641334</v>
      </c>
      <c r="AB94" s="293" t="n">
        <v>2508881.277917</v>
      </c>
      <c r="AC94" s="579" t="n"/>
      <c r="AD94" s="307" t="n">
        <v>110035</v>
      </c>
      <c r="AE94" s="291" t="n">
        <v>0</v>
      </c>
      <c r="AF94" s="291" t="n">
        <v>0</v>
      </c>
      <c r="AG94" s="291" t="n">
        <v>0</v>
      </c>
      <c r="AH94" s="291" t="n">
        <v>0</v>
      </c>
      <c r="AI94" s="291" t="n"/>
      <c r="AJ94" s="291" t="n"/>
      <c r="AK94" s="691" t="n">
        <v>0</v>
      </c>
      <c r="AM94" s="691" t="n">
        <v>0</v>
      </c>
      <c r="AO94" s="56">
        <f>SUM(B83:B94)</f>
        <v/>
      </c>
      <c r="AP94" s="56" t="n"/>
      <c r="AQ94" s="56">
        <f>SUM(C94:Y94)</f>
        <v/>
      </c>
      <c r="AR94" s="56">
        <f>AM94+AD94</f>
        <v/>
      </c>
    </row>
    <row r="95">
      <c r="A95" s="290" t="n">
        <v>44470</v>
      </c>
      <c r="B95" s="291" t="n">
        <v>7852903</v>
      </c>
      <c r="C95" s="291" t="n">
        <v>3164305.734702799</v>
      </c>
      <c r="D95" s="291" t="n">
        <v>199774</v>
      </c>
      <c r="E95" s="291" t="n">
        <v>374048</v>
      </c>
      <c r="F95" s="291" t="n">
        <v>0</v>
      </c>
      <c r="G95" s="291" t="n">
        <v>112306</v>
      </c>
      <c r="H95" s="291" t="n">
        <v>239951.182</v>
      </c>
      <c r="I95" s="291" t="n">
        <v>1567023.083297201</v>
      </c>
      <c r="J95" s="291" t="n">
        <v>230083</v>
      </c>
      <c r="K95" s="291" t="n">
        <v>61621</v>
      </c>
      <c r="L95" s="291" t="n">
        <v>100243</v>
      </c>
      <c r="M95" s="291" t="n">
        <v>0</v>
      </c>
      <c r="N95" s="291" t="n">
        <v>172981</v>
      </c>
      <c r="O95" s="291" t="n">
        <v>42197</v>
      </c>
      <c r="P95" s="291" t="n">
        <v>4042</v>
      </c>
      <c r="Q95" s="291" t="n">
        <v>77042</v>
      </c>
      <c r="R95" s="291" t="n"/>
      <c r="S95" s="291" t="n"/>
      <c r="T95" s="291" t="n"/>
      <c r="U95" s="291" t="n"/>
      <c r="V95" s="291" t="n"/>
      <c r="W95" s="291" t="n">
        <v>145097</v>
      </c>
      <c r="X95" s="291" t="n">
        <v>674928</v>
      </c>
      <c r="Y95" s="291" t="n">
        <v>687261</v>
      </c>
      <c r="Z95" s="292" t="n">
        <v>302816</v>
      </c>
      <c r="AA95" s="293" t="n">
        <v>384445</v>
      </c>
      <c r="AB95" s="293" t="n">
        <v>1740004.083297201</v>
      </c>
      <c r="AC95" s="579" t="n"/>
      <c r="AD95" s="307" t="n">
        <v>142617</v>
      </c>
      <c r="AE95" s="291" t="n">
        <v>0</v>
      </c>
      <c r="AF95" s="291" t="n">
        <v>0</v>
      </c>
      <c r="AG95" s="291" t="n">
        <v>0</v>
      </c>
      <c r="AH95" s="291" t="n">
        <v>0</v>
      </c>
      <c r="AI95" s="291" t="n"/>
      <c r="AJ95" s="291" t="n"/>
      <c r="AK95" s="691" t="n">
        <v>0</v>
      </c>
      <c r="AM95" s="691" t="n">
        <v>0</v>
      </c>
      <c r="AO95" s="56">
        <f>SUM(B84:B95)</f>
        <v/>
      </c>
      <c r="AP95" s="56" t="n"/>
      <c r="AQ95" s="56">
        <f>SUM(C95:Y95)</f>
        <v/>
      </c>
      <c r="AR95" s="56">
        <f>AM95+AD95</f>
        <v/>
      </c>
    </row>
    <row r="96">
      <c r="A96" s="290" t="n">
        <v>44501</v>
      </c>
      <c r="B96" s="291" t="n">
        <v>7467307</v>
      </c>
      <c r="C96" s="291" t="n">
        <v>3695906.9462484</v>
      </c>
      <c r="D96" s="291" t="n">
        <v>203833</v>
      </c>
      <c r="E96" s="291" t="n">
        <v>432887</v>
      </c>
      <c r="F96" s="291" t="n">
        <v>69324</v>
      </c>
      <c r="G96" s="291" t="n">
        <v>109183</v>
      </c>
      <c r="H96" s="291" t="n">
        <v>247373.444</v>
      </c>
      <c r="I96" s="291" t="n">
        <v>935874.6097515997</v>
      </c>
      <c r="J96" s="291" t="n">
        <v>272363</v>
      </c>
      <c r="K96" s="291" t="n">
        <v>46745</v>
      </c>
      <c r="L96" s="291" t="n">
        <v>69976</v>
      </c>
      <c r="M96" s="291" t="n">
        <v>0</v>
      </c>
      <c r="N96" s="291" t="n">
        <v>93801</v>
      </c>
      <c r="O96" s="291" t="n">
        <v>30378</v>
      </c>
      <c r="P96" s="291" t="n">
        <v>3462</v>
      </c>
      <c r="Q96" s="291" t="n">
        <v>57774</v>
      </c>
      <c r="R96" s="291" t="n"/>
      <c r="S96" s="291" t="n"/>
      <c r="T96" s="291" t="n"/>
      <c r="U96" s="291" t="n"/>
      <c r="V96" s="291" t="n"/>
      <c r="W96" s="291" t="n">
        <v>122308</v>
      </c>
      <c r="X96" s="291" t="n">
        <v>495186</v>
      </c>
      <c r="Y96" s="291" t="n">
        <v>580932</v>
      </c>
      <c r="Z96" s="292" t="n">
        <v>338679</v>
      </c>
      <c r="AA96" s="293" t="n">
        <v>242253</v>
      </c>
      <c r="AB96" s="293" t="n">
        <v>1029675.6097516</v>
      </c>
      <c r="AC96" s="579" t="n"/>
      <c r="AD96" s="307" t="n">
        <v>83032</v>
      </c>
      <c r="AE96" s="291" t="n">
        <v>0</v>
      </c>
      <c r="AF96" s="291" t="n">
        <v>0</v>
      </c>
      <c r="AG96" s="291" t="n">
        <v>0</v>
      </c>
      <c r="AH96" s="291" t="n">
        <v>0</v>
      </c>
      <c r="AI96" s="291" t="n"/>
      <c r="AJ96" s="291" t="n"/>
      <c r="AK96" s="691" t="n">
        <v>0</v>
      </c>
      <c r="AM96" s="691" t="n">
        <v>0</v>
      </c>
      <c r="AO96" s="56">
        <f>SUM(B85:B96)</f>
        <v/>
      </c>
      <c r="AP96" s="56" t="n"/>
      <c r="AQ96" s="56">
        <f>SUM(C96:Y96)</f>
        <v/>
      </c>
      <c r="AR96" s="56">
        <f>AM96+AD96</f>
        <v/>
      </c>
    </row>
    <row r="97">
      <c r="A97" s="290" t="n">
        <v>44531</v>
      </c>
      <c r="B97" s="291" t="n">
        <v>6220963</v>
      </c>
      <c r="C97" s="291" t="n">
        <v>3182178.3547922</v>
      </c>
      <c r="D97" s="291" t="n">
        <v>188870</v>
      </c>
      <c r="E97" s="291" t="n">
        <v>372696</v>
      </c>
      <c r="F97" s="291" t="n">
        <v>51400</v>
      </c>
      <c r="G97" s="291" t="n">
        <v>104736</v>
      </c>
      <c r="H97" s="291" t="n">
        <v>229645.405</v>
      </c>
      <c r="I97" s="291" t="n">
        <v>572406.2402077997</v>
      </c>
      <c r="J97" s="291" t="n">
        <v>233281</v>
      </c>
      <c r="K97" s="291" t="n">
        <v>41794</v>
      </c>
      <c r="L97" s="291" t="n">
        <v>67881</v>
      </c>
      <c r="M97" s="291" t="n">
        <v>0</v>
      </c>
      <c r="N97" s="291" t="n">
        <v>63246</v>
      </c>
      <c r="O97" s="291" t="n">
        <v>28037</v>
      </c>
      <c r="P97" s="291" t="n">
        <v>2677</v>
      </c>
      <c r="Q97" s="291" t="n">
        <v>46306</v>
      </c>
      <c r="R97" s="291" t="n"/>
      <c r="S97" s="291" t="n"/>
      <c r="T97" s="291" t="n"/>
      <c r="U97" s="291" t="n"/>
      <c r="V97" s="291" t="n"/>
      <c r="W97" s="291" t="n">
        <v>104824</v>
      </c>
      <c r="X97" s="291" t="n">
        <v>405363</v>
      </c>
      <c r="Y97" s="291" t="n">
        <v>525622</v>
      </c>
      <c r="Z97" s="292" t="n">
        <v>304173</v>
      </c>
      <c r="AA97" s="293" t="n">
        <v>221449</v>
      </c>
      <c r="AB97" s="293" t="n">
        <v>635652.2402077997</v>
      </c>
      <c r="AC97" s="579" t="n"/>
      <c r="AD97" s="307" t="n">
        <v>77426</v>
      </c>
      <c r="AE97" s="291" t="n">
        <v>0</v>
      </c>
      <c r="AF97" s="291" t="n">
        <v>0</v>
      </c>
      <c r="AG97" s="291" t="n">
        <v>0</v>
      </c>
      <c r="AH97" s="291" t="n">
        <v>0</v>
      </c>
      <c r="AI97" s="291" t="n"/>
      <c r="AJ97" s="291" t="n"/>
      <c r="AK97" s="691" t="n">
        <v>0</v>
      </c>
      <c r="AM97" s="691" t="n">
        <v>0</v>
      </c>
      <c r="AO97" s="56">
        <f>SUM(B86:B97)</f>
        <v/>
      </c>
      <c r="AP97" s="56" t="n"/>
      <c r="AQ97" s="56">
        <f>SUM(C97:Y97)</f>
        <v/>
      </c>
      <c r="AR97" s="56">
        <f>AM97+AD97</f>
        <v/>
      </c>
    </row>
    <row r="98">
      <c r="A98" s="274" t="n">
        <v>44562</v>
      </c>
      <c r="B98" s="276" t="n">
        <v>5719630</v>
      </c>
      <c r="C98" s="276" t="n">
        <v>2842487.072</v>
      </c>
      <c r="D98" s="276" t="n">
        <v>185403</v>
      </c>
      <c r="E98" s="276" t="n">
        <v>344018</v>
      </c>
      <c r="F98" s="276" t="n">
        <v>42810</v>
      </c>
      <c r="G98" s="276" t="n">
        <v>92900</v>
      </c>
      <c r="H98" s="276" t="n">
        <v>217019.988</v>
      </c>
      <c r="I98" s="276" t="n">
        <v>502701.94</v>
      </c>
      <c r="J98" s="276" t="n">
        <v>215329</v>
      </c>
      <c r="K98" s="276" t="n">
        <v>38644</v>
      </c>
      <c r="L98" s="276" t="n">
        <v>60492</v>
      </c>
      <c r="M98" s="276" t="n">
        <v>0</v>
      </c>
      <c r="N98" s="276" t="n">
        <v>47723</v>
      </c>
      <c r="O98" s="276" t="n">
        <v>40907</v>
      </c>
      <c r="P98" s="276" t="n">
        <v>2661</v>
      </c>
      <c r="Q98" s="276" t="n">
        <v>23332</v>
      </c>
      <c r="R98" s="276" t="n"/>
      <c r="S98" s="276" t="n"/>
      <c r="T98" s="276" t="n"/>
      <c r="U98" s="276" t="n"/>
      <c r="V98" s="276" t="n"/>
      <c r="W98" s="276" t="n">
        <v>111988</v>
      </c>
      <c r="X98" s="276" t="n">
        <v>439968</v>
      </c>
      <c r="Y98" s="276" t="n">
        <v>511246</v>
      </c>
      <c r="Z98" s="277" t="n">
        <v>258838</v>
      </c>
      <c r="AA98" s="294" t="n">
        <v>252408</v>
      </c>
      <c r="AB98" s="294" t="n">
        <v>550424.9399999999</v>
      </c>
      <c r="AC98" s="579" t="n"/>
      <c r="AD98" s="580" t="n"/>
      <c r="AE98" s="276" t="n">
        <v>0</v>
      </c>
      <c r="AF98" s="276" t="n">
        <v>0</v>
      </c>
      <c r="AG98" s="276" t="n">
        <v>0</v>
      </c>
      <c r="AH98" s="276" t="n">
        <v>0</v>
      </c>
      <c r="AI98" s="276" t="n"/>
      <c r="AJ98" s="276" t="n"/>
      <c r="AK98" s="687" t="n">
        <v>0</v>
      </c>
      <c r="AM98" s="687" t="n">
        <v>0</v>
      </c>
      <c r="AO98" s="56">
        <f>SUM(B87:B98)</f>
        <v/>
      </c>
      <c r="AP98" s="56" t="n"/>
      <c r="AQ98" s="56">
        <f>SUM(C98:Y98)</f>
        <v/>
      </c>
      <c r="AR98" s="56">
        <f>AM98+AD98</f>
        <v/>
      </c>
    </row>
    <row r="99">
      <c r="A99" s="274" t="n">
        <v>44593</v>
      </c>
      <c r="B99" s="276" t="n">
        <v>5973372</v>
      </c>
      <c r="C99" s="276" t="n">
        <v>3167490.763</v>
      </c>
      <c r="D99" s="276" t="n">
        <v>193713</v>
      </c>
      <c r="E99" s="276" t="n">
        <v>357227</v>
      </c>
      <c r="F99" s="276" t="n">
        <v>46410</v>
      </c>
      <c r="G99" s="276" t="n">
        <v>105333</v>
      </c>
      <c r="H99" s="276" t="n">
        <v>231947.367</v>
      </c>
      <c r="I99" s="276" t="n">
        <v>353482.87</v>
      </c>
      <c r="J99" s="276" t="n">
        <v>219454</v>
      </c>
      <c r="K99" s="276" t="n">
        <v>37755</v>
      </c>
      <c r="L99" s="276" t="n">
        <v>52974</v>
      </c>
      <c r="M99" s="276" t="n">
        <v>0</v>
      </c>
      <c r="N99" s="276" t="n">
        <v>40630</v>
      </c>
      <c r="O99" s="276" t="n">
        <v>25565</v>
      </c>
      <c r="P99" s="276" t="n">
        <v>1838.999999999999</v>
      </c>
      <c r="Q99" s="276" t="n">
        <v>11847</v>
      </c>
      <c r="R99" s="276" t="n"/>
      <c r="S99" s="276" t="n"/>
      <c r="T99" s="276" t="n"/>
      <c r="U99" s="276" t="n"/>
      <c r="V99" s="276" t="n"/>
      <c r="W99" s="276" t="n">
        <v>102478</v>
      </c>
      <c r="X99" s="276" t="n">
        <v>374586</v>
      </c>
      <c r="Y99" s="276" t="n">
        <v>650640</v>
      </c>
      <c r="Z99" s="277" t="n">
        <v>261658</v>
      </c>
      <c r="AA99" s="294" t="n">
        <v>388982</v>
      </c>
      <c r="AB99" s="294" t="n">
        <v>394112.87</v>
      </c>
      <c r="AC99" s="579" t="n"/>
      <c r="AD99" s="580" t="n"/>
      <c r="AE99" s="276" t="n">
        <v>0</v>
      </c>
      <c r="AF99" s="276" t="n">
        <v>0</v>
      </c>
      <c r="AG99" s="276" t="n">
        <v>0</v>
      </c>
      <c r="AH99" s="276" t="n">
        <v>0</v>
      </c>
      <c r="AI99" s="276" t="n"/>
      <c r="AJ99" s="276" t="n"/>
      <c r="AK99" s="687" t="n">
        <v>0</v>
      </c>
      <c r="AM99" s="687" t="n">
        <v>0</v>
      </c>
      <c r="AO99" s="56">
        <f>SUM(B88:B99)</f>
        <v/>
      </c>
      <c r="AP99" s="56" t="n"/>
      <c r="AQ99" s="56">
        <f>SUM(C99:Y99)</f>
        <v/>
      </c>
      <c r="AR99" s="56">
        <f>AM99+AD99</f>
        <v/>
      </c>
    </row>
    <row r="100">
      <c r="A100" s="274" t="n">
        <v>44621</v>
      </c>
      <c r="B100" s="276" t="n">
        <v>6036375</v>
      </c>
      <c r="C100" s="276" t="n">
        <v>2996940.232</v>
      </c>
      <c r="D100" s="276" t="n">
        <v>176300</v>
      </c>
      <c r="E100" s="276" t="n">
        <v>355006</v>
      </c>
      <c r="F100" s="276" t="n">
        <v>47140</v>
      </c>
      <c r="G100" s="276" t="n">
        <v>109266</v>
      </c>
      <c r="H100" s="276" t="n">
        <v>215372.038</v>
      </c>
      <c r="I100" s="276" t="n">
        <v>778373.73</v>
      </c>
      <c r="J100" s="276" t="n">
        <v>211474</v>
      </c>
      <c r="K100" s="276" t="n">
        <v>40293</v>
      </c>
      <c r="L100" s="276" t="n">
        <v>58322</v>
      </c>
      <c r="M100" s="276" t="n">
        <v>0</v>
      </c>
      <c r="N100" s="276" t="n">
        <v>73854</v>
      </c>
      <c r="O100" s="276" t="n">
        <v>24678</v>
      </c>
      <c r="P100" s="276" t="n">
        <v>3000</v>
      </c>
      <c r="Q100" s="276" t="n">
        <v>11987</v>
      </c>
      <c r="R100" s="276" t="n"/>
      <c r="S100" s="276" t="n"/>
      <c r="T100" s="276" t="n"/>
      <c r="U100" s="276" t="n"/>
      <c r="V100" s="276" t="n"/>
      <c r="W100" s="276" t="n">
        <v>111442</v>
      </c>
      <c r="X100" s="276" t="n">
        <v>352459</v>
      </c>
      <c r="Y100" s="276" t="n">
        <v>470468</v>
      </c>
      <c r="Z100" s="277" t="n">
        <v>242578</v>
      </c>
      <c r="AA100" s="294" t="n">
        <v>227890</v>
      </c>
      <c r="AB100" s="294" t="n">
        <v>852227.73</v>
      </c>
      <c r="AC100" s="579" t="n"/>
      <c r="AD100" s="308" t="n">
        <v>63508</v>
      </c>
      <c r="AE100" s="276" t="n">
        <v>0</v>
      </c>
      <c r="AF100" s="276" t="n">
        <v>0</v>
      </c>
      <c r="AG100" s="276" t="n">
        <v>0</v>
      </c>
      <c r="AH100" s="276" t="n">
        <v>0</v>
      </c>
      <c r="AI100" s="276" t="n"/>
      <c r="AJ100" s="276" t="n"/>
      <c r="AK100" s="687" t="n">
        <v>0</v>
      </c>
      <c r="AM100" s="687" t="n">
        <v>0</v>
      </c>
      <c r="AO100" s="56">
        <f>SUM(B89:B100)</f>
        <v/>
      </c>
      <c r="AP100" s="56" t="n"/>
      <c r="AQ100" s="56">
        <f>SUM(C100:Y100)</f>
        <v/>
      </c>
      <c r="AR100" s="56">
        <f>AM100+AD100</f>
        <v/>
      </c>
    </row>
    <row r="101">
      <c r="A101" s="274" t="n">
        <v>44652</v>
      </c>
      <c r="B101" s="276" t="n">
        <v>6614469</v>
      </c>
      <c r="C101" s="276" t="n">
        <v>3105847.942</v>
      </c>
      <c r="D101" s="276" t="n">
        <v>173413</v>
      </c>
      <c r="E101" s="276" t="n">
        <v>338789</v>
      </c>
      <c r="F101" s="276" t="n">
        <v>49364</v>
      </c>
      <c r="G101" s="276" t="n">
        <v>123200</v>
      </c>
      <c r="H101" s="276" t="n">
        <v>267931.478</v>
      </c>
      <c r="I101" s="276" t="n">
        <v>1054668.58</v>
      </c>
      <c r="J101" s="276" t="n">
        <v>202690</v>
      </c>
      <c r="K101" s="276" t="n">
        <v>50830</v>
      </c>
      <c r="L101" s="276" t="n">
        <v>57767</v>
      </c>
      <c r="M101" s="276" t="n">
        <v>0</v>
      </c>
      <c r="N101" s="276" t="n">
        <v>115979</v>
      </c>
      <c r="O101" s="276" t="n">
        <v>22670</v>
      </c>
      <c r="P101" s="276" t="n">
        <v>3000</v>
      </c>
      <c r="Q101" s="276" t="n">
        <v>24522</v>
      </c>
      <c r="R101" s="276" t="n"/>
      <c r="S101" s="276" t="n"/>
      <c r="T101" s="276" t="n"/>
      <c r="U101" s="276" t="n"/>
      <c r="V101" s="276" t="n"/>
      <c r="W101" s="276" t="n">
        <v>110156</v>
      </c>
      <c r="X101" s="276" t="n">
        <v>393679</v>
      </c>
      <c r="Y101" s="276" t="n">
        <v>519962</v>
      </c>
      <c r="Z101" s="277" t="n">
        <v>257203</v>
      </c>
      <c r="AA101" s="294" t="n">
        <v>262759</v>
      </c>
      <c r="AB101" s="294" t="n">
        <v>1170647.58</v>
      </c>
      <c r="AC101" s="579" t="n"/>
      <c r="AD101" s="308" t="n">
        <v>61090</v>
      </c>
      <c r="AE101" s="276" t="n">
        <v>0</v>
      </c>
      <c r="AF101" s="276" t="n">
        <v>0</v>
      </c>
      <c r="AG101" s="276" t="n">
        <v>0</v>
      </c>
      <c r="AH101" s="276" t="n">
        <v>0</v>
      </c>
      <c r="AI101" s="276" t="n"/>
      <c r="AJ101" s="276" t="n"/>
      <c r="AK101" s="687" t="n">
        <v>0</v>
      </c>
      <c r="AM101" s="687" t="n">
        <v>0</v>
      </c>
      <c r="AO101" s="56">
        <f>SUM(B90:B101)</f>
        <v/>
      </c>
      <c r="AP101" s="56" t="n"/>
      <c r="AQ101" s="56">
        <f>SUM(C101:Y101)</f>
        <v/>
      </c>
      <c r="AR101" s="56">
        <f>AM101+AD101</f>
        <v/>
      </c>
    </row>
    <row r="102" ht="17" customHeight="1" thickBot="1">
      <c r="A102" s="274" t="n">
        <v>44682</v>
      </c>
      <c r="B102" s="276" t="n">
        <v>7536144</v>
      </c>
      <c r="C102" s="276" t="n">
        <v>3332646.63</v>
      </c>
      <c r="D102" s="276" t="n">
        <v>186465</v>
      </c>
      <c r="E102" s="276" t="n">
        <v>381972</v>
      </c>
      <c r="F102" s="276" t="n">
        <v>66226</v>
      </c>
      <c r="G102" s="276" t="n">
        <v>134268</v>
      </c>
      <c r="H102" s="276" t="n">
        <v>257005.27</v>
      </c>
      <c r="I102" s="276" t="n">
        <v>1500945.1</v>
      </c>
      <c r="J102" s="276" t="n">
        <v>218112</v>
      </c>
      <c r="K102" s="276" t="n">
        <v>47282</v>
      </c>
      <c r="L102" s="276" t="n">
        <v>60742</v>
      </c>
      <c r="M102" s="276" t="n">
        <v>0</v>
      </c>
      <c r="N102" s="276" t="n">
        <v>128870</v>
      </c>
      <c r="O102" s="276" t="n">
        <v>23250</v>
      </c>
      <c r="P102" s="276" t="n">
        <v>9190</v>
      </c>
      <c r="Q102" s="276" t="n">
        <v>64674</v>
      </c>
      <c r="R102" s="276" t="n"/>
      <c r="S102" s="276" t="n"/>
      <c r="T102" s="276" t="n"/>
      <c r="U102" s="276" t="n"/>
      <c r="V102" s="276" t="n"/>
      <c r="W102" s="276" t="n">
        <v>137154</v>
      </c>
      <c r="X102" s="276" t="n">
        <v>386561</v>
      </c>
      <c r="Y102" s="276" t="n">
        <v>600781</v>
      </c>
      <c r="Z102" s="277" t="n">
        <v>291975</v>
      </c>
      <c r="AA102" s="294" t="n">
        <v>308806</v>
      </c>
      <c r="AB102" s="294" t="n">
        <v>1629815.1</v>
      </c>
      <c r="AC102" s="579" t="n"/>
      <c r="AD102" s="308" t="n">
        <v>63499</v>
      </c>
      <c r="AE102" s="276" t="n">
        <v>0</v>
      </c>
      <c r="AF102" s="276" t="n">
        <v>0</v>
      </c>
      <c r="AG102" s="276" t="n">
        <v>0</v>
      </c>
      <c r="AH102" s="276" t="n">
        <v>0</v>
      </c>
      <c r="AI102" s="276" t="n"/>
      <c r="AJ102" s="276" t="n"/>
      <c r="AK102" s="687" t="n">
        <v>0</v>
      </c>
      <c r="AM102" s="687" t="n">
        <v>0</v>
      </c>
      <c r="AO102" s="56">
        <f>SUM(B91:B102)</f>
        <v/>
      </c>
      <c r="AP102" s="56" t="n"/>
      <c r="AQ102" s="56">
        <f>SUM(C102:Y102)</f>
        <v/>
      </c>
      <c r="AR102" s="56">
        <f>AM102+AD102</f>
        <v/>
      </c>
    </row>
    <row r="103" ht="17" customHeight="1" thickBot="1">
      <c r="A103" s="274" t="n">
        <v>44713</v>
      </c>
      <c r="B103" s="276" t="n">
        <v>8743056</v>
      </c>
      <c r="C103" s="276" t="n">
        <v>3343878.439</v>
      </c>
      <c r="D103" s="276" t="n">
        <v>191180</v>
      </c>
      <c r="E103" s="276" t="n">
        <v>373954</v>
      </c>
      <c r="F103" s="276" t="n">
        <v>64920</v>
      </c>
      <c r="G103" s="276" t="n">
        <v>135646</v>
      </c>
      <c r="H103" s="276" t="n">
        <v>226258.951</v>
      </c>
      <c r="I103" s="276" t="n">
        <v>2130901.61</v>
      </c>
      <c r="J103" s="276" t="n">
        <v>216767</v>
      </c>
      <c r="K103" s="276" t="n">
        <v>69729</v>
      </c>
      <c r="L103" s="276" t="n">
        <v>131317</v>
      </c>
      <c r="M103" s="276" t="n">
        <v>0</v>
      </c>
      <c r="N103" s="276" t="n">
        <v>226263</v>
      </c>
      <c r="O103" s="276" t="n">
        <v>47562</v>
      </c>
      <c r="P103" s="276" t="n">
        <v>4513</v>
      </c>
      <c r="Q103" s="276" t="n">
        <v>74042</v>
      </c>
      <c r="R103" s="276" t="n"/>
      <c r="S103" s="276" t="n"/>
      <c r="T103" s="276" t="n"/>
      <c r="U103" s="276" t="n"/>
      <c r="V103" s="276" t="n"/>
      <c r="W103" s="276" t="n">
        <v>200798</v>
      </c>
      <c r="X103" s="276" t="n">
        <v>482838</v>
      </c>
      <c r="Y103" s="276" t="n">
        <v>822488</v>
      </c>
      <c r="Z103" s="277" t="n">
        <v>299799</v>
      </c>
      <c r="AA103" s="294" t="n">
        <v>522689</v>
      </c>
      <c r="AB103" s="294" t="n">
        <v>2357164.61</v>
      </c>
      <c r="AC103" s="579" t="n"/>
      <c r="AD103" s="308" t="n">
        <v>60911</v>
      </c>
      <c r="AE103" s="276" t="n">
        <v>0</v>
      </c>
      <c r="AF103" s="276" t="n">
        <v>0</v>
      </c>
      <c r="AG103" s="276" t="n">
        <v>0</v>
      </c>
      <c r="AH103" s="276" t="n">
        <v>0</v>
      </c>
      <c r="AI103" s="276" t="n"/>
      <c r="AJ103" s="294" t="n"/>
      <c r="AK103" s="687" t="n">
        <v>0</v>
      </c>
      <c r="AM103" s="687" t="n">
        <v>0</v>
      </c>
      <c r="AO103" s="577">
        <f>SUM(B92:B103)</f>
        <v/>
      </c>
      <c r="AP103" s="578">
        <f>AK103+SUM(AD92:AD103)</f>
        <v/>
      </c>
      <c r="AQ103" s="56">
        <f>SUM(C103:Y103)</f>
        <v/>
      </c>
      <c r="AR103" s="56">
        <f>AM103+AD103</f>
        <v/>
      </c>
    </row>
    <row r="104">
      <c r="A104" s="274" t="n">
        <v>44743</v>
      </c>
      <c r="B104" s="276" t="n">
        <v>8658648</v>
      </c>
      <c r="C104" s="276" t="n">
        <v>2985191.169</v>
      </c>
      <c r="D104" s="276" t="n">
        <v>180624</v>
      </c>
      <c r="E104" s="276" t="n">
        <v>335327</v>
      </c>
      <c r="F104" s="276" t="n">
        <v>66990</v>
      </c>
      <c r="G104" s="276" t="n">
        <v>125766</v>
      </c>
      <c r="H104" s="276" t="n">
        <v>239655.831</v>
      </c>
      <c r="I104" s="276" t="n">
        <v>2485643</v>
      </c>
      <c r="J104" s="276" t="n">
        <v>181196</v>
      </c>
      <c r="K104" s="276" t="n">
        <v>67366</v>
      </c>
      <c r="L104" s="276" t="n">
        <v>129521</v>
      </c>
      <c r="M104" s="276" t="n">
        <v>0</v>
      </c>
      <c r="N104" s="276" t="n">
        <v>222744</v>
      </c>
      <c r="O104" s="276" t="n">
        <v>46061</v>
      </c>
      <c r="P104" s="276" t="n">
        <v>6355</v>
      </c>
      <c r="Q104" s="276" t="n">
        <v>70476</v>
      </c>
      <c r="R104" s="276" t="n"/>
      <c r="S104" s="276" t="n"/>
      <c r="T104" s="276" t="n"/>
      <c r="U104" s="276" t="n"/>
      <c r="V104" s="276" t="n"/>
      <c r="W104" s="276" t="n">
        <v>188600</v>
      </c>
      <c r="X104" s="276" t="n">
        <v>460050</v>
      </c>
      <c r="Y104" s="276" t="n">
        <v>867082</v>
      </c>
      <c r="Z104" s="277" t="n">
        <v>274978</v>
      </c>
      <c r="AA104" s="294" t="n">
        <v>592104</v>
      </c>
      <c r="AB104" s="294" t="n">
        <v>2708387</v>
      </c>
      <c r="AC104" s="579" t="n"/>
      <c r="AD104" s="308" t="n">
        <v>64945</v>
      </c>
      <c r="AE104" s="276" t="n">
        <v>0</v>
      </c>
      <c r="AF104" s="276" t="n">
        <v>0</v>
      </c>
      <c r="AG104" s="276" t="n">
        <v>0</v>
      </c>
      <c r="AH104" s="276" t="n">
        <v>0</v>
      </c>
      <c r="AI104" s="276" t="n"/>
      <c r="AJ104" s="276" t="n"/>
      <c r="AK104" s="687" t="n">
        <v>0</v>
      </c>
      <c r="AM104" s="687" t="n">
        <v>0</v>
      </c>
      <c r="AO104" s="56">
        <f>SUM(B93:B104)</f>
        <v/>
      </c>
      <c r="AP104" s="56" t="n"/>
      <c r="AQ104" s="56">
        <f>SUM(C104:Y104)</f>
        <v/>
      </c>
      <c r="AR104" s="56">
        <f>AM104+AD104</f>
        <v/>
      </c>
    </row>
    <row r="105">
      <c r="A105" s="274" t="n">
        <v>44774</v>
      </c>
      <c r="B105" s="276" t="n">
        <v>9488278</v>
      </c>
      <c r="C105" s="276" t="n">
        <v>3657836.06</v>
      </c>
      <c r="D105" s="276" t="n">
        <v>238816</v>
      </c>
      <c r="E105" s="276" t="n">
        <v>389800</v>
      </c>
      <c r="F105" s="276" t="n">
        <v>69480</v>
      </c>
      <c r="G105" s="276" t="n">
        <v>141763</v>
      </c>
      <c r="H105" s="276" t="n">
        <v>279749.7</v>
      </c>
      <c r="I105" s="276" t="n">
        <v>2278104.24</v>
      </c>
      <c r="J105" s="276" t="n">
        <v>202462</v>
      </c>
      <c r="K105" s="276" t="n">
        <v>68389</v>
      </c>
      <c r="L105" s="276" t="n">
        <v>127143</v>
      </c>
      <c r="M105" s="276" t="n">
        <v>0</v>
      </c>
      <c r="N105" s="276" t="n">
        <v>238990</v>
      </c>
      <c r="O105" s="276" t="n">
        <v>58088</v>
      </c>
      <c r="P105" s="276" t="n">
        <v>6748</v>
      </c>
      <c r="Q105" s="276" t="n">
        <v>78711</v>
      </c>
      <c r="R105" s="276" t="n"/>
      <c r="S105" s="276" t="n"/>
      <c r="T105" s="276" t="n"/>
      <c r="U105" s="276" t="n"/>
      <c r="V105" s="276" t="n"/>
      <c r="W105" s="276" t="n">
        <v>200020</v>
      </c>
      <c r="X105" s="276" t="n">
        <v>509485</v>
      </c>
      <c r="Y105" s="276" t="n">
        <v>942693</v>
      </c>
      <c r="Z105" s="277" t="n">
        <v>328477</v>
      </c>
      <c r="AA105" s="294" t="n">
        <v>614216</v>
      </c>
      <c r="AB105" s="294" t="n">
        <v>2517094.24</v>
      </c>
      <c r="AC105" s="579" t="n"/>
      <c r="AD105" s="308" t="n">
        <v>79973</v>
      </c>
      <c r="AE105" s="276" t="n">
        <v>0</v>
      </c>
      <c r="AF105" s="276" t="n">
        <v>0</v>
      </c>
      <c r="AG105" s="276" t="n">
        <v>0</v>
      </c>
      <c r="AH105" s="276" t="n">
        <v>0</v>
      </c>
      <c r="AI105" s="276" t="n"/>
      <c r="AJ105" s="276" t="n"/>
      <c r="AK105" s="687" t="n">
        <v>0</v>
      </c>
      <c r="AM105" s="687" t="n">
        <v>0</v>
      </c>
      <c r="AO105" s="56">
        <f>SUM(B94:B105)</f>
        <v/>
      </c>
      <c r="AP105" s="56" t="n"/>
      <c r="AQ105" s="56">
        <f>SUM(C105:Y105)</f>
        <v/>
      </c>
      <c r="AR105" s="56">
        <f>AM105+AD105</f>
        <v/>
      </c>
    </row>
    <row r="106">
      <c r="A106" s="274" t="n">
        <v>44805</v>
      </c>
      <c r="B106" s="276" t="n">
        <v>9620380</v>
      </c>
      <c r="C106" s="276" t="n">
        <v>3972223.63</v>
      </c>
      <c r="D106" s="276" t="n">
        <v>182258</v>
      </c>
      <c r="E106" s="276" t="n">
        <v>370600</v>
      </c>
      <c r="F106" s="276" t="n">
        <v>70960</v>
      </c>
      <c r="G106" s="276" t="n">
        <v>129726</v>
      </c>
      <c r="H106" s="276" t="n">
        <v>279735.37</v>
      </c>
      <c r="I106" s="276" t="n">
        <v>1988413</v>
      </c>
      <c r="J106" s="276" t="n">
        <v>144397</v>
      </c>
      <c r="K106" s="276" t="n">
        <v>59150</v>
      </c>
      <c r="L106" s="276" t="n">
        <v>126966</v>
      </c>
      <c r="M106" s="276" t="n">
        <v>0</v>
      </c>
      <c r="N106" s="276" t="n">
        <v>209950</v>
      </c>
      <c r="O106" s="276" t="n">
        <v>49648</v>
      </c>
      <c r="P106" s="276" t="n">
        <v>14349</v>
      </c>
      <c r="Q106" s="276" t="n">
        <v>74107</v>
      </c>
      <c r="R106" s="276" t="n"/>
      <c r="S106" s="276" t="n"/>
      <c r="T106" s="276" t="n"/>
      <c r="U106" s="276" t="n"/>
      <c r="V106" s="276" t="n"/>
      <c r="W106" s="276" t="n">
        <v>197340</v>
      </c>
      <c r="X106" s="276" t="n">
        <v>792745</v>
      </c>
      <c r="Y106" s="276" t="n">
        <v>957812</v>
      </c>
      <c r="Z106" s="277" t="n">
        <v>371840</v>
      </c>
      <c r="AA106" s="294" t="n">
        <v>585972</v>
      </c>
      <c r="AB106" s="294" t="n">
        <v>2198363</v>
      </c>
      <c r="AC106" s="579" t="n"/>
      <c r="AD106" s="308" t="n">
        <v>128837</v>
      </c>
      <c r="AE106" s="276" t="n">
        <v>0</v>
      </c>
      <c r="AF106" s="276" t="n">
        <v>0</v>
      </c>
      <c r="AG106" s="276" t="n">
        <v>0</v>
      </c>
      <c r="AH106" s="276" t="n">
        <v>0</v>
      </c>
      <c r="AI106" s="276" t="n"/>
      <c r="AJ106" s="276" t="n"/>
      <c r="AK106" s="687" t="n">
        <v>0</v>
      </c>
      <c r="AM106" s="687" t="n">
        <v>0</v>
      </c>
      <c r="AO106" s="56">
        <f>SUM(B95:B106)</f>
        <v/>
      </c>
      <c r="AP106" s="56" t="n"/>
      <c r="AQ106" s="56">
        <f>SUM(C106:Y106)</f>
        <v/>
      </c>
      <c r="AR106" s="56">
        <f>AM106+AD106</f>
        <v/>
      </c>
    </row>
    <row r="107">
      <c r="A107" s="274" t="n">
        <v>44835</v>
      </c>
      <c r="B107" s="276" t="n">
        <v>7608376</v>
      </c>
      <c r="C107" s="276" t="n">
        <v>3026537.964947</v>
      </c>
      <c r="D107" s="276" t="n">
        <v>201410</v>
      </c>
      <c r="E107" s="276" t="n">
        <v>352020</v>
      </c>
      <c r="F107" s="276" t="n">
        <v>62050</v>
      </c>
      <c r="G107" s="276" t="n">
        <v>145774</v>
      </c>
      <c r="H107" s="276" t="n">
        <v>275237.4744140001</v>
      </c>
      <c r="I107" s="276" t="n">
        <v>1469216.260639</v>
      </c>
      <c r="J107" s="276" t="n">
        <v>304172</v>
      </c>
      <c r="K107" s="276" t="n">
        <v>47679</v>
      </c>
      <c r="L107" s="276" t="n">
        <v>93814</v>
      </c>
      <c r="M107" s="276" t="n">
        <v>0</v>
      </c>
      <c r="N107" s="276" t="n">
        <v>143116</v>
      </c>
      <c r="O107" s="276" t="n">
        <v>29278</v>
      </c>
      <c r="P107" s="276" t="n">
        <v>7337.300000000003</v>
      </c>
      <c r="Q107" s="276" t="n">
        <v>64072</v>
      </c>
      <c r="R107" s="276" t="n"/>
      <c r="S107" s="276" t="n"/>
      <c r="T107" s="276" t="n"/>
      <c r="U107" s="276" t="n"/>
      <c r="V107" s="276" t="n"/>
      <c r="W107" s="276" t="n">
        <v>133610</v>
      </c>
      <c r="X107" s="276" t="n">
        <v>595968</v>
      </c>
      <c r="Y107" s="276" t="n">
        <v>657084</v>
      </c>
      <c r="Z107" s="277" t="n">
        <v>337505</v>
      </c>
      <c r="AA107" s="294" t="n">
        <v>319579</v>
      </c>
      <c r="AB107" s="294" t="n">
        <v>1612332.260639</v>
      </c>
      <c r="AC107" s="579" t="n"/>
      <c r="AD107" s="308" t="n">
        <v>135269</v>
      </c>
      <c r="AE107" s="276" t="n">
        <v>0</v>
      </c>
      <c r="AF107" s="276" t="n">
        <v>0</v>
      </c>
      <c r="AG107" s="276" t="n">
        <v>0</v>
      </c>
      <c r="AH107" s="276" t="n">
        <v>0</v>
      </c>
      <c r="AI107" s="276" t="n"/>
      <c r="AJ107" s="276" t="n"/>
      <c r="AK107" s="687" t="n">
        <v>0</v>
      </c>
      <c r="AM107" s="687" t="n">
        <v>0</v>
      </c>
      <c r="AO107" s="56">
        <f>SUM(B96:B107)</f>
        <v/>
      </c>
      <c r="AP107" s="56" t="n"/>
      <c r="AQ107" s="56">
        <f>SUM(C107:Y107)</f>
        <v/>
      </c>
      <c r="AR107" s="56">
        <f>AM107+AD107</f>
        <v/>
      </c>
    </row>
    <row r="108">
      <c r="A108" s="274" t="n">
        <v>44866</v>
      </c>
      <c r="B108" s="276" t="n">
        <v>8270405</v>
      </c>
      <c r="C108" s="276" t="n">
        <v>3955547.4860226</v>
      </c>
      <c r="D108" s="276" t="n">
        <v>261890</v>
      </c>
      <c r="E108" s="276" t="n">
        <v>399870</v>
      </c>
      <c r="F108" s="276" t="n">
        <v>73590</v>
      </c>
      <c r="G108" s="276" t="n">
        <v>160396</v>
      </c>
      <c r="H108" s="276" t="n">
        <v>274731.021586</v>
      </c>
      <c r="I108" s="276" t="n">
        <v>1233452.4923914</v>
      </c>
      <c r="J108" s="276" t="n">
        <v>258047</v>
      </c>
      <c r="K108" s="276" t="n">
        <v>56060</v>
      </c>
      <c r="L108" s="276" t="n">
        <v>72060</v>
      </c>
      <c r="M108" s="276" t="n">
        <v>0</v>
      </c>
      <c r="N108" s="276" t="n">
        <v>130337</v>
      </c>
      <c r="O108" s="276" t="n">
        <v>42146</v>
      </c>
      <c r="P108" s="276" t="n">
        <v>6492</v>
      </c>
      <c r="Q108" s="276" t="n">
        <v>61394</v>
      </c>
      <c r="R108" s="276" t="n"/>
      <c r="S108" s="276" t="n"/>
      <c r="T108" s="276" t="n"/>
      <c r="U108" s="276" t="n"/>
      <c r="V108" s="276" t="n"/>
      <c r="W108" s="276" t="n">
        <v>119820</v>
      </c>
      <c r="X108" s="276" t="n">
        <v>509994</v>
      </c>
      <c r="Y108" s="276" t="n">
        <v>654578</v>
      </c>
      <c r="Z108" s="277" t="n">
        <v>378554</v>
      </c>
      <c r="AA108" s="294" t="n">
        <v>276024</v>
      </c>
      <c r="AB108" s="294" t="n">
        <v>1363789.4923914</v>
      </c>
      <c r="AC108" s="579" t="n"/>
      <c r="AD108" s="308" t="n">
        <v>98952</v>
      </c>
      <c r="AE108" s="276" t="n">
        <v>0</v>
      </c>
      <c r="AF108" s="276" t="n">
        <v>0</v>
      </c>
      <c r="AG108" s="276" t="n">
        <v>0</v>
      </c>
      <c r="AH108" s="276" t="n">
        <v>0</v>
      </c>
      <c r="AI108" s="276" t="n"/>
      <c r="AJ108" s="276" t="n"/>
      <c r="AK108" s="687" t="n">
        <v>0</v>
      </c>
      <c r="AM108" s="687" t="n">
        <v>0</v>
      </c>
      <c r="AO108" s="56">
        <f>SUM(B97:B108)</f>
        <v/>
      </c>
      <c r="AP108" s="56" t="n"/>
      <c r="AQ108" s="56">
        <f>SUM(C108:Y108)</f>
        <v/>
      </c>
      <c r="AR108" s="56">
        <f>AM108+AD108</f>
        <v/>
      </c>
    </row>
    <row r="109">
      <c r="A109" s="274" t="n">
        <v>44896</v>
      </c>
      <c r="B109" s="276" t="n">
        <v>6285639</v>
      </c>
      <c r="C109" s="276" t="n">
        <v>3000351.525332287</v>
      </c>
      <c r="D109" s="276" t="n">
        <v>189301</v>
      </c>
      <c r="E109" s="276" t="n">
        <v>364897</v>
      </c>
      <c r="F109" s="276" t="n">
        <v>66390</v>
      </c>
      <c r="G109" s="276" t="n">
        <v>207432</v>
      </c>
      <c r="H109" s="276" t="n">
        <v>284045.8819453125</v>
      </c>
      <c r="I109" s="276" t="n">
        <v>556257.5927224</v>
      </c>
      <c r="J109" s="276" t="n">
        <v>229681</v>
      </c>
      <c r="K109" s="276" t="n">
        <v>44577</v>
      </c>
      <c r="L109" s="276" t="n">
        <v>91252</v>
      </c>
      <c r="M109" s="276" t="n">
        <v>0</v>
      </c>
      <c r="N109" s="276" t="n">
        <v>47314</v>
      </c>
      <c r="O109" s="276" t="n">
        <v>30935</v>
      </c>
      <c r="P109" s="276" t="n">
        <v>3918</v>
      </c>
      <c r="Q109" s="276" t="n">
        <v>49088</v>
      </c>
      <c r="R109" s="276" t="n"/>
      <c r="S109" s="276" t="n"/>
      <c r="T109" s="276" t="n"/>
      <c r="U109" s="276" t="n"/>
      <c r="V109" s="276" t="n"/>
      <c r="W109" s="276" t="n">
        <v>105310</v>
      </c>
      <c r="X109" s="276" t="n">
        <v>408265</v>
      </c>
      <c r="Y109" s="276" t="n">
        <v>606624</v>
      </c>
      <c r="Z109" s="277" t="n">
        <v>330635</v>
      </c>
      <c r="AA109" s="294" t="n">
        <v>275989</v>
      </c>
      <c r="AB109" s="294" t="n">
        <v>603571.5927224</v>
      </c>
      <c r="AC109" s="579" t="n"/>
      <c r="AD109" s="308" t="n">
        <v>79105</v>
      </c>
      <c r="AE109" s="276" t="n">
        <v>0</v>
      </c>
      <c r="AF109" s="276" t="n">
        <v>0</v>
      </c>
      <c r="AG109" s="276" t="n">
        <v>0</v>
      </c>
      <c r="AH109" s="276" t="n">
        <v>0</v>
      </c>
      <c r="AI109" s="276" t="n"/>
      <c r="AJ109" s="276" t="n"/>
      <c r="AK109" s="687" t="n">
        <v>0</v>
      </c>
      <c r="AM109" s="687" t="n">
        <v>0</v>
      </c>
      <c r="AO109" s="56">
        <f>SUM(B98:B109)</f>
        <v/>
      </c>
      <c r="AP109" s="56" t="n"/>
      <c r="AQ109" s="56">
        <f>SUM(C109:Y109)</f>
        <v/>
      </c>
      <c r="AR109" s="56">
        <f>AM109+AD109</f>
        <v/>
      </c>
    </row>
    <row r="110">
      <c r="A110" s="295" t="n">
        <v>44927</v>
      </c>
      <c r="B110" s="296" t="n">
        <v>6116888</v>
      </c>
      <c r="C110" s="296" t="n">
        <v>2907283</v>
      </c>
      <c r="D110" s="296" t="n">
        <v>203969</v>
      </c>
      <c r="E110" s="296" t="n">
        <v>366341</v>
      </c>
      <c r="F110" s="296" t="n">
        <v>64380</v>
      </c>
      <c r="G110" s="296" t="n">
        <v>206177</v>
      </c>
      <c r="H110" s="296" t="n">
        <v>274256</v>
      </c>
      <c r="I110" s="296" t="n">
        <v>556060</v>
      </c>
      <c r="J110" s="296" t="n">
        <v>217300</v>
      </c>
      <c r="K110" s="296" t="n">
        <v>39987</v>
      </c>
      <c r="L110" s="296" t="n">
        <v>69190</v>
      </c>
      <c r="M110" s="296" t="n">
        <v>0</v>
      </c>
      <c r="N110" s="296" t="n">
        <v>45634</v>
      </c>
      <c r="O110" s="296" t="n">
        <v>21361</v>
      </c>
      <c r="P110" s="296" t="n">
        <v>3960</v>
      </c>
      <c r="Q110" s="296" t="n">
        <v>46743</v>
      </c>
      <c r="R110" s="296" t="n"/>
      <c r="S110" s="296" t="n"/>
      <c r="T110" s="296" t="n">
        <v>0</v>
      </c>
      <c r="U110" s="296" t="n">
        <v>0</v>
      </c>
      <c r="V110" s="296" t="n">
        <v>120500</v>
      </c>
      <c r="W110" s="296" t="n">
        <v>95650</v>
      </c>
      <c r="X110" s="296" t="n">
        <v>318713</v>
      </c>
      <c r="Y110" s="296" t="n">
        <v>559384</v>
      </c>
      <c r="Z110" s="297" t="n">
        <v>291933</v>
      </c>
      <c r="AA110" s="298" t="n">
        <v>267451</v>
      </c>
      <c r="AB110" s="298" t="n">
        <v>601694</v>
      </c>
      <c r="AC110" s="579" t="n"/>
      <c r="AD110" s="309" t="n">
        <v>42482</v>
      </c>
      <c r="AE110" s="296" t="n">
        <v>0</v>
      </c>
      <c r="AF110" s="296" t="n">
        <v>0</v>
      </c>
      <c r="AG110" s="296" t="n">
        <v>0</v>
      </c>
      <c r="AH110" s="296" t="n">
        <v>0</v>
      </c>
      <c r="AI110" s="296" t="n"/>
      <c r="AJ110" s="296" t="n"/>
      <c r="AK110" s="692" t="n">
        <v>0</v>
      </c>
      <c r="AM110" s="692" t="n">
        <v>0</v>
      </c>
      <c r="AO110" s="56">
        <f>SUM(B99:B110)</f>
        <v/>
      </c>
      <c r="AP110" s="56" t="n"/>
      <c r="AQ110" s="56">
        <f>SUM(C110:Y110)</f>
        <v/>
      </c>
      <c r="AR110" s="56">
        <f>AM110+AD110</f>
        <v/>
      </c>
    </row>
    <row r="111">
      <c r="A111" s="295" t="n">
        <v>44958</v>
      </c>
      <c r="B111" s="296" t="n">
        <v>6266442</v>
      </c>
      <c r="C111" s="296" t="n">
        <v>3003711</v>
      </c>
      <c r="D111" s="296" t="n">
        <v>199047</v>
      </c>
      <c r="E111" s="296" t="n">
        <v>344682</v>
      </c>
      <c r="F111" s="296" t="n">
        <v>59850</v>
      </c>
      <c r="G111" s="296" t="n">
        <v>180898</v>
      </c>
      <c r="H111" s="296" t="n">
        <v>266331</v>
      </c>
      <c r="I111" s="296" t="n">
        <v>601288</v>
      </c>
      <c r="J111" s="296" t="n">
        <v>228400</v>
      </c>
      <c r="K111" s="296" t="n">
        <v>42292</v>
      </c>
      <c r="L111" s="296" t="n">
        <v>66777</v>
      </c>
      <c r="M111" s="296" t="n">
        <v>0</v>
      </c>
      <c r="N111" s="296" t="n">
        <v>53805</v>
      </c>
      <c r="O111" s="296" t="n">
        <v>25635</v>
      </c>
      <c r="P111" s="296" t="n">
        <v>3751</v>
      </c>
      <c r="Q111" s="296" t="n">
        <v>32839</v>
      </c>
      <c r="R111" s="296" t="n"/>
      <c r="S111" s="296" t="n"/>
      <c r="T111" s="296" t="n">
        <v>0</v>
      </c>
      <c r="U111" s="296" t="n">
        <v>0</v>
      </c>
      <c r="V111" s="296" t="n">
        <v>111300</v>
      </c>
      <c r="W111" s="296" t="n">
        <v>97450</v>
      </c>
      <c r="X111" s="296" t="n">
        <v>401557</v>
      </c>
      <c r="Y111" s="296" t="n">
        <v>546828</v>
      </c>
      <c r="Z111" s="297" t="n">
        <v>330857</v>
      </c>
      <c r="AA111" s="298" t="n">
        <v>215971</v>
      </c>
      <c r="AB111" s="298" t="n">
        <v>655093</v>
      </c>
      <c r="AC111" s="579" t="n"/>
      <c r="AD111" s="309" t="n">
        <v>66007</v>
      </c>
      <c r="AE111" s="296" t="n">
        <v>0</v>
      </c>
      <c r="AF111" s="296" t="n">
        <v>0</v>
      </c>
      <c r="AG111" s="296" t="n">
        <v>0</v>
      </c>
      <c r="AH111" s="296" t="n">
        <v>0</v>
      </c>
      <c r="AI111" s="296" t="n"/>
      <c r="AJ111" s="296" t="n"/>
      <c r="AK111" s="692" t="n">
        <v>0</v>
      </c>
      <c r="AM111" s="692" t="n">
        <v>0</v>
      </c>
      <c r="AO111" s="56">
        <f>SUM(B100:B111)</f>
        <v/>
      </c>
      <c r="AP111" s="56" t="n"/>
      <c r="AQ111" s="56">
        <f>SUM(C111:Y111)</f>
        <v/>
      </c>
      <c r="AR111" s="56">
        <f>AM111+AD111</f>
        <v/>
      </c>
    </row>
    <row r="112">
      <c r="A112" s="295" t="n">
        <v>44986</v>
      </c>
      <c r="B112" s="296" t="n">
        <v>6828592</v>
      </c>
      <c r="C112" s="296" t="n">
        <v>3087483</v>
      </c>
      <c r="D112" s="296" t="n">
        <v>208188</v>
      </c>
      <c r="E112" s="296" t="n">
        <v>371708</v>
      </c>
      <c r="F112" s="296" t="n">
        <v>62330</v>
      </c>
      <c r="G112" s="296" t="n">
        <v>161082</v>
      </c>
      <c r="H112" s="296" t="n">
        <v>290893</v>
      </c>
      <c r="I112" s="296" t="n">
        <v>869346</v>
      </c>
      <c r="J112" s="296" t="n">
        <v>244523</v>
      </c>
      <c r="K112" s="296" t="n">
        <v>53343</v>
      </c>
      <c r="L112" s="296" t="n">
        <v>77615</v>
      </c>
      <c r="M112" s="296" t="n">
        <v>0</v>
      </c>
      <c r="N112" s="296" t="n">
        <v>87303</v>
      </c>
      <c r="O112" s="296" t="n">
        <v>29052</v>
      </c>
      <c r="P112" s="296" t="n">
        <v>4863</v>
      </c>
      <c r="Q112" s="296" t="n">
        <v>60432</v>
      </c>
      <c r="R112" s="296" t="n"/>
      <c r="S112" s="296" t="n"/>
      <c r="T112" s="296" t="n">
        <v>0</v>
      </c>
      <c r="U112" s="296" t="n">
        <v>0</v>
      </c>
      <c r="V112" s="296" t="n">
        <v>128500</v>
      </c>
      <c r="W112" s="296" t="n">
        <v>105840</v>
      </c>
      <c r="X112" s="296" t="n">
        <v>422423</v>
      </c>
      <c r="Y112" s="296" t="n">
        <v>563668</v>
      </c>
      <c r="Z112" s="297" t="n">
        <v>362033</v>
      </c>
      <c r="AA112" s="298" t="n">
        <v>201635</v>
      </c>
      <c r="AB112" s="298" t="n">
        <v>956649</v>
      </c>
      <c r="AC112" s="579" t="n"/>
      <c r="AD112" s="309" t="n">
        <v>65226</v>
      </c>
      <c r="AE112" s="296" t="n">
        <v>0</v>
      </c>
      <c r="AF112" s="296" t="n">
        <v>0</v>
      </c>
      <c r="AG112" s="296" t="n">
        <v>0</v>
      </c>
      <c r="AH112" s="296" t="n">
        <v>0</v>
      </c>
      <c r="AI112" s="296" t="n"/>
      <c r="AJ112" s="296" t="n"/>
      <c r="AK112" s="692" t="n">
        <v>0</v>
      </c>
      <c r="AM112" s="692" t="n">
        <v>0</v>
      </c>
      <c r="AO112" s="56">
        <f>SUM(B101:B112)</f>
        <v/>
      </c>
      <c r="AP112" s="56" t="n"/>
      <c r="AQ112" s="56">
        <f>SUM(C112:Y112)</f>
        <v/>
      </c>
      <c r="AR112" s="56">
        <f>AM112+AD112</f>
        <v/>
      </c>
    </row>
    <row r="113">
      <c r="A113" s="295" t="n">
        <v>45017</v>
      </c>
      <c r="B113" s="296" t="n">
        <v>6998355</v>
      </c>
      <c r="C113" s="296" t="n">
        <v>2888262</v>
      </c>
      <c r="D113" s="296" t="n">
        <v>203002</v>
      </c>
      <c r="E113" s="296" t="n">
        <v>343942</v>
      </c>
      <c r="F113" s="296" t="n">
        <v>60020</v>
      </c>
      <c r="G113" s="296" t="n">
        <v>130668</v>
      </c>
      <c r="H113" s="296" t="n">
        <v>296464</v>
      </c>
      <c r="I113" s="296" t="n">
        <v>1134981</v>
      </c>
      <c r="J113" s="296" t="n">
        <v>221077</v>
      </c>
      <c r="K113" s="296" t="n">
        <v>51421</v>
      </c>
      <c r="L113" s="296" t="n">
        <v>84792</v>
      </c>
      <c r="M113" s="296" t="n">
        <v>0</v>
      </c>
      <c r="N113" s="296" t="n">
        <v>105975</v>
      </c>
      <c r="O113" s="296" t="n">
        <v>33207</v>
      </c>
      <c r="P113" s="296" t="n">
        <v>5858</v>
      </c>
      <c r="Q113" s="296" t="n">
        <v>55411</v>
      </c>
      <c r="R113" s="296" t="n"/>
      <c r="S113" s="296" t="n"/>
      <c r="T113" s="296" t="n">
        <v>0</v>
      </c>
      <c r="U113" s="296" t="n">
        <v>0</v>
      </c>
      <c r="V113" s="296" t="n">
        <v>171500</v>
      </c>
      <c r="W113" s="296" t="n">
        <v>112930</v>
      </c>
      <c r="X113" s="296" t="n">
        <v>505398</v>
      </c>
      <c r="Y113" s="296" t="n">
        <v>593447</v>
      </c>
      <c r="Z113" s="297" t="n">
        <v>334481</v>
      </c>
      <c r="AA113" s="298" t="n">
        <v>258966</v>
      </c>
      <c r="AB113" s="298" t="n">
        <v>1240956</v>
      </c>
      <c r="AC113" s="579" t="n"/>
      <c r="AD113" s="309" t="n">
        <v>98989</v>
      </c>
      <c r="AE113" s="296" t="n">
        <v>0</v>
      </c>
      <c r="AF113" s="296" t="n">
        <v>0</v>
      </c>
      <c r="AG113" s="296" t="n">
        <v>0</v>
      </c>
      <c r="AH113" s="296" t="n">
        <v>0</v>
      </c>
      <c r="AI113" s="296" t="n"/>
      <c r="AJ113" s="296" t="n"/>
      <c r="AK113" s="692" t="n">
        <v>0</v>
      </c>
      <c r="AM113" s="692" t="n">
        <v>0</v>
      </c>
      <c r="AO113" s="56">
        <f>SUM(B102:B113)</f>
        <v/>
      </c>
      <c r="AP113" s="56" t="n"/>
      <c r="AQ113" s="56">
        <f>SUM(C113:Y113)</f>
        <v/>
      </c>
      <c r="AR113" s="56">
        <f>AM113+AD113</f>
        <v/>
      </c>
    </row>
    <row r="114" ht="17" customHeight="1" thickBot="1">
      <c r="A114" s="295" t="n">
        <v>45047</v>
      </c>
      <c r="B114" s="296" t="n">
        <v>8625441</v>
      </c>
      <c r="C114" s="296" t="n">
        <v>3325897</v>
      </c>
      <c r="D114" s="296" t="n">
        <v>217017</v>
      </c>
      <c r="E114" s="296" t="n">
        <v>395100</v>
      </c>
      <c r="F114" s="296" t="n">
        <v>70780</v>
      </c>
      <c r="G114" s="296" t="n">
        <v>134571</v>
      </c>
      <c r="H114" s="296" t="n">
        <v>333422</v>
      </c>
      <c r="I114" s="296" t="n">
        <v>1674901</v>
      </c>
      <c r="J114" s="296" t="n">
        <v>246200</v>
      </c>
      <c r="K114" s="296" t="n">
        <v>67214</v>
      </c>
      <c r="L114" s="296" t="n">
        <v>129786</v>
      </c>
      <c r="M114" s="296" t="n">
        <v>0</v>
      </c>
      <c r="N114" s="296" t="n">
        <v>162347</v>
      </c>
      <c r="O114" s="296" t="n">
        <v>34087</v>
      </c>
      <c r="P114" s="296" t="n">
        <v>9007</v>
      </c>
      <c r="Q114" s="296" t="n">
        <v>69546</v>
      </c>
      <c r="R114" s="296" t="n"/>
      <c r="S114" s="296" t="n"/>
      <c r="T114" s="296" t="n">
        <v>0</v>
      </c>
      <c r="U114" s="296" t="n">
        <v>0</v>
      </c>
      <c r="V114" s="296" t="n">
        <v>241758</v>
      </c>
      <c r="W114" s="296" t="n">
        <v>158700</v>
      </c>
      <c r="X114" s="296" t="n">
        <v>580251</v>
      </c>
      <c r="Y114" s="296" t="n">
        <v>774857</v>
      </c>
      <c r="Z114" s="297" t="n">
        <v>378813</v>
      </c>
      <c r="AA114" s="298" t="n">
        <v>396044</v>
      </c>
      <c r="AB114" s="298" t="n">
        <v>1837248</v>
      </c>
      <c r="AC114" s="579" t="n"/>
      <c r="AD114" s="309" t="n">
        <v>100765</v>
      </c>
      <c r="AE114" s="296" t="n">
        <v>0</v>
      </c>
      <c r="AF114" s="296" t="n">
        <v>0</v>
      </c>
      <c r="AG114" s="296" t="n">
        <v>0</v>
      </c>
      <c r="AH114" s="296" t="n">
        <v>0</v>
      </c>
      <c r="AI114" s="296" t="n"/>
      <c r="AJ114" s="296" t="n"/>
      <c r="AK114" s="692" t="n">
        <v>0</v>
      </c>
      <c r="AM114" s="692" t="n">
        <v>0</v>
      </c>
      <c r="AO114" s="56">
        <f>SUM(B103:B114)</f>
        <v/>
      </c>
      <c r="AP114" s="56" t="n"/>
      <c r="AQ114" s="56">
        <f>SUM(C114:Y114)</f>
        <v/>
      </c>
      <c r="AR114" s="56">
        <f>AM114+AD114</f>
        <v/>
      </c>
    </row>
    <row r="115" ht="17" customHeight="1" thickBot="1">
      <c r="A115" s="295" t="n">
        <v>45078</v>
      </c>
      <c r="B115" s="296" t="n">
        <v>9164894</v>
      </c>
      <c r="C115" s="296" t="n">
        <v>3168628</v>
      </c>
      <c r="D115" s="296" t="n">
        <v>196368</v>
      </c>
      <c r="E115" s="296" t="n">
        <v>377740</v>
      </c>
      <c r="F115" s="296" t="n">
        <v>69220</v>
      </c>
      <c r="G115" s="296" t="n">
        <v>130018</v>
      </c>
      <c r="H115" s="296" t="n">
        <v>325721</v>
      </c>
      <c r="I115" s="296" t="n">
        <v>2088084</v>
      </c>
      <c r="J115" s="296" t="n">
        <v>221800</v>
      </c>
      <c r="K115" s="296" t="n">
        <v>56861</v>
      </c>
      <c r="L115" s="296" t="n">
        <v>153093</v>
      </c>
      <c r="M115" s="296" t="n">
        <v>0</v>
      </c>
      <c r="N115" s="296" t="n">
        <v>185045</v>
      </c>
      <c r="O115" s="296" t="n">
        <v>35804</v>
      </c>
      <c r="P115" s="296" t="n">
        <v>11908</v>
      </c>
      <c r="Q115" s="296" t="n">
        <v>63058</v>
      </c>
      <c r="R115" s="296" t="n"/>
      <c r="S115" s="296" t="n"/>
      <c r="T115" s="296" t="n">
        <v>0</v>
      </c>
      <c r="U115" s="296" t="n">
        <v>0</v>
      </c>
      <c r="V115" s="296" t="n">
        <v>309600</v>
      </c>
      <c r="W115" s="296" t="n">
        <v>197740</v>
      </c>
      <c r="X115" s="296" t="n">
        <v>654247</v>
      </c>
      <c r="Y115" s="296" t="n">
        <v>919959</v>
      </c>
      <c r="Z115" s="297" t="n">
        <v>338399</v>
      </c>
      <c r="AA115" s="298" t="n">
        <v>581560</v>
      </c>
      <c r="AB115" s="298" t="n">
        <v>2273129</v>
      </c>
      <c r="AC115" s="579" t="n"/>
      <c r="AD115" s="309" t="n">
        <v>122163</v>
      </c>
      <c r="AE115" s="296" t="n">
        <v>0</v>
      </c>
      <c r="AF115" s="296" t="n">
        <v>0</v>
      </c>
      <c r="AG115" s="296" t="n">
        <v>0</v>
      </c>
      <c r="AH115" s="296" t="n">
        <v>0</v>
      </c>
      <c r="AI115" s="296" t="n"/>
      <c r="AJ115" s="298" t="n"/>
      <c r="AK115" s="692" t="n">
        <v>0</v>
      </c>
      <c r="AM115" s="692" t="n">
        <v>0</v>
      </c>
      <c r="AO115" s="577">
        <f>SUM(B104:B115)</f>
        <v/>
      </c>
      <c r="AP115" s="578">
        <f>AK115+SUM(AD104:AD115)</f>
        <v/>
      </c>
      <c r="AQ115" s="56">
        <f>SUM(C115:Y115)</f>
        <v/>
      </c>
      <c r="AR115" s="56">
        <f>AM115+AD115</f>
        <v/>
      </c>
    </row>
    <row r="116">
      <c r="A116" s="295" t="n">
        <v>45108</v>
      </c>
      <c r="B116" s="296" t="n">
        <v>8395978</v>
      </c>
      <c r="C116" s="296" t="n">
        <v>2247388</v>
      </c>
      <c r="D116" s="296" t="n">
        <v>231950</v>
      </c>
      <c r="E116" s="296" t="n">
        <v>401450</v>
      </c>
      <c r="F116" s="296" t="n">
        <v>66610</v>
      </c>
      <c r="G116" s="296" t="n">
        <v>124539</v>
      </c>
      <c r="H116" s="296" t="n">
        <v>366511</v>
      </c>
      <c r="I116" s="296" t="n">
        <v>2235244</v>
      </c>
      <c r="J116" s="296" t="n">
        <v>230400</v>
      </c>
      <c r="K116" s="296" t="n">
        <v>49612</v>
      </c>
      <c r="L116" s="296" t="n">
        <v>149108</v>
      </c>
      <c r="M116" s="296" t="n">
        <v>0</v>
      </c>
      <c r="N116" s="296" t="n">
        <v>186865</v>
      </c>
      <c r="O116" s="296" t="n">
        <v>43768</v>
      </c>
      <c r="P116" s="296" t="n">
        <v>14113</v>
      </c>
      <c r="Q116" s="296" t="n">
        <v>67884</v>
      </c>
      <c r="R116" s="296" t="n"/>
      <c r="S116" s="296" t="n"/>
      <c r="T116" s="296" t="n">
        <v>0</v>
      </c>
      <c r="U116" s="296" t="n">
        <v>0</v>
      </c>
      <c r="V116" s="296" t="n">
        <v>355700</v>
      </c>
      <c r="W116" s="296" t="n">
        <v>191240</v>
      </c>
      <c r="X116" s="296" t="n">
        <v>578961</v>
      </c>
      <c r="Y116" s="296" t="n">
        <v>854635</v>
      </c>
      <c r="Z116" s="297" t="n">
        <v>301258</v>
      </c>
      <c r="AA116" s="298" t="n">
        <v>553377</v>
      </c>
      <c r="AB116" s="298" t="n">
        <v>2422109</v>
      </c>
      <c r="AC116" s="579" t="n"/>
      <c r="AD116" s="309" t="n">
        <v>101445</v>
      </c>
      <c r="AE116" s="296" t="n">
        <v>0</v>
      </c>
      <c r="AF116" s="296" t="n">
        <v>0</v>
      </c>
      <c r="AG116" s="296" t="n">
        <v>0</v>
      </c>
      <c r="AH116" s="296" t="n">
        <v>0</v>
      </c>
      <c r="AI116" s="296" t="n"/>
      <c r="AJ116" s="296" t="n"/>
      <c r="AK116" s="692" t="n">
        <v>0</v>
      </c>
      <c r="AM116" s="692" t="n">
        <v>0</v>
      </c>
      <c r="AO116" s="56">
        <f>SUM(B105:B116)</f>
        <v/>
      </c>
      <c r="AP116" s="56" t="n"/>
      <c r="AQ116" s="56">
        <f>SUM(C116:Y116)</f>
        <v/>
      </c>
      <c r="AR116" s="56">
        <f>AM116+AD116</f>
        <v/>
      </c>
    </row>
    <row r="117">
      <c r="A117" s="295" t="n">
        <v>45139</v>
      </c>
      <c r="B117" s="296" t="n">
        <v>10021052</v>
      </c>
      <c r="C117" s="296" t="n">
        <v>3687850</v>
      </c>
      <c r="D117" s="296" t="n">
        <v>212471</v>
      </c>
      <c r="E117" s="296" t="n">
        <v>386230</v>
      </c>
      <c r="F117" s="296" t="n">
        <v>63030</v>
      </c>
      <c r="G117" s="296" t="n">
        <v>123688</v>
      </c>
      <c r="H117" s="296" t="n">
        <v>315255</v>
      </c>
      <c r="I117" s="296" t="n">
        <v>2261709</v>
      </c>
      <c r="J117" s="296" t="n">
        <v>220600</v>
      </c>
      <c r="K117" s="296" t="n">
        <v>63082</v>
      </c>
      <c r="L117" s="296" t="n">
        <v>196791</v>
      </c>
      <c r="M117" s="296" t="n">
        <v>0</v>
      </c>
      <c r="N117" s="296" t="n">
        <v>245701</v>
      </c>
      <c r="O117" s="296" t="n">
        <v>33881</v>
      </c>
      <c r="P117" s="296" t="n">
        <v>12424</v>
      </c>
      <c r="Q117" s="296" t="n">
        <v>62895</v>
      </c>
      <c r="R117" s="296" t="n"/>
      <c r="S117" s="296" t="n"/>
      <c r="T117" s="296" t="n">
        <v>0</v>
      </c>
      <c r="U117" s="296" t="n">
        <v>0</v>
      </c>
      <c r="V117" s="296" t="n">
        <v>355100</v>
      </c>
      <c r="W117" s="296" t="n">
        <v>182220</v>
      </c>
      <c r="X117" s="296" t="n">
        <v>574170</v>
      </c>
      <c r="Y117" s="296" t="n">
        <v>1023955</v>
      </c>
      <c r="Z117" s="297" t="n">
        <v>353508</v>
      </c>
      <c r="AA117" s="298" t="n">
        <v>670447</v>
      </c>
      <c r="AB117" s="298" t="n">
        <v>2507410</v>
      </c>
      <c r="AC117" s="579" t="n"/>
      <c r="AD117" s="309" t="n">
        <v>132118</v>
      </c>
      <c r="AE117" s="296" t="n">
        <v>0</v>
      </c>
      <c r="AF117" s="296" t="n">
        <v>0</v>
      </c>
      <c r="AG117" s="296" t="n">
        <v>0</v>
      </c>
      <c r="AH117" s="296" t="n">
        <v>0</v>
      </c>
      <c r="AI117" s="296" t="n"/>
      <c r="AJ117" s="296" t="n"/>
      <c r="AK117" s="692" t="n">
        <v>0</v>
      </c>
      <c r="AM117" s="692" t="n">
        <v>0</v>
      </c>
      <c r="AO117" s="56">
        <f>SUM(B106:B117)</f>
        <v/>
      </c>
      <c r="AP117" s="56" t="n"/>
      <c r="AQ117" s="56">
        <f>SUM(C117:Y117)</f>
        <v/>
      </c>
      <c r="AR117" s="56">
        <f>AM117+AD117</f>
        <v/>
      </c>
    </row>
    <row r="118">
      <c r="A118" s="295" t="n">
        <v>45170</v>
      </c>
      <c r="B118" s="296" t="n">
        <v>9234983</v>
      </c>
      <c r="C118" s="296" t="n">
        <v>3068198</v>
      </c>
      <c r="D118" s="296" t="n">
        <v>210702</v>
      </c>
      <c r="E118" s="296" t="n">
        <v>397330</v>
      </c>
      <c r="F118" s="296" t="n">
        <v>60020</v>
      </c>
      <c r="G118" s="296" t="n">
        <v>125072</v>
      </c>
      <c r="H118" s="296" t="n">
        <v>309832</v>
      </c>
      <c r="I118" s="296" t="n">
        <v>2087766</v>
      </c>
      <c r="J118" s="296" t="n">
        <v>228100</v>
      </c>
      <c r="K118" s="296" t="n">
        <v>48820</v>
      </c>
      <c r="L118" s="296" t="n">
        <v>133636</v>
      </c>
      <c r="M118" s="296" t="n">
        <v>0</v>
      </c>
      <c r="N118" s="296" t="n">
        <v>172602</v>
      </c>
      <c r="O118" s="296" t="n">
        <v>57403</v>
      </c>
      <c r="P118" s="296" t="n">
        <v>8392</v>
      </c>
      <c r="Q118" s="296" t="n">
        <v>58131</v>
      </c>
      <c r="R118" s="296" t="n"/>
      <c r="S118" s="296" t="n"/>
      <c r="T118" s="296" t="n">
        <v>0</v>
      </c>
      <c r="U118" s="296" t="n">
        <v>37989</v>
      </c>
      <c r="V118" s="296" t="n">
        <v>332800</v>
      </c>
      <c r="W118" s="296" t="n">
        <v>174560</v>
      </c>
      <c r="X118" s="296" t="n">
        <v>798145</v>
      </c>
      <c r="Y118" s="296" t="n">
        <v>925485</v>
      </c>
      <c r="Z118" s="297" t="n">
        <v>370944</v>
      </c>
      <c r="AA118" s="298" t="n">
        <v>554541</v>
      </c>
      <c r="AB118" s="298" t="n">
        <v>2260368</v>
      </c>
      <c r="AC118" s="579" t="n"/>
      <c r="AD118" s="309" t="n">
        <v>123050</v>
      </c>
      <c r="AE118" s="296" t="n">
        <v>0</v>
      </c>
      <c r="AF118" s="296" t="n">
        <v>0</v>
      </c>
      <c r="AG118" s="296" t="n">
        <v>0</v>
      </c>
      <c r="AH118" s="296" t="n">
        <v>0</v>
      </c>
      <c r="AI118" s="296" t="n"/>
      <c r="AJ118" s="296" t="n"/>
      <c r="AK118" s="692" t="n">
        <v>0</v>
      </c>
      <c r="AM118" s="692" t="n">
        <v>0</v>
      </c>
      <c r="AO118" s="56">
        <f>SUM(B107:B118)</f>
        <v/>
      </c>
      <c r="AP118" s="56" t="n"/>
      <c r="AQ118" s="56">
        <f>SUM(C118:Y118)</f>
        <v/>
      </c>
      <c r="AR118" s="56">
        <f>AM118+AD118</f>
        <v/>
      </c>
    </row>
    <row r="119">
      <c r="A119" s="295" t="n">
        <v>45200</v>
      </c>
      <c r="B119" s="296" t="n">
        <v>8906994</v>
      </c>
      <c r="C119" s="296" t="n">
        <v>3472720</v>
      </c>
      <c r="D119" s="296" t="n">
        <v>209344</v>
      </c>
      <c r="E119" s="296" t="n">
        <v>401070</v>
      </c>
      <c r="F119" s="296" t="n">
        <v>60560</v>
      </c>
      <c r="G119" s="296" t="n">
        <v>130293</v>
      </c>
      <c r="H119" s="296" t="n">
        <v>330878</v>
      </c>
      <c r="I119" s="296" t="n">
        <v>1682178</v>
      </c>
      <c r="J119" s="296" t="n">
        <v>234800</v>
      </c>
      <c r="K119" s="296" t="n">
        <v>54006</v>
      </c>
      <c r="L119" s="296" t="n">
        <v>129915</v>
      </c>
      <c r="M119" s="296" t="n">
        <v>0</v>
      </c>
      <c r="N119" s="296" t="n">
        <v>161279</v>
      </c>
      <c r="O119" s="296" t="n">
        <v>30563</v>
      </c>
      <c r="P119" s="296" t="n">
        <v>6860</v>
      </c>
      <c r="Q119" s="296" t="n">
        <v>55225</v>
      </c>
      <c r="R119" s="296" t="n"/>
      <c r="S119" s="296" t="n"/>
      <c r="T119" s="296" t="n">
        <v>0</v>
      </c>
      <c r="U119" s="296" t="n">
        <v>37989</v>
      </c>
      <c r="V119" s="296" t="n">
        <v>273600</v>
      </c>
      <c r="W119" s="296" t="n">
        <v>141370</v>
      </c>
      <c r="X119" s="296" t="n">
        <v>695080</v>
      </c>
      <c r="Y119" s="296" t="n">
        <v>799264</v>
      </c>
      <c r="Z119" s="297" t="n">
        <v>377527</v>
      </c>
      <c r="AA119" s="298" t="n">
        <v>421737</v>
      </c>
      <c r="AB119" s="298" t="n">
        <v>1843457</v>
      </c>
      <c r="AC119" s="579" t="n"/>
      <c r="AD119" s="309" t="n">
        <v>129469</v>
      </c>
      <c r="AE119" s="296" t="n">
        <v>0</v>
      </c>
      <c r="AF119" s="296" t="n">
        <v>0</v>
      </c>
      <c r="AG119" s="296" t="n">
        <v>0</v>
      </c>
      <c r="AH119" s="296" t="n">
        <v>0</v>
      </c>
      <c r="AI119" s="296" t="n"/>
      <c r="AJ119" s="296" t="n"/>
      <c r="AK119" s="692" t="n">
        <v>0</v>
      </c>
      <c r="AM119" s="692" t="n">
        <v>0</v>
      </c>
      <c r="AO119" s="56">
        <f>SUM(B108:B119)</f>
        <v/>
      </c>
      <c r="AP119" s="56" t="n"/>
      <c r="AQ119" s="56">
        <f>SUM(C119:Y119)</f>
        <v/>
      </c>
      <c r="AR119" s="56">
        <f>AM119+AD119</f>
        <v/>
      </c>
    </row>
    <row r="120">
      <c r="A120" s="295" t="n">
        <v>45231</v>
      </c>
      <c r="B120" s="296" t="n">
        <v>7592642</v>
      </c>
      <c r="C120" s="296" t="n">
        <v>3137873</v>
      </c>
      <c r="D120" s="296" t="n">
        <v>209208</v>
      </c>
      <c r="E120" s="296" t="n">
        <v>401387</v>
      </c>
      <c r="F120" s="296" t="n">
        <v>61030</v>
      </c>
      <c r="G120" s="296" t="n">
        <v>132665</v>
      </c>
      <c r="H120" s="296" t="n">
        <v>335333</v>
      </c>
      <c r="I120" s="296" t="n">
        <v>1145718</v>
      </c>
      <c r="J120" s="296" t="n">
        <v>240600</v>
      </c>
      <c r="K120" s="296" t="n">
        <v>52505</v>
      </c>
      <c r="L120" s="296" t="n">
        <v>114445</v>
      </c>
      <c r="M120" s="296" t="n">
        <v>0</v>
      </c>
      <c r="N120" s="296" t="n">
        <v>110214</v>
      </c>
      <c r="O120" s="296" t="n">
        <v>45235</v>
      </c>
      <c r="P120" s="296" t="n">
        <v>6132</v>
      </c>
      <c r="Q120" s="296" t="n">
        <v>48733</v>
      </c>
      <c r="R120" s="296" t="n"/>
      <c r="S120" s="296" t="n"/>
      <c r="T120" s="296" t="n">
        <v>0</v>
      </c>
      <c r="U120" s="296" t="n">
        <v>37989</v>
      </c>
      <c r="V120" s="296" t="n">
        <v>188800</v>
      </c>
      <c r="W120" s="296" t="n">
        <v>116120</v>
      </c>
      <c r="X120" s="296" t="n">
        <v>542826</v>
      </c>
      <c r="Y120" s="296" t="n">
        <v>665829</v>
      </c>
      <c r="Z120" s="297" t="n">
        <v>389105</v>
      </c>
      <c r="AA120" s="298" t="n">
        <v>276724</v>
      </c>
      <c r="AB120" s="298" t="n">
        <v>1255932</v>
      </c>
      <c r="AC120" s="579" t="n"/>
      <c r="AD120" s="309" t="n">
        <v>81480</v>
      </c>
      <c r="AE120" s="296" t="n">
        <v>0</v>
      </c>
      <c r="AF120" s="296" t="n">
        <v>0</v>
      </c>
      <c r="AG120" s="296" t="n">
        <v>0</v>
      </c>
      <c r="AH120" s="296" t="n">
        <v>0</v>
      </c>
      <c r="AI120" s="296" t="n"/>
      <c r="AJ120" s="296" t="n"/>
      <c r="AK120" s="692" t="n">
        <v>0</v>
      </c>
      <c r="AM120" s="692" t="n">
        <v>0</v>
      </c>
      <c r="AO120" s="56">
        <f>SUM(B109:B120)</f>
        <v/>
      </c>
      <c r="AP120" s="56" t="n"/>
      <c r="AQ120" s="56">
        <f>SUM(C120:Y120)</f>
        <v/>
      </c>
      <c r="AR120" s="56">
        <f>AM120+AD120</f>
        <v/>
      </c>
    </row>
    <row r="121">
      <c r="A121" s="295" t="n">
        <v>45261</v>
      </c>
      <c r="B121" s="296" t="n">
        <v>6470056</v>
      </c>
      <c r="C121" s="296" t="n">
        <v>2881577</v>
      </c>
      <c r="D121" s="296" t="n">
        <v>187500</v>
      </c>
      <c r="E121" s="296" t="n">
        <v>362093</v>
      </c>
      <c r="F121" s="296" t="n">
        <v>58940</v>
      </c>
      <c r="G121" s="296" t="n">
        <v>141268</v>
      </c>
      <c r="H121" s="296" t="n">
        <v>297075</v>
      </c>
      <c r="I121" s="296" t="n">
        <v>760035</v>
      </c>
      <c r="J121" s="296" t="n">
        <v>205900</v>
      </c>
      <c r="K121" s="296" t="n">
        <v>47269</v>
      </c>
      <c r="L121" s="296" t="n">
        <v>92079</v>
      </c>
      <c r="M121" s="296" t="n">
        <v>0</v>
      </c>
      <c r="N121" s="296" t="n">
        <v>63014</v>
      </c>
      <c r="O121" s="296" t="n">
        <v>26483</v>
      </c>
      <c r="P121" s="296" t="n">
        <v>3860</v>
      </c>
      <c r="Q121" s="296" t="n">
        <v>40280</v>
      </c>
      <c r="R121" s="296" t="n"/>
      <c r="S121" s="296" t="n"/>
      <c r="T121" s="296" t="n">
        <v>0</v>
      </c>
      <c r="U121" s="296" t="n">
        <v>37989</v>
      </c>
      <c r="V121" s="296" t="n">
        <v>157500</v>
      </c>
      <c r="W121" s="296" t="n">
        <v>102910</v>
      </c>
      <c r="X121" s="296" t="n">
        <v>423456</v>
      </c>
      <c r="Y121" s="296" t="n">
        <v>580828</v>
      </c>
      <c r="Z121" s="297" t="n">
        <v>332453</v>
      </c>
      <c r="AA121" s="298" t="n">
        <v>248375</v>
      </c>
      <c r="AB121" s="298" t="n">
        <v>823049</v>
      </c>
      <c r="AC121" s="579" t="n"/>
      <c r="AD121" s="309" t="n">
        <v>61721</v>
      </c>
      <c r="AE121" s="296" t="n">
        <v>0</v>
      </c>
      <c r="AF121" s="296" t="n">
        <v>0</v>
      </c>
      <c r="AG121" s="296" t="n">
        <v>0</v>
      </c>
      <c r="AH121" s="296" t="n">
        <v>0</v>
      </c>
      <c r="AI121" s="296" t="n"/>
      <c r="AJ121" s="296" t="n"/>
      <c r="AK121" s="692" t="n">
        <v>0</v>
      </c>
      <c r="AM121" s="692" t="n">
        <v>0</v>
      </c>
      <c r="AO121" s="56">
        <f>SUM(B110:B121)</f>
        <v/>
      </c>
      <c r="AP121" s="56" t="n"/>
      <c r="AQ121" s="56">
        <f>SUM(C121:Y121)</f>
        <v/>
      </c>
      <c r="AR121" s="56">
        <f>AM121+AD121</f>
        <v/>
      </c>
    </row>
    <row r="122">
      <c r="A122" s="280" t="n">
        <v>45292</v>
      </c>
      <c r="B122" s="282" t="n">
        <v>6692267</v>
      </c>
      <c r="C122" s="282" t="n">
        <v>3287729</v>
      </c>
      <c r="D122" s="282" t="n">
        <v>208974</v>
      </c>
      <c r="E122" s="282" t="n">
        <v>396860</v>
      </c>
      <c r="F122" s="282" t="n">
        <v>58410</v>
      </c>
      <c r="G122" s="282" t="n">
        <v>149803</v>
      </c>
      <c r="H122" s="282" t="n">
        <v>338199</v>
      </c>
      <c r="I122" s="282" t="n">
        <v>578170</v>
      </c>
      <c r="J122" s="282" t="n">
        <v>227300</v>
      </c>
      <c r="K122" s="282" t="n">
        <v>41306</v>
      </c>
      <c r="L122" s="282" t="n">
        <v>88012</v>
      </c>
      <c r="M122" s="282" t="n">
        <v>0</v>
      </c>
      <c r="N122" s="282" t="n">
        <v>40751</v>
      </c>
      <c r="O122" s="282" t="n">
        <v>27266</v>
      </c>
      <c r="P122" s="282" t="n">
        <v>4854</v>
      </c>
      <c r="Q122" s="282" t="n">
        <v>43154</v>
      </c>
      <c r="R122" s="282" t="n"/>
      <c r="S122" s="282" t="n"/>
      <c r="T122" s="282" t="n">
        <v>0</v>
      </c>
      <c r="U122" s="282" t="n">
        <v>40620</v>
      </c>
      <c r="V122" s="282" t="n">
        <v>142000</v>
      </c>
      <c r="W122" s="282" t="n">
        <v>110960</v>
      </c>
      <c r="X122" s="282" t="n">
        <v>290247</v>
      </c>
      <c r="Y122" s="282" t="n">
        <v>617652</v>
      </c>
      <c r="Z122" s="283" t="n">
        <v>349422</v>
      </c>
      <c r="AA122" s="287" t="n">
        <v>268230</v>
      </c>
      <c r="AB122" s="287" t="n">
        <v>618921</v>
      </c>
      <c r="AC122" s="579" t="n"/>
      <c r="AD122" s="304" t="n">
        <v>41708</v>
      </c>
      <c r="AE122" s="282" t="n">
        <v>0</v>
      </c>
      <c r="AF122" s="282" t="n">
        <v>0</v>
      </c>
      <c r="AG122" s="282" t="n">
        <v>0</v>
      </c>
      <c r="AH122" s="282" t="n">
        <v>0</v>
      </c>
      <c r="AI122" s="282" t="n"/>
      <c r="AJ122" s="282" t="n"/>
      <c r="AK122" s="690" t="n">
        <v>0</v>
      </c>
      <c r="AM122" s="690" t="n">
        <v>0</v>
      </c>
      <c r="AO122" s="56">
        <f>SUM(B111:B122)</f>
        <v/>
      </c>
      <c r="AP122" s="56" t="n"/>
      <c r="AQ122" s="56">
        <f>SUM(C122:Y122)</f>
        <v/>
      </c>
      <c r="AR122" s="56">
        <f>AM122+AD122</f>
        <v/>
      </c>
    </row>
    <row r="123">
      <c r="A123" s="280" t="n">
        <v>45323</v>
      </c>
      <c r="B123" s="282" t="n">
        <v>6654580</v>
      </c>
      <c r="C123" s="282" t="n">
        <v>3141372</v>
      </c>
      <c r="D123" s="282" t="n">
        <v>237623</v>
      </c>
      <c r="E123" s="282" t="n">
        <v>372509</v>
      </c>
      <c r="F123" s="282" t="n">
        <v>58160</v>
      </c>
      <c r="G123" s="282" t="n">
        <v>126061</v>
      </c>
      <c r="H123" s="282" t="n">
        <v>326079</v>
      </c>
      <c r="I123" s="282" t="n">
        <v>682091</v>
      </c>
      <c r="J123" s="282" t="n">
        <v>216300</v>
      </c>
      <c r="K123" s="282" t="n">
        <v>38954</v>
      </c>
      <c r="L123" s="282" t="n">
        <v>71168</v>
      </c>
      <c r="M123" s="282" t="n">
        <v>0</v>
      </c>
      <c r="N123" s="282" t="n">
        <v>59396</v>
      </c>
      <c r="O123" s="282" t="n">
        <v>28310</v>
      </c>
      <c r="P123" s="282" t="n">
        <v>4703</v>
      </c>
      <c r="Q123" s="282" t="n">
        <v>39420</v>
      </c>
      <c r="R123" s="282" t="n"/>
      <c r="S123" s="282" t="n">
        <v>1879</v>
      </c>
      <c r="T123" s="282" t="n">
        <v>0</v>
      </c>
      <c r="U123" s="282" t="n">
        <v>59861</v>
      </c>
      <c r="V123" s="282" t="n">
        <v>136800</v>
      </c>
      <c r="W123" s="282" t="n">
        <v>90700</v>
      </c>
      <c r="X123" s="282" t="n">
        <v>359002</v>
      </c>
      <c r="Y123" s="282" t="n">
        <v>604192</v>
      </c>
      <c r="Z123" s="281" t="n">
        <v>351548</v>
      </c>
      <c r="AA123" s="281" t="n">
        <v>252644</v>
      </c>
      <c r="AB123" s="281" t="n">
        <v>741487</v>
      </c>
      <c r="AC123" s="581" t="n"/>
      <c r="AD123" s="304" t="n">
        <v>58086</v>
      </c>
      <c r="AE123" s="282" t="n">
        <v>0</v>
      </c>
      <c r="AF123" s="282" t="n">
        <v>0</v>
      </c>
      <c r="AG123" s="282" t="n">
        <v>0</v>
      </c>
      <c r="AH123" s="282" t="n">
        <v>0</v>
      </c>
      <c r="AI123" s="282" t="n"/>
      <c r="AJ123" s="282" t="n"/>
      <c r="AK123" s="690" t="n">
        <v>0</v>
      </c>
      <c r="AM123" s="690" t="n">
        <v>0</v>
      </c>
      <c r="AO123" s="56">
        <f>SUM(B112:B123)</f>
        <v/>
      </c>
      <c r="AP123" s="56" t="n"/>
      <c r="AQ123" s="56">
        <f>SUM(C123:Y123)</f>
        <v/>
      </c>
      <c r="AR123" s="56">
        <f>AM123+AD123</f>
        <v/>
      </c>
    </row>
    <row r="124">
      <c r="A124" s="280" t="n">
        <v>45352</v>
      </c>
      <c r="B124" s="282" t="n">
        <v>6611330</v>
      </c>
      <c r="C124" s="282" t="n">
        <v>2763966</v>
      </c>
      <c r="D124" s="282" t="n">
        <v>160809</v>
      </c>
      <c r="E124" s="282" t="n">
        <v>367021</v>
      </c>
      <c r="F124" s="282" t="n">
        <v>57060</v>
      </c>
      <c r="G124" s="282" t="n">
        <v>139733</v>
      </c>
      <c r="H124" s="282" t="n">
        <v>295189</v>
      </c>
      <c r="I124" s="282" t="n">
        <v>921046</v>
      </c>
      <c r="J124" s="282" t="n">
        <v>217900</v>
      </c>
      <c r="K124" s="282" t="n">
        <v>42295</v>
      </c>
      <c r="L124" s="282" t="n">
        <v>88712</v>
      </c>
      <c r="M124" s="282" t="n">
        <v>0</v>
      </c>
      <c r="N124" s="282" t="n">
        <v>72772</v>
      </c>
      <c r="O124" s="282" t="n">
        <v>31071</v>
      </c>
      <c r="P124" s="282" t="n">
        <v>4856</v>
      </c>
      <c r="Q124" s="282" t="n">
        <v>38008</v>
      </c>
      <c r="R124" s="282" t="n"/>
      <c r="S124" s="282" t="n">
        <v>5290</v>
      </c>
      <c r="T124" s="282" t="n">
        <v>0</v>
      </c>
      <c r="U124" s="282" t="n">
        <v>64137</v>
      </c>
      <c r="V124" s="282" t="n">
        <v>190100</v>
      </c>
      <c r="W124" s="282" t="n">
        <v>115360</v>
      </c>
      <c r="X124" s="282" t="n">
        <v>416757</v>
      </c>
      <c r="Y124" s="282" t="n">
        <v>619248</v>
      </c>
      <c r="Z124" s="281" t="n">
        <v>350051</v>
      </c>
      <c r="AA124" s="281" t="n">
        <v>269197</v>
      </c>
      <c r="AB124" s="281" t="n">
        <v>993818</v>
      </c>
      <c r="AC124" s="581" t="n"/>
      <c r="AD124" s="304" t="n">
        <v>67798</v>
      </c>
      <c r="AE124" s="282" t="n">
        <v>0</v>
      </c>
      <c r="AF124" s="282" t="n">
        <v>0</v>
      </c>
      <c r="AG124" s="282" t="n">
        <v>0</v>
      </c>
      <c r="AH124" s="282" t="n">
        <v>0</v>
      </c>
      <c r="AI124" s="282" t="n"/>
      <c r="AJ124" s="282" t="n"/>
      <c r="AK124" s="690" t="n">
        <v>0</v>
      </c>
      <c r="AM124" s="690" t="n">
        <v>0</v>
      </c>
      <c r="AO124" s="56">
        <f>SUM(B113:B124)</f>
        <v/>
      </c>
      <c r="AP124" s="56" t="n"/>
      <c r="AQ124" s="56">
        <f>SUM(C124:Y124)</f>
        <v/>
      </c>
      <c r="AR124" s="56">
        <f>AM124+AD124</f>
        <v/>
      </c>
    </row>
    <row r="125">
      <c r="A125" s="280" t="n">
        <v>45383</v>
      </c>
      <c r="B125" s="282" t="n">
        <v>9041985</v>
      </c>
      <c r="C125" s="282" t="n">
        <v>3471953</v>
      </c>
      <c r="D125" s="282" t="n">
        <v>222022</v>
      </c>
      <c r="E125" s="282" t="n">
        <v>452750</v>
      </c>
      <c r="F125" s="282" t="n">
        <v>70170</v>
      </c>
      <c r="G125" s="282" t="n">
        <v>148209</v>
      </c>
      <c r="H125" s="282" t="n">
        <v>383286</v>
      </c>
      <c r="I125" s="282" t="n">
        <v>1608077</v>
      </c>
      <c r="J125" s="282" t="n">
        <v>248500</v>
      </c>
      <c r="K125" s="282" t="n">
        <v>48452</v>
      </c>
      <c r="L125" s="282" t="n">
        <v>116672</v>
      </c>
      <c r="M125" s="282" t="n">
        <v>0</v>
      </c>
      <c r="N125" s="282" t="n">
        <v>116582</v>
      </c>
      <c r="O125" s="282" t="n">
        <v>52517</v>
      </c>
      <c r="P125" s="282" t="n">
        <v>6798</v>
      </c>
      <c r="Q125" s="282" t="n">
        <v>68967</v>
      </c>
      <c r="R125" s="282" t="n"/>
      <c r="S125" s="282" t="n">
        <v>7974</v>
      </c>
      <c r="T125" s="282" t="n">
        <v>0</v>
      </c>
      <c r="U125" s="282" t="n">
        <v>66275</v>
      </c>
      <c r="V125" s="282" t="n">
        <v>273800</v>
      </c>
      <c r="W125" s="282" t="n">
        <v>163640</v>
      </c>
      <c r="X125" s="282" t="n">
        <v>674790</v>
      </c>
      <c r="Y125" s="282" t="n">
        <v>840552</v>
      </c>
      <c r="Z125" s="281" t="n">
        <v>399926</v>
      </c>
      <c r="AA125" s="281" t="n">
        <v>440626</v>
      </c>
      <c r="AB125" s="281" t="n">
        <v>1724659</v>
      </c>
      <c r="AC125" s="581" t="n"/>
      <c r="AD125" s="304" t="n">
        <v>94741</v>
      </c>
      <c r="AE125" s="282" t="n">
        <v>0</v>
      </c>
      <c r="AF125" s="282" t="n">
        <v>0</v>
      </c>
      <c r="AG125" s="282" t="n">
        <v>0</v>
      </c>
      <c r="AH125" s="282" t="n">
        <v>0</v>
      </c>
      <c r="AI125" s="282" t="n"/>
      <c r="AJ125" s="282" t="n"/>
      <c r="AK125" s="690" t="n">
        <v>0</v>
      </c>
      <c r="AM125" s="690" t="n">
        <v>0</v>
      </c>
      <c r="AO125" s="56">
        <f>SUM(B114:B125)</f>
        <v/>
      </c>
      <c r="AP125" s="56" t="n"/>
      <c r="AQ125" s="56">
        <f>SUM(C125:Y125)</f>
        <v/>
      </c>
      <c r="AR125" s="56">
        <f>AM125+AD125</f>
        <v/>
      </c>
    </row>
    <row r="126" ht="17" customHeight="1" thickBot="1">
      <c r="A126" s="280" t="n">
        <v>45413</v>
      </c>
      <c r="B126" s="282" t="n">
        <v>8421191</v>
      </c>
      <c r="C126" s="282" t="n">
        <v>3058697</v>
      </c>
      <c r="D126" s="282" t="n">
        <v>207943</v>
      </c>
      <c r="E126" s="282" t="n">
        <v>410970</v>
      </c>
      <c r="F126" s="282" t="n">
        <v>62210</v>
      </c>
      <c r="G126" s="282" t="n">
        <v>134017</v>
      </c>
      <c r="H126" s="282" t="n">
        <v>334772</v>
      </c>
      <c r="I126" s="282" t="n">
        <v>1626912</v>
      </c>
      <c r="J126" s="282" t="n">
        <v>231500</v>
      </c>
      <c r="K126" s="282" t="n">
        <v>42471</v>
      </c>
      <c r="L126" s="282" t="n">
        <v>113551</v>
      </c>
      <c r="M126" s="282" t="n">
        <v>0</v>
      </c>
      <c r="N126" s="282" t="n">
        <v>101590</v>
      </c>
      <c r="O126" s="282" t="n">
        <v>52658</v>
      </c>
      <c r="P126" s="282" t="n">
        <v>7342</v>
      </c>
      <c r="Q126" s="282" t="n">
        <v>56046</v>
      </c>
      <c r="R126" s="282" t="n"/>
      <c r="S126" s="282" t="n">
        <v>10102</v>
      </c>
      <c r="T126" s="282" t="n">
        <v>0</v>
      </c>
      <c r="U126" s="282" t="n">
        <v>66275</v>
      </c>
      <c r="V126" s="282" t="n">
        <v>278100</v>
      </c>
      <c r="W126" s="282" t="n">
        <v>144060</v>
      </c>
      <c r="X126" s="282" t="n">
        <v>712034</v>
      </c>
      <c r="Y126" s="282" t="n">
        <v>769941</v>
      </c>
      <c r="Z126" s="281" t="n">
        <v>380344</v>
      </c>
      <c r="AA126" s="281" t="n">
        <v>389597</v>
      </c>
      <c r="AB126" s="281" t="n">
        <v>1728502</v>
      </c>
      <c r="AC126" s="581" t="n"/>
      <c r="AD126" s="304" t="n">
        <v>107822</v>
      </c>
      <c r="AE126" s="282" t="n">
        <v>0</v>
      </c>
      <c r="AF126" s="282" t="n">
        <v>0</v>
      </c>
      <c r="AG126" s="282" t="n">
        <v>0</v>
      </c>
      <c r="AH126" s="282" t="n">
        <v>0</v>
      </c>
      <c r="AI126" s="282" t="n">
        <v>25801</v>
      </c>
      <c r="AJ126" s="282" t="n"/>
      <c r="AK126" s="690" t="n">
        <v>0</v>
      </c>
      <c r="AM126" s="690" t="n">
        <v>0</v>
      </c>
      <c r="AO126" s="56">
        <f>SUM(B115:B126)</f>
        <v/>
      </c>
      <c r="AP126" s="56" t="n"/>
      <c r="AQ126" s="56">
        <f>SUM(C126:Y126)</f>
        <v/>
      </c>
      <c r="AR126" s="56">
        <f>AM126+AD126</f>
        <v/>
      </c>
    </row>
    <row r="127" ht="17" customHeight="1" thickBot="1">
      <c r="A127" s="280" t="n">
        <v>45444</v>
      </c>
      <c r="B127" s="282" t="n">
        <v>8666283</v>
      </c>
      <c r="C127" s="282" t="n">
        <v>2717512</v>
      </c>
      <c r="D127" s="282" t="n">
        <v>214754</v>
      </c>
      <c r="E127" s="282" t="n">
        <v>396960</v>
      </c>
      <c r="F127" s="282" t="n">
        <v>57110</v>
      </c>
      <c r="G127" s="282" t="n">
        <v>127748</v>
      </c>
      <c r="H127" s="282" t="n">
        <v>329649</v>
      </c>
      <c r="I127" s="282" t="n">
        <v>2083326</v>
      </c>
      <c r="J127" s="282" t="n">
        <v>211700</v>
      </c>
      <c r="K127" s="282" t="n">
        <v>59734</v>
      </c>
      <c r="L127" s="282" t="n">
        <v>167321</v>
      </c>
      <c r="M127" s="282" t="n">
        <v>0</v>
      </c>
      <c r="N127" s="282" t="n">
        <v>166930</v>
      </c>
      <c r="O127" s="282" t="n">
        <v>44227</v>
      </c>
      <c r="P127" s="282" t="n">
        <v>8040</v>
      </c>
      <c r="Q127" s="282" t="n">
        <v>63275</v>
      </c>
      <c r="R127" s="282" t="n"/>
      <c r="S127" s="282" t="n">
        <v>10738</v>
      </c>
      <c r="T127" s="282" t="n">
        <v>0</v>
      </c>
      <c r="U127" s="282" t="n">
        <v>64137</v>
      </c>
      <c r="V127" s="282" t="n">
        <v>353300</v>
      </c>
      <c r="W127" s="282" t="n">
        <v>169890</v>
      </c>
      <c r="X127" s="282" t="n">
        <v>539097</v>
      </c>
      <c r="Y127" s="282" t="n">
        <v>880835</v>
      </c>
      <c r="Z127" s="281" t="n">
        <v>335002</v>
      </c>
      <c r="AA127" s="281" t="n">
        <v>545833</v>
      </c>
      <c r="AB127" s="281" t="n">
        <v>2250256</v>
      </c>
      <c r="AC127" s="581" t="n"/>
      <c r="AD127" s="304" t="n">
        <v>95744</v>
      </c>
      <c r="AE127" s="282" t="n">
        <v>0</v>
      </c>
      <c r="AF127" s="282" t="n">
        <v>0</v>
      </c>
      <c r="AG127" s="282" t="n">
        <v>0</v>
      </c>
      <c r="AH127" s="282" t="n">
        <v>0</v>
      </c>
      <c r="AI127" s="282" t="n">
        <v>13248</v>
      </c>
      <c r="AJ127" s="287" t="n">
        <v>318</v>
      </c>
      <c r="AK127" s="690" t="n">
        <v>0</v>
      </c>
      <c r="AM127" s="690" t="n">
        <v>0</v>
      </c>
      <c r="AO127" s="577">
        <f>SUM(B116:B127)</f>
        <v/>
      </c>
      <c r="AP127" s="578">
        <f>AK127+SUM(AD116:AD127)</f>
        <v/>
      </c>
      <c r="AQ127" s="56">
        <f>SUM(C127:Y127)</f>
        <v/>
      </c>
      <c r="AR127" s="56">
        <f>AM127+AD127</f>
        <v/>
      </c>
    </row>
    <row r="128">
      <c r="A128" s="280" t="n">
        <v>45474</v>
      </c>
      <c r="B128" s="282" t="n">
        <v>10350803</v>
      </c>
      <c r="C128" s="282" t="n">
        <v>3299350</v>
      </c>
      <c r="D128" s="282" t="n">
        <v>312619</v>
      </c>
      <c r="E128" s="282" t="n">
        <v>452350</v>
      </c>
      <c r="F128" s="282" t="n">
        <v>57810</v>
      </c>
      <c r="G128" s="282" t="n">
        <v>138033</v>
      </c>
      <c r="H128" s="282" t="n">
        <v>365868</v>
      </c>
      <c r="I128" s="282" t="n">
        <v>2536101</v>
      </c>
      <c r="J128" s="282" t="n">
        <v>242000</v>
      </c>
      <c r="K128" s="282" t="n">
        <v>49635</v>
      </c>
      <c r="L128" s="282" t="n">
        <v>148622</v>
      </c>
      <c r="M128" s="282" t="n">
        <v>0</v>
      </c>
      <c r="N128" s="282" t="n">
        <v>146460</v>
      </c>
      <c r="O128" s="282" t="n">
        <v>54600</v>
      </c>
      <c r="P128" s="282" t="n">
        <v>11806</v>
      </c>
      <c r="Q128" s="282" t="n">
        <v>75700</v>
      </c>
      <c r="R128" s="282" t="n"/>
      <c r="S128" s="282" t="n">
        <v>12602</v>
      </c>
      <c r="T128" s="282" t="n">
        <v>0</v>
      </c>
      <c r="U128" s="282" t="n">
        <v>66275</v>
      </c>
      <c r="V128" s="282" t="n">
        <v>407800</v>
      </c>
      <c r="W128" s="282" t="n">
        <v>212120</v>
      </c>
      <c r="X128" s="282" t="n">
        <v>696785</v>
      </c>
      <c r="Y128" s="282" t="n">
        <v>1064267</v>
      </c>
      <c r="Z128" s="282" t="n">
        <v>365544</v>
      </c>
      <c r="AA128" s="282" t="n">
        <v>698723</v>
      </c>
      <c r="AB128" s="282" t="n">
        <v>2682561</v>
      </c>
      <c r="AC128" s="582" t="n"/>
      <c r="AD128" s="282" t="n">
        <v>106600</v>
      </c>
      <c r="AE128" s="282" t="n">
        <v>69045</v>
      </c>
      <c r="AF128" s="282" t="n">
        <v>1329</v>
      </c>
      <c r="AG128" s="282" t="n">
        <v>0</v>
      </c>
      <c r="AH128" s="282" t="n">
        <v>0</v>
      </c>
      <c r="AI128" s="282" t="n">
        <v>11258</v>
      </c>
      <c r="AJ128" s="282" t="n">
        <v>7737</v>
      </c>
      <c r="AK128" s="690" t="n">
        <v>0</v>
      </c>
      <c r="AM128" s="690" t="n">
        <v>0</v>
      </c>
      <c r="AO128" s="56">
        <f>SUM(B117:B128)</f>
        <v/>
      </c>
      <c r="AP128" s="56" t="n"/>
      <c r="AQ128" s="56">
        <f>SUM(C128:Y128)</f>
        <v/>
      </c>
      <c r="AR128" s="56">
        <f>AM128+AD128</f>
        <v/>
      </c>
    </row>
    <row r="129">
      <c r="A129" s="280" t="n">
        <v>45505</v>
      </c>
      <c r="B129" s="282" t="n">
        <v>9800377</v>
      </c>
      <c r="C129" s="282" t="n">
        <v>3045342</v>
      </c>
      <c r="D129" s="282" t="n">
        <v>304855</v>
      </c>
      <c r="E129" s="282" t="n">
        <v>430560</v>
      </c>
      <c r="F129" s="282" t="n">
        <v>59070</v>
      </c>
      <c r="G129" s="282" t="n">
        <v>135560</v>
      </c>
      <c r="H129" s="282" t="n">
        <v>358699</v>
      </c>
      <c r="I129" s="282" t="n">
        <v>2339192</v>
      </c>
      <c r="J129" s="282" t="n">
        <v>245100</v>
      </c>
      <c r="K129" s="282" t="n">
        <v>56920</v>
      </c>
      <c r="L129" s="282" t="n">
        <v>181289</v>
      </c>
      <c r="M129" s="282" t="n">
        <v>0</v>
      </c>
      <c r="N129" s="282" t="n">
        <v>171979</v>
      </c>
      <c r="O129" s="282" t="n">
        <v>54131</v>
      </c>
      <c r="P129" s="282" t="n">
        <v>14358</v>
      </c>
      <c r="Q129" s="282" t="n">
        <v>66652</v>
      </c>
      <c r="R129" s="282" t="n"/>
      <c r="S129" s="282" t="n">
        <v>12862</v>
      </c>
      <c r="T129" s="282" t="n">
        <v>0</v>
      </c>
      <c r="U129" s="282" t="n">
        <v>66275</v>
      </c>
      <c r="V129" s="282" t="n">
        <v>395600</v>
      </c>
      <c r="W129" s="282" t="n">
        <v>180530</v>
      </c>
      <c r="X129" s="282" t="n">
        <v>656280</v>
      </c>
      <c r="Y129" s="282" t="n">
        <v>1025123</v>
      </c>
      <c r="Z129" s="282" t="n">
        <v>369772</v>
      </c>
      <c r="AA129" s="282" t="n">
        <v>655351</v>
      </c>
      <c r="AB129" s="282" t="n">
        <v>2511171</v>
      </c>
      <c r="AC129" s="582" t="n"/>
      <c r="AD129" s="282" t="n">
        <v>84306</v>
      </c>
      <c r="AE129" s="282" t="n">
        <v>69331</v>
      </c>
      <c r="AF129" s="282" t="n">
        <v>1335</v>
      </c>
      <c r="AG129" s="282" t="n">
        <v>0</v>
      </c>
      <c r="AH129" s="282" t="n">
        <v>0</v>
      </c>
      <c r="AI129" s="282" t="n">
        <v>8509</v>
      </c>
      <c r="AJ129" s="282" t="n">
        <v>17199</v>
      </c>
      <c r="AK129" s="690" t="n">
        <v>0</v>
      </c>
      <c r="AM129" s="690" t="n">
        <v>0</v>
      </c>
      <c r="AO129" s="56">
        <f>SUM(B118:B129)</f>
        <v/>
      </c>
      <c r="AP129" s="56" t="n"/>
      <c r="AQ129" s="56">
        <f>SUM(C129:Y129)</f>
        <v/>
      </c>
      <c r="AR129" s="56">
        <f>AM129+AD129</f>
        <v/>
      </c>
    </row>
    <row r="130">
      <c r="A130" s="280" t="n">
        <v>45536</v>
      </c>
      <c r="B130" s="282" t="n">
        <v>10205357</v>
      </c>
      <c r="C130" s="282">
        <f>B130-SUM(D130:Y130)</f>
        <v/>
      </c>
      <c r="D130" s="282" t="n">
        <v>339702</v>
      </c>
      <c r="E130" s="282" t="n">
        <v>411230</v>
      </c>
      <c r="F130" s="282" t="n">
        <v>59690</v>
      </c>
      <c r="G130" s="282" t="n">
        <v>133432</v>
      </c>
      <c r="H130" s="282" t="n">
        <v>360327</v>
      </c>
      <c r="I130" s="282" t="n">
        <v>2259366</v>
      </c>
      <c r="J130" s="282" t="n">
        <v>247100</v>
      </c>
      <c r="K130" s="282" t="n">
        <v>52628</v>
      </c>
      <c r="L130" s="282" t="n">
        <v>163882</v>
      </c>
      <c r="M130" s="282" t="n">
        <v>0</v>
      </c>
      <c r="N130" s="282" t="n">
        <v>166126</v>
      </c>
      <c r="O130" s="282" t="n">
        <v>50830</v>
      </c>
      <c r="P130" s="282" t="n">
        <v>11481</v>
      </c>
      <c r="Q130" s="282" t="n">
        <v>70316</v>
      </c>
      <c r="R130" s="282" t="n"/>
      <c r="S130" s="282" t="n">
        <v>15342</v>
      </c>
      <c r="T130" s="282" t="n">
        <v>0</v>
      </c>
      <c r="U130" s="282" t="n">
        <v>77142</v>
      </c>
      <c r="V130" s="282" t="n">
        <v>395100</v>
      </c>
      <c r="W130" s="282" t="n">
        <v>199630</v>
      </c>
      <c r="X130" s="282" t="n">
        <v>847948</v>
      </c>
      <c r="Y130" s="282" t="n">
        <v>1057385</v>
      </c>
      <c r="Z130" s="282" t="n">
        <v>418704</v>
      </c>
      <c r="AA130" s="282" t="n">
        <v>638681</v>
      </c>
      <c r="AB130" s="282" t="n">
        <v>2425492</v>
      </c>
      <c r="AC130" s="582" t="n"/>
      <c r="AD130" s="282" t="n">
        <v>117909</v>
      </c>
      <c r="AE130" s="282" t="n">
        <v>92614</v>
      </c>
      <c r="AF130" s="282" t="n">
        <v>1782</v>
      </c>
      <c r="AG130" s="282" t="n">
        <v>0</v>
      </c>
      <c r="AH130" s="282" t="n">
        <v>0</v>
      </c>
      <c r="AI130" s="282" t="n">
        <v>9978</v>
      </c>
      <c r="AJ130" s="282" t="n">
        <v>13862</v>
      </c>
      <c r="AK130" s="690" t="n">
        <v>0</v>
      </c>
      <c r="AM130" s="690" t="n">
        <v>0</v>
      </c>
      <c r="AO130" s="56">
        <f>SUM(B119:B130)</f>
        <v/>
      </c>
      <c r="AP130" s="56" t="n"/>
      <c r="AQ130" s="56">
        <f>SUM(C130:Y130)</f>
        <v/>
      </c>
      <c r="AR130" s="56">
        <f>AM130+AD130</f>
        <v/>
      </c>
    </row>
    <row r="131">
      <c r="A131" s="280" t="n">
        <v>45566</v>
      </c>
      <c r="B131" s="282" t="n">
        <v>8850727</v>
      </c>
      <c r="C131" s="282" t="n">
        <v>3180284</v>
      </c>
      <c r="D131" s="282" t="n">
        <v>351255</v>
      </c>
      <c r="E131" s="282" t="n">
        <v>410000</v>
      </c>
      <c r="F131" s="282" t="n">
        <v>58020</v>
      </c>
      <c r="G131" s="282" t="n">
        <v>124872</v>
      </c>
      <c r="H131" s="282" t="n">
        <v>358234</v>
      </c>
      <c r="I131" s="282" t="n">
        <v>1681166</v>
      </c>
      <c r="J131" s="282" t="n">
        <v>251900</v>
      </c>
      <c r="K131" s="282" t="n">
        <v>45340</v>
      </c>
      <c r="L131" s="282" t="n">
        <v>117930</v>
      </c>
      <c r="M131" s="282" t="n">
        <v>0</v>
      </c>
      <c r="N131" s="282" t="n">
        <v>120288</v>
      </c>
      <c r="O131" s="282" t="n">
        <v>41251</v>
      </c>
      <c r="P131" s="282" t="n">
        <v>8886</v>
      </c>
      <c r="Q131" s="282" t="n">
        <v>57947</v>
      </c>
      <c r="R131" s="282" t="n"/>
      <c r="S131" s="282" t="n">
        <v>12002</v>
      </c>
      <c r="T131" s="282" t="n">
        <v>0</v>
      </c>
      <c r="U131" s="282" t="n">
        <v>77913</v>
      </c>
      <c r="V131" s="282" t="n">
        <v>290300</v>
      </c>
      <c r="W131" s="282" t="n">
        <v>125116</v>
      </c>
      <c r="X131" s="282" t="n">
        <v>702498</v>
      </c>
      <c r="Y131" s="282" t="n">
        <v>835525</v>
      </c>
      <c r="Z131" s="282" t="n">
        <v>413057</v>
      </c>
      <c r="AA131" s="282" t="n">
        <v>422468</v>
      </c>
      <c r="AB131" s="282" t="n">
        <v>1801454</v>
      </c>
      <c r="AC131" s="582" t="n"/>
      <c r="AD131" s="282" t="n">
        <v>130326</v>
      </c>
      <c r="AE131" s="282" t="n">
        <v>113338</v>
      </c>
      <c r="AF131" s="282" t="n">
        <v>2182</v>
      </c>
      <c r="AG131" s="282" t="n">
        <v>0</v>
      </c>
      <c r="AH131" s="282" t="n">
        <v>0</v>
      </c>
      <c r="AI131" s="282" t="n">
        <v>10622</v>
      </c>
      <c r="AJ131" s="282" t="n">
        <v>23633</v>
      </c>
      <c r="AK131" s="690" t="n">
        <v>0</v>
      </c>
      <c r="AM131" s="690" t="n">
        <v>0</v>
      </c>
      <c r="AO131" s="56">
        <f>SUM(B120:B131)</f>
        <v/>
      </c>
      <c r="AP131" s="56" t="n"/>
      <c r="AQ131" s="56">
        <f>SUM(C131:Y131)</f>
        <v/>
      </c>
      <c r="AR131" s="56">
        <f>AM131+AD131</f>
        <v/>
      </c>
    </row>
    <row r="132">
      <c r="A132" s="280" t="n">
        <v>45597</v>
      </c>
      <c r="B132" s="282" t="n">
        <v>8264525</v>
      </c>
      <c r="C132" s="282" t="n">
        <v>3359311</v>
      </c>
      <c r="D132" s="282" t="n">
        <v>514384</v>
      </c>
      <c r="E132" s="282" t="n">
        <v>386500</v>
      </c>
      <c r="F132" s="282" t="n">
        <v>60720</v>
      </c>
      <c r="G132" s="282" t="n">
        <v>119609</v>
      </c>
      <c r="H132" s="282" t="n">
        <v>328006</v>
      </c>
      <c r="I132" s="282" t="n">
        <v>1208974</v>
      </c>
      <c r="J132" s="282" t="n">
        <v>241600</v>
      </c>
      <c r="K132" s="282" t="n">
        <v>54146</v>
      </c>
      <c r="L132" s="282" t="n">
        <v>116907</v>
      </c>
      <c r="M132" s="282" t="n">
        <v>0</v>
      </c>
      <c r="N132" s="282" t="n">
        <v>108966</v>
      </c>
      <c r="O132" s="282" t="n">
        <v>51180</v>
      </c>
      <c r="P132" s="282" t="n">
        <v>6866</v>
      </c>
      <c r="Q132" s="282" t="n">
        <v>46415</v>
      </c>
      <c r="R132" s="282" t="n"/>
      <c r="S132" s="282" t="n">
        <v>5447</v>
      </c>
      <c r="T132" s="282" t="n">
        <v>0</v>
      </c>
      <c r="U132" s="282" t="n">
        <v>77142</v>
      </c>
      <c r="V132" s="282" t="n">
        <v>201885</v>
      </c>
      <c r="W132" s="282" t="n">
        <v>128564</v>
      </c>
      <c r="X132" s="282" t="n">
        <v>551175</v>
      </c>
      <c r="Y132" s="282" t="n">
        <v>696728</v>
      </c>
      <c r="Z132" s="282" t="n">
        <v>402470</v>
      </c>
      <c r="AA132" s="282" t="n">
        <v>294258</v>
      </c>
      <c r="AB132" s="282" t="n">
        <v>1317940</v>
      </c>
      <c r="AC132" s="582" t="n"/>
      <c r="AD132" s="282" t="n">
        <v>91888</v>
      </c>
      <c r="AE132" s="282" t="n">
        <v>249206</v>
      </c>
      <c r="AF132" s="282" t="n">
        <v>4797</v>
      </c>
      <c r="AG132" s="282" t="n">
        <v>0</v>
      </c>
      <c r="AH132" s="282" t="n">
        <v>0</v>
      </c>
      <c r="AI132" s="282" t="n">
        <v>9756</v>
      </c>
      <c r="AJ132" s="282" t="n">
        <v>23715</v>
      </c>
      <c r="AK132" s="690" t="n">
        <v>0</v>
      </c>
      <c r="AM132" s="690" t="n">
        <v>0</v>
      </c>
      <c r="AO132" s="56">
        <f>SUM(B121:B132)</f>
        <v/>
      </c>
      <c r="AP132" s="56" t="n"/>
      <c r="AQ132" s="56">
        <f>SUM(C132:Y132)</f>
        <v/>
      </c>
      <c r="AR132" s="56">
        <f>AM132+AD132</f>
        <v/>
      </c>
    </row>
    <row r="133">
      <c r="A133" s="280" t="n">
        <v>45627</v>
      </c>
      <c r="B133" s="282" t="n">
        <v>7242946</v>
      </c>
      <c r="C133" s="282" t="n">
        <v>3126953</v>
      </c>
      <c r="D133" s="282" t="n">
        <v>486932</v>
      </c>
      <c r="E133" s="282" t="n">
        <v>439800</v>
      </c>
      <c r="F133" s="282" t="n">
        <v>62370</v>
      </c>
      <c r="G133" s="282" t="n">
        <v>182418</v>
      </c>
      <c r="H133" s="282" t="n">
        <v>343029</v>
      </c>
      <c r="I133" s="282" t="n">
        <v>668561</v>
      </c>
      <c r="J133" s="282" t="n">
        <v>261300</v>
      </c>
      <c r="K133" s="282" t="n">
        <v>39693</v>
      </c>
      <c r="L133" s="282" t="n">
        <v>75231</v>
      </c>
      <c r="M133" s="282" t="n">
        <v>0</v>
      </c>
      <c r="N133" s="282" t="n">
        <v>47641</v>
      </c>
      <c r="O133" s="282" t="n">
        <v>31724</v>
      </c>
      <c r="P133" s="282" t="n">
        <v>6181</v>
      </c>
      <c r="Q133" s="282" t="n">
        <v>43619</v>
      </c>
      <c r="R133" s="282" t="n"/>
      <c r="S133" s="282" t="n">
        <v>9029</v>
      </c>
      <c r="T133" s="282" t="n">
        <v>37973</v>
      </c>
      <c r="U133" s="282" t="n">
        <v>77913</v>
      </c>
      <c r="V133" s="282" t="n">
        <v>150315</v>
      </c>
      <c r="W133" s="282" t="n">
        <v>110500</v>
      </c>
      <c r="X133" s="282" t="n">
        <v>406820</v>
      </c>
      <c r="Y133" s="282" t="n">
        <v>634944</v>
      </c>
      <c r="Z133" s="282" t="n">
        <v>386220</v>
      </c>
      <c r="AA133" s="282" t="n">
        <v>248724</v>
      </c>
      <c r="AB133" s="282" t="n">
        <v>716202</v>
      </c>
      <c r="AC133" s="582" t="n"/>
      <c r="AD133" s="282" t="n">
        <v>61467</v>
      </c>
      <c r="AE133" s="282" t="n">
        <v>266004</v>
      </c>
      <c r="AF133" s="282" t="n">
        <v>5120</v>
      </c>
      <c r="AG133" s="282" t="n">
        <v>0</v>
      </c>
      <c r="AH133" s="282" t="n">
        <v>0</v>
      </c>
      <c r="AI133" s="282" t="n">
        <v>9486</v>
      </c>
      <c r="AJ133" s="282" t="n">
        <v>14599</v>
      </c>
      <c r="AK133" s="690" t="n">
        <v>0</v>
      </c>
      <c r="AM133" s="690" t="n">
        <v>0</v>
      </c>
      <c r="AO133" s="56">
        <f>SUM(B122:B133)</f>
        <v/>
      </c>
      <c r="AP133" s="56" t="n"/>
      <c r="AQ133" s="56">
        <f>SUM(C133:Y133)</f>
        <v/>
      </c>
      <c r="AR133" s="56">
        <f>AM133+AD133</f>
        <v/>
      </c>
    </row>
    <row r="134">
      <c r="A134" s="274" t="n">
        <v>45658</v>
      </c>
      <c r="B134" s="276" t="n">
        <v>6471482</v>
      </c>
      <c r="C134" s="276" t="n">
        <v>2967005</v>
      </c>
      <c r="D134" s="276" t="n">
        <v>447376</v>
      </c>
      <c r="E134" s="276" t="n">
        <v>373437</v>
      </c>
      <c r="F134" s="276" t="n">
        <v>49109</v>
      </c>
      <c r="G134" s="276" t="n">
        <v>166280</v>
      </c>
      <c r="H134" s="276" t="n">
        <v>280003</v>
      </c>
      <c r="I134" s="276" t="n">
        <v>529555</v>
      </c>
      <c r="J134" s="276" t="n">
        <v>214600</v>
      </c>
      <c r="K134" s="276" t="n">
        <v>47528</v>
      </c>
      <c r="L134" s="276" t="n">
        <v>83004</v>
      </c>
      <c r="M134" s="276" t="n">
        <v>0</v>
      </c>
      <c r="N134" s="276" t="n">
        <v>51613</v>
      </c>
      <c r="O134" s="276" t="n">
        <v>29551</v>
      </c>
      <c r="P134" s="276" t="n">
        <v>4790</v>
      </c>
      <c r="Q134" s="276" t="n">
        <v>36317</v>
      </c>
      <c r="R134" s="276" t="n"/>
      <c r="S134" s="276" t="n">
        <v>10237</v>
      </c>
      <c r="T134" s="276" t="n">
        <v>28831</v>
      </c>
      <c r="U134" s="276" t="n">
        <v>77913</v>
      </c>
      <c r="V134" s="276" t="n">
        <v>151700</v>
      </c>
      <c r="W134" s="276" t="n">
        <v>83133</v>
      </c>
      <c r="X134" s="276" t="n">
        <v>259167</v>
      </c>
      <c r="Y134" s="276" t="n">
        <v>580333</v>
      </c>
      <c r="Z134" s="276" t="n">
        <v>369287</v>
      </c>
      <c r="AA134" s="276" t="n">
        <v>211046</v>
      </c>
      <c r="AB134" s="276" t="n">
        <v>581168</v>
      </c>
      <c r="AC134" s="582" t="n"/>
      <c r="AD134" s="276" t="n">
        <v>40980</v>
      </c>
      <c r="AE134" s="276" t="n">
        <v>225898</v>
      </c>
      <c r="AF134" s="276" t="n">
        <v>4348</v>
      </c>
      <c r="AG134" s="276" t="n">
        <v>0</v>
      </c>
      <c r="AH134" s="276" t="n">
        <v>0</v>
      </c>
      <c r="AI134" s="276" t="n">
        <v>9050</v>
      </c>
      <c r="AJ134" s="276" t="n">
        <v>24617</v>
      </c>
      <c r="AK134" s="687" t="n">
        <v>0</v>
      </c>
      <c r="AM134" s="687" t="n">
        <v>0</v>
      </c>
      <c r="AO134" s="56">
        <f>SUM(B123:B134)</f>
        <v/>
      </c>
      <c r="AQ134" s="56">
        <f>SUM(C134:Y134)</f>
        <v/>
      </c>
      <c r="AR134" s="56">
        <f>AM134+AD134</f>
        <v/>
      </c>
    </row>
    <row r="135">
      <c r="A135" s="274" t="n">
        <v>45689</v>
      </c>
      <c r="B135" s="276" t="n">
        <v>7133252</v>
      </c>
      <c r="C135" s="276" t="n">
        <v>3122532</v>
      </c>
      <c r="D135" s="276" t="n">
        <v>514438</v>
      </c>
      <c r="E135" s="276" t="n">
        <v>416863</v>
      </c>
      <c r="F135" s="276" t="n">
        <v>58261</v>
      </c>
      <c r="G135" s="276" t="n">
        <v>195405</v>
      </c>
      <c r="H135" s="276" t="n">
        <v>334235</v>
      </c>
      <c r="I135" s="276" t="n">
        <v>522670</v>
      </c>
      <c r="J135" s="276" t="n">
        <v>253800</v>
      </c>
      <c r="K135" s="276" t="n">
        <v>46126</v>
      </c>
      <c r="L135" s="276" t="n">
        <v>79071</v>
      </c>
      <c r="M135" s="276" t="n">
        <v>0</v>
      </c>
      <c r="N135" s="276" t="n">
        <v>48514</v>
      </c>
      <c r="O135" s="276" t="n">
        <v>32530</v>
      </c>
      <c r="P135" s="276" t="n">
        <v>6009</v>
      </c>
      <c r="Q135" s="276" t="n">
        <v>41318</v>
      </c>
      <c r="R135" s="276" t="n"/>
      <c r="S135" s="276" t="n">
        <v>10191</v>
      </c>
      <c r="T135" s="276" t="n">
        <v>37593</v>
      </c>
      <c r="U135" s="276" t="n">
        <v>71999</v>
      </c>
      <c r="V135" s="276" t="n">
        <v>115200</v>
      </c>
      <c r="W135" s="276" t="n">
        <v>111997</v>
      </c>
      <c r="X135" s="276" t="n">
        <v>436049</v>
      </c>
      <c r="Y135" s="276" t="n">
        <v>678452</v>
      </c>
      <c r="Z135" s="276" t="n">
        <v>387630</v>
      </c>
      <c r="AA135" s="276" t="n">
        <v>290822</v>
      </c>
      <c r="AB135" s="276" t="n">
        <v>571184</v>
      </c>
      <c r="AC135" s="582" t="n"/>
      <c r="AD135" s="276" t="n">
        <v>57424</v>
      </c>
      <c r="AE135" s="276" t="n">
        <v>263978</v>
      </c>
      <c r="AF135" s="276" t="n">
        <v>5081</v>
      </c>
      <c r="AG135" s="276" t="n">
        <v>0</v>
      </c>
      <c r="AH135" s="276" t="n">
        <v>0</v>
      </c>
      <c r="AI135" s="276" t="n">
        <v>9360</v>
      </c>
      <c r="AJ135" s="276" t="n">
        <v>15192</v>
      </c>
      <c r="AK135" s="687" t="n">
        <v>0</v>
      </c>
      <c r="AM135" s="687" t="n">
        <v>0</v>
      </c>
      <c r="AO135" s="56">
        <f>SUM(B124:B135)</f>
        <v/>
      </c>
      <c r="AQ135" s="56">
        <f>SUM(C135:Y135)</f>
        <v/>
      </c>
      <c r="AR135" s="56">
        <f>AM135+AD135</f>
        <v/>
      </c>
      <c r="AV135" s="56" t="n"/>
    </row>
    <row r="136">
      <c r="A136" s="274" t="n">
        <v>45717</v>
      </c>
      <c r="B136" s="276" t="n">
        <v>7022454</v>
      </c>
      <c r="C136" s="276" t="n">
        <v>2858148</v>
      </c>
      <c r="D136" s="276" t="n">
        <v>472737</v>
      </c>
      <c r="E136" s="276" t="n">
        <v>380900</v>
      </c>
      <c r="F136" s="276" t="n">
        <v>50890</v>
      </c>
      <c r="G136" s="276" t="n">
        <v>149557</v>
      </c>
      <c r="H136" s="276" t="n">
        <v>316702</v>
      </c>
      <c r="I136" s="276" t="n">
        <v>869960</v>
      </c>
      <c r="J136" s="276" t="n">
        <v>224600</v>
      </c>
      <c r="K136" s="276" t="n">
        <v>44236</v>
      </c>
      <c r="L136" s="276" t="n">
        <v>76787</v>
      </c>
      <c r="M136" s="276" t="n">
        <v>0</v>
      </c>
      <c r="N136" s="276" t="n">
        <v>66365</v>
      </c>
      <c r="O136" s="276" t="n">
        <v>30925</v>
      </c>
      <c r="P136" s="276" t="n">
        <v>5523</v>
      </c>
      <c r="Q136" s="276" t="n">
        <v>42001</v>
      </c>
      <c r="R136" s="276" t="n"/>
      <c r="S136" s="276" t="n">
        <v>5290</v>
      </c>
      <c r="T136" s="276" t="n">
        <v>21570</v>
      </c>
      <c r="U136" s="276" t="n">
        <v>77142</v>
      </c>
      <c r="V136" s="276" t="n">
        <v>185800</v>
      </c>
      <c r="W136" s="276" t="n">
        <v>102130</v>
      </c>
      <c r="X136" s="276" t="n">
        <v>403183</v>
      </c>
      <c r="Y136" s="276" t="n">
        <v>638008</v>
      </c>
      <c r="Z136" s="276" t="n">
        <v>377349</v>
      </c>
      <c r="AA136" s="276" t="n">
        <v>260659</v>
      </c>
      <c r="AB136" s="276" t="n">
        <v>936325</v>
      </c>
      <c r="AC136" s="582" t="n"/>
      <c r="AD136" s="276" t="n">
        <v>65639</v>
      </c>
      <c r="AE136" s="276" t="n">
        <v>245438</v>
      </c>
      <c r="AF136" s="276" t="n">
        <v>4724</v>
      </c>
      <c r="AG136" s="276" t="n">
        <v>0</v>
      </c>
      <c r="AH136" s="276" t="n">
        <v>0</v>
      </c>
      <c r="AI136" s="276" t="n">
        <v>11946</v>
      </c>
      <c r="AJ136" s="276" t="n">
        <v>23174</v>
      </c>
      <c r="AK136" s="687" t="n">
        <v>0</v>
      </c>
      <c r="AM136" s="687" t="n">
        <v>0</v>
      </c>
      <c r="AO136" s="56">
        <f>SUM(B125:B136)</f>
        <v/>
      </c>
      <c r="AQ136" s="56">
        <f>SUM(C136:Y136)</f>
        <v/>
      </c>
      <c r="AR136" s="56">
        <f>AM136+AD136</f>
        <v/>
      </c>
    </row>
    <row r="137">
      <c r="A137" s="274" t="n">
        <v>45748</v>
      </c>
      <c r="B137" s="276" t="n">
        <v>8751020</v>
      </c>
      <c r="C137" s="276" t="n">
        <v>3603466.9</v>
      </c>
      <c r="D137" s="276" t="n">
        <v>558983</v>
      </c>
      <c r="E137" s="276" t="n">
        <v>428000</v>
      </c>
      <c r="F137" s="276" t="n">
        <v>60460</v>
      </c>
      <c r="G137" s="276" t="n">
        <v>150720</v>
      </c>
      <c r="H137" s="276" t="n">
        <v>359483</v>
      </c>
      <c r="I137" s="276" t="n">
        <v>1232583</v>
      </c>
      <c r="J137" s="276" t="n">
        <v>256600</v>
      </c>
      <c r="K137" s="276" t="n">
        <v>46949</v>
      </c>
      <c r="L137" s="276" t="n">
        <v>86079.10000000001</v>
      </c>
      <c r="M137" s="276" t="n">
        <v>0</v>
      </c>
      <c r="N137" s="276" t="n">
        <v>81173</v>
      </c>
      <c r="O137" s="276" t="n">
        <v>36400</v>
      </c>
      <c r="P137" s="276" t="n">
        <v>6874</v>
      </c>
      <c r="Q137" s="276" t="n">
        <v>54833</v>
      </c>
      <c r="R137" s="276" t="n"/>
      <c r="S137" s="276" t="n">
        <v>14747</v>
      </c>
      <c r="T137" s="276" t="n">
        <v>21570</v>
      </c>
      <c r="U137" s="276" t="n">
        <v>79713</v>
      </c>
      <c r="V137" s="276" t="n">
        <v>221400</v>
      </c>
      <c r="W137" s="276" t="n">
        <v>131620</v>
      </c>
      <c r="X137" s="276" t="n">
        <v>544718</v>
      </c>
      <c r="Y137" s="276" t="n">
        <v>774648</v>
      </c>
      <c r="Z137" s="276" t="n">
        <v>427060</v>
      </c>
      <c r="AA137" s="276" t="n">
        <v>347588</v>
      </c>
      <c r="AB137" s="276" t="n">
        <v>1313756</v>
      </c>
      <c r="AC137" s="582" t="n"/>
      <c r="AD137" s="276" t="n">
        <v>75910</v>
      </c>
      <c r="AE137" s="276" t="n">
        <v>293058</v>
      </c>
      <c r="AF137" s="276" t="n">
        <v>5641</v>
      </c>
      <c r="AG137" s="276" t="n">
        <v>0</v>
      </c>
      <c r="AH137" s="276" t="n">
        <v>0</v>
      </c>
      <c r="AI137" s="276" t="n">
        <v>11196.33</v>
      </c>
      <c r="AJ137" s="276" t="n">
        <v>28426.29</v>
      </c>
      <c r="AK137" s="687" t="n">
        <v>0</v>
      </c>
      <c r="AM137" s="687" t="n">
        <v>0</v>
      </c>
      <c r="AO137" s="56">
        <f>SUM(B126:B137)</f>
        <v/>
      </c>
      <c r="AQ137" s="56">
        <f>SUM(C137:Y137)</f>
        <v/>
      </c>
      <c r="AR137" s="56">
        <f>AM137+AD137</f>
        <v/>
      </c>
    </row>
    <row r="138" ht="17" customHeight="1" thickBot="1">
      <c r="A138" s="274" t="n">
        <v>45778</v>
      </c>
      <c r="B138" s="276" t="n">
        <v>9287018</v>
      </c>
      <c r="C138" s="276" t="n">
        <v>3041240</v>
      </c>
      <c r="D138" s="276" t="n">
        <v>520090</v>
      </c>
      <c r="E138" s="276" t="n">
        <v>398200</v>
      </c>
      <c r="F138" s="276" t="n">
        <v>61220</v>
      </c>
      <c r="G138" s="276" t="n">
        <v>133326</v>
      </c>
      <c r="H138" s="276" t="n">
        <v>366216</v>
      </c>
      <c r="I138" s="276" t="n">
        <v>1887473</v>
      </c>
      <c r="J138" s="276" t="n">
        <v>234700</v>
      </c>
      <c r="K138" s="276" t="n">
        <v>57670</v>
      </c>
      <c r="L138" s="276" t="n">
        <v>128987</v>
      </c>
      <c r="M138" s="276" t="n">
        <v>0</v>
      </c>
      <c r="N138" s="276" t="n">
        <v>145549</v>
      </c>
      <c r="O138" s="276" t="n">
        <v>48118</v>
      </c>
      <c r="P138" s="276" t="n">
        <v>10224</v>
      </c>
      <c r="Q138" s="276" t="n">
        <v>56468</v>
      </c>
      <c r="R138" s="276" t="n"/>
      <c r="S138" s="276" t="n">
        <v>35670</v>
      </c>
      <c r="T138" s="276" t="n">
        <v>22289</v>
      </c>
      <c r="U138" s="276" t="n">
        <v>79713</v>
      </c>
      <c r="V138" s="276" t="n">
        <v>307200</v>
      </c>
      <c r="W138" s="276" t="n">
        <v>159170</v>
      </c>
      <c r="X138" s="276" t="n">
        <v>723374</v>
      </c>
      <c r="Y138" s="276" t="n">
        <v>870121</v>
      </c>
      <c r="Z138" s="276" t="n">
        <v>404853</v>
      </c>
      <c r="AA138" s="276" t="n">
        <v>465268</v>
      </c>
      <c r="AB138" s="276" t="n">
        <v>2033022</v>
      </c>
      <c r="AC138" s="582" t="n"/>
      <c r="AD138" s="276" t="n">
        <v>107059</v>
      </c>
      <c r="AE138" s="276" t="n">
        <v>283112</v>
      </c>
      <c r="AF138" s="276" t="n">
        <v>5449</v>
      </c>
      <c r="AG138" s="276" t="n">
        <v>0</v>
      </c>
      <c r="AH138" s="276" t="n">
        <v>0</v>
      </c>
      <c r="AI138" s="276" t="n">
        <v>14241.92</v>
      </c>
      <c r="AJ138" s="693" t="n">
        <v>5518</v>
      </c>
      <c r="AK138" s="687" t="n">
        <v>0</v>
      </c>
      <c r="AM138" s="687" t="n">
        <v>0</v>
      </c>
      <c r="AO138" s="56">
        <f>SUM(B127:B138)</f>
        <v/>
      </c>
      <c r="AQ138" s="56">
        <f>SUM(C138:Y138)</f>
        <v/>
      </c>
      <c r="AR138" s="56">
        <f>AM138+AD138</f>
        <v/>
      </c>
    </row>
    <row r="139" ht="17" customHeight="1" thickBot="1">
      <c r="A139" s="274" t="n">
        <v>45809</v>
      </c>
      <c r="B139" s="276" t="n">
        <v>10004035</v>
      </c>
      <c r="C139" s="276" t="n">
        <v>3282572</v>
      </c>
      <c r="D139" s="276" t="n">
        <v>540933</v>
      </c>
      <c r="E139" s="276" t="n">
        <v>403500</v>
      </c>
      <c r="F139" s="276" t="n">
        <v>59310</v>
      </c>
      <c r="G139" s="276" t="n">
        <v>132324</v>
      </c>
      <c r="H139" s="276" t="n">
        <v>369127</v>
      </c>
      <c r="I139" s="276" t="n">
        <v>2251997</v>
      </c>
      <c r="J139" s="276" t="n">
        <v>231300</v>
      </c>
      <c r="K139" s="276" t="n">
        <v>56296</v>
      </c>
      <c r="L139" s="276" t="n">
        <v>128696</v>
      </c>
      <c r="M139" s="276" t="n">
        <v>0</v>
      </c>
      <c r="N139" s="276" t="n">
        <v>189802</v>
      </c>
      <c r="O139" s="276" t="n">
        <v>51217</v>
      </c>
      <c r="P139" s="276" t="n">
        <v>11935</v>
      </c>
      <c r="Q139" s="276" t="n">
        <v>68453</v>
      </c>
      <c r="R139" s="276" t="n"/>
      <c r="S139" s="276" t="n">
        <v>36406</v>
      </c>
      <c r="T139" s="276" t="n">
        <v>21570</v>
      </c>
      <c r="U139" s="276" t="n">
        <v>77142</v>
      </c>
      <c r="V139" s="276" t="n">
        <v>347000</v>
      </c>
      <c r="W139" s="276" t="n">
        <v>191950</v>
      </c>
      <c r="X139" s="276" t="n">
        <v>591496</v>
      </c>
      <c r="Y139" s="276" t="n">
        <v>961009</v>
      </c>
      <c r="Z139" s="276" t="n">
        <v>375997</v>
      </c>
      <c r="AA139" s="276" t="n">
        <v>585012</v>
      </c>
      <c r="AB139" s="276" t="n">
        <v>2441799</v>
      </c>
      <c r="AC139" s="582" t="n"/>
      <c r="AD139" s="276" t="n">
        <v>96095</v>
      </c>
      <c r="AE139" s="276" t="n">
        <v>302479</v>
      </c>
      <c r="AF139" s="276" t="n">
        <v>5822</v>
      </c>
      <c r="AG139" s="276" t="n">
        <v>0</v>
      </c>
      <c r="AH139" s="276" t="n">
        <v>0</v>
      </c>
      <c r="AI139" s="276" t="n">
        <v>14634.33</v>
      </c>
      <c r="AJ139" s="694" t="n">
        <v>41355</v>
      </c>
      <c r="AK139" s="687" t="n">
        <v>0</v>
      </c>
      <c r="AM139" s="687" t="n">
        <v>0</v>
      </c>
      <c r="AO139" s="577">
        <f>SUM(B128:B139)</f>
        <v/>
      </c>
      <c r="AP139" s="578">
        <f>AK139+SUM(AD128:AD139)</f>
        <v/>
      </c>
      <c r="AQ139" s="56">
        <f>SUM(C139:Y139)</f>
        <v/>
      </c>
      <c r="AR139" s="56">
        <f>AM139+AD139</f>
        <v/>
      </c>
    </row>
    <row r="140">
      <c r="A140" s="274" t="n">
        <v>45839</v>
      </c>
      <c r="B140" s="276" t="n">
        <v>10192458</v>
      </c>
      <c r="C140" s="276" t="n">
        <v>2999218</v>
      </c>
      <c r="D140" s="276" t="n">
        <v>534109</v>
      </c>
      <c r="E140" s="276" t="n">
        <v>413100</v>
      </c>
      <c r="F140" s="276" t="n">
        <v>66640</v>
      </c>
      <c r="G140" s="276" t="n">
        <v>125053</v>
      </c>
      <c r="H140" s="276" t="n">
        <v>357034</v>
      </c>
      <c r="I140" s="276" t="n">
        <v>2504159</v>
      </c>
      <c r="J140" s="276" t="n">
        <v>221700</v>
      </c>
      <c r="K140" s="276" t="n">
        <v>68672</v>
      </c>
      <c r="L140" s="276" t="n">
        <v>145108</v>
      </c>
      <c r="M140" s="276" t="n">
        <v>0</v>
      </c>
      <c r="N140" s="276" t="n">
        <v>265504</v>
      </c>
      <c r="O140" s="276" t="n">
        <v>56223</v>
      </c>
      <c r="P140" s="276" t="n">
        <v>15162</v>
      </c>
      <c r="Q140" s="276" t="n">
        <v>69381</v>
      </c>
      <c r="R140" s="276" t="n"/>
      <c r="S140" s="276" t="n">
        <v>29939</v>
      </c>
      <c r="T140" s="276" t="n">
        <v>22289</v>
      </c>
      <c r="U140" s="276" t="n">
        <v>79713</v>
      </c>
      <c r="V140" s="276" t="n">
        <v>387200</v>
      </c>
      <c r="W140" s="276" t="n">
        <v>197380</v>
      </c>
      <c r="X140" s="276" t="n">
        <v>655026</v>
      </c>
      <c r="Y140" s="276" t="n">
        <v>979848</v>
      </c>
      <c r="Z140" s="276" t="n">
        <v>362265</v>
      </c>
      <c r="AA140" s="276" t="n">
        <v>617583</v>
      </c>
      <c r="AB140" s="276" t="n">
        <v>2769663</v>
      </c>
      <c r="AC140" s="582" t="n"/>
      <c r="AD140" s="276" t="n">
        <v>110338</v>
      </c>
      <c r="AE140" s="276" t="n">
        <v>300162</v>
      </c>
      <c r="AF140" s="276" t="n">
        <v>5778</v>
      </c>
      <c r="AG140" s="276" t="n">
        <v>0</v>
      </c>
      <c r="AH140" s="276" t="n">
        <v>25927.8</v>
      </c>
      <c r="AI140" s="276" t="n">
        <v>16928.69</v>
      </c>
      <c r="AJ140" s="693" t="n">
        <v>29691</v>
      </c>
      <c r="AK140" s="687" t="n">
        <v>0</v>
      </c>
      <c r="AM140" s="687" t="n">
        <v>0</v>
      </c>
      <c r="AO140" s="56">
        <f>SUM(B129:B140)</f>
        <v/>
      </c>
      <c r="AQ140" s="56">
        <f>SUM(C140:Y140)</f>
        <v/>
      </c>
      <c r="AR140" s="56">
        <f>AM140+AD140</f>
        <v/>
      </c>
      <c r="AV140" s="56" t="n"/>
    </row>
    <row r="141">
      <c r="A141" s="274" t="n">
        <v>45870</v>
      </c>
      <c r="B141" s="276" t="n">
        <v>10054427</v>
      </c>
      <c r="C141" s="276" t="n">
        <v>3032319.38</v>
      </c>
      <c r="D141" s="276" t="n">
        <v>538375</v>
      </c>
      <c r="E141" s="276" t="n">
        <v>404500</v>
      </c>
      <c r="F141" s="276" t="n">
        <v>76950</v>
      </c>
      <c r="G141" s="276" t="n">
        <v>125905</v>
      </c>
      <c r="H141" s="276" t="n">
        <v>350137</v>
      </c>
      <c r="I141" s="276" t="n">
        <v>2414329</v>
      </c>
      <c r="J141" s="276" t="n">
        <v>222500</v>
      </c>
      <c r="K141" s="276" t="n">
        <v>77608</v>
      </c>
      <c r="L141" s="276" t="n">
        <v>173834</v>
      </c>
      <c r="M141" s="276" t="n">
        <v>0</v>
      </c>
      <c r="N141" s="276" t="n">
        <v>300733</v>
      </c>
      <c r="O141" s="276" t="n">
        <v>70093</v>
      </c>
      <c r="P141" s="276" t="n">
        <v>13557</v>
      </c>
      <c r="Q141" s="276" t="n">
        <v>64657</v>
      </c>
      <c r="R141" s="276" t="n">
        <v>6228</v>
      </c>
      <c r="S141" s="276" t="n">
        <v>26544</v>
      </c>
      <c r="T141" s="276" t="n">
        <v>23885.62</v>
      </c>
      <c r="U141" s="276" t="n">
        <v>79709</v>
      </c>
      <c r="V141" s="276" t="n">
        <v>348280</v>
      </c>
      <c r="W141" s="276" t="n">
        <v>175870</v>
      </c>
      <c r="X141" s="276" t="n">
        <v>581766</v>
      </c>
      <c r="Y141" s="276" t="n">
        <v>946647</v>
      </c>
      <c r="Z141" s="276" t="n">
        <v>378878</v>
      </c>
      <c r="AA141" s="276" t="n">
        <v>567769</v>
      </c>
      <c r="AB141" s="276" t="n">
        <v>2715062</v>
      </c>
      <c r="AC141" s="582" t="n"/>
      <c r="AD141" s="276" t="n">
        <v>91890</v>
      </c>
      <c r="AE141" s="276" t="n">
        <v>307814</v>
      </c>
      <c r="AF141" s="276" t="n">
        <v>5925</v>
      </c>
      <c r="AG141" s="276" t="n">
        <v>0</v>
      </c>
      <c r="AH141" s="276" t="n">
        <v>22631.2</v>
      </c>
      <c r="AI141" s="276" t="n">
        <v>16476.94</v>
      </c>
      <c r="AJ141" s="693" t="n">
        <v>31194</v>
      </c>
      <c r="AK141" s="687" t="n">
        <v>0</v>
      </c>
      <c r="AM141" s="687" t="n">
        <v>0</v>
      </c>
      <c r="AO141" s="56">
        <f>SUM(B130:B141)</f>
        <v/>
      </c>
      <c r="AQ141" s="56">
        <f>SUM(C141:Y141)</f>
        <v/>
      </c>
      <c r="AR141" s="56">
        <f>AM141+AD141</f>
        <v/>
      </c>
    </row>
    <row r="142">
      <c r="A142" s="274" t="n">
        <v>45901</v>
      </c>
      <c r="B142" s="276" t="n">
        <v>11331409</v>
      </c>
      <c r="C142" s="276" t="n">
        <v>3760683</v>
      </c>
      <c r="D142" s="276" t="n">
        <v>483822</v>
      </c>
      <c r="E142" s="276" t="n">
        <v>440900</v>
      </c>
      <c r="F142" s="276" t="n">
        <v>81980</v>
      </c>
      <c r="G142" s="276" t="n">
        <v>132068</v>
      </c>
      <c r="H142" s="276" t="n">
        <v>386828</v>
      </c>
      <c r="I142" s="276" t="n">
        <v>2405351</v>
      </c>
      <c r="J142" s="276" t="n">
        <v>243800</v>
      </c>
      <c r="K142" s="276" t="n">
        <v>66523</v>
      </c>
      <c r="L142" s="276" t="n">
        <v>142935</v>
      </c>
      <c r="M142" s="276" t="n">
        <v>0</v>
      </c>
      <c r="N142" s="276" t="n">
        <v>268527</v>
      </c>
      <c r="O142" s="276" t="n">
        <v>80022</v>
      </c>
      <c r="P142" s="276" t="n">
        <v>12799</v>
      </c>
      <c r="Q142" s="276" t="n">
        <v>72316</v>
      </c>
      <c r="R142" s="276" t="n">
        <v>17858</v>
      </c>
      <c r="S142" s="276" t="n">
        <v>35372</v>
      </c>
      <c r="T142" s="276" t="n">
        <v>35948</v>
      </c>
      <c r="U142" s="276" t="n">
        <v>145148</v>
      </c>
      <c r="V142" s="276" t="n">
        <v>352640</v>
      </c>
      <c r="W142" s="276" t="n">
        <v>205980</v>
      </c>
      <c r="X142" s="276" t="n">
        <v>880103</v>
      </c>
      <c r="Y142" s="276" t="n">
        <v>1079806</v>
      </c>
      <c r="Z142" s="276" t="n">
        <v>437109</v>
      </c>
      <c r="AA142" s="276" t="n">
        <v>642697</v>
      </c>
      <c r="AB142" s="276" t="n">
        <v>2673878</v>
      </c>
      <c r="AC142" s="582" t="n"/>
      <c r="AD142" s="276" t="n">
        <v>141264</v>
      </c>
      <c r="AE142" s="276" t="n">
        <v>330549</v>
      </c>
      <c r="AF142" s="276" t="n">
        <v>6362</v>
      </c>
      <c r="AG142" s="276" t="n">
        <v>121900</v>
      </c>
      <c r="AH142" s="276" t="n">
        <v>15382</v>
      </c>
      <c r="AI142" s="276" t="n">
        <v>17662.49</v>
      </c>
      <c r="AJ142" s="693" t="n">
        <v>15592</v>
      </c>
      <c r="AK142" s="687" t="n">
        <v>0</v>
      </c>
      <c r="AM142" s="687" t="n">
        <v>0</v>
      </c>
      <c r="AO142" s="56">
        <f>SUM(B131:B142)</f>
        <v/>
      </c>
      <c r="AQ142" s="56">
        <f>SUM(C142:Y142)</f>
        <v/>
      </c>
      <c r="AR142" s="56">
        <f>AM142+AD142</f>
        <v/>
      </c>
    </row>
    <row r="143">
      <c r="A143" s="274" t="n">
        <v>45931</v>
      </c>
      <c r="B143" s="276" t="n">
        <v>9796105</v>
      </c>
      <c r="C143" s="276" t="n">
        <v>3147885.9</v>
      </c>
      <c r="D143" s="276" t="n">
        <v>504929</v>
      </c>
      <c r="E143" s="276" t="n">
        <v>404500</v>
      </c>
      <c r="F143" s="276" t="n">
        <v>82270</v>
      </c>
      <c r="G143" s="276" t="n">
        <v>126782</v>
      </c>
      <c r="H143" s="276" t="n">
        <v>359852</v>
      </c>
      <c r="I143" s="276" t="n">
        <v>1957753</v>
      </c>
      <c r="J143" s="276" t="n">
        <v>241000</v>
      </c>
      <c r="K143" s="276" t="n">
        <v>70315</v>
      </c>
      <c r="L143" s="276" t="n">
        <v>143945</v>
      </c>
      <c r="M143" s="276" t="n">
        <v>0</v>
      </c>
      <c r="N143" s="276" t="n">
        <v>251737</v>
      </c>
      <c r="O143" s="276" t="n">
        <v>56142</v>
      </c>
      <c r="P143" s="276" t="n">
        <v>11057</v>
      </c>
      <c r="Q143" s="276" t="n">
        <v>63511</v>
      </c>
      <c r="R143" s="276" t="n">
        <v>17675</v>
      </c>
      <c r="S143" s="276" t="n">
        <v>34877</v>
      </c>
      <c r="T143" s="276" t="n">
        <v>54788</v>
      </c>
      <c r="U143" s="276" t="n">
        <v>138274.1</v>
      </c>
      <c r="V143" s="276" t="n">
        <v>300280</v>
      </c>
      <c r="W143" s="276" t="n">
        <v>165910</v>
      </c>
      <c r="X143" s="276" t="n">
        <v>777120</v>
      </c>
      <c r="Y143" s="276" t="n">
        <v>885502</v>
      </c>
      <c r="Z143" s="277" t="n">
        <v>417169</v>
      </c>
      <c r="AA143" s="294" t="n">
        <v>468333</v>
      </c>
      <c r="AB143" s="276" t="n">
        <v>2209490</v>
      </c>
      <c r="AC143" s="582" t="n"/>
      <c r="AD143" s="276" t="n">
        <v>138998</v>
      </c>
      <c r="AE143" s="276" t="n">
        <v>306911</v>
      </c>
      <c r="AF143" s="276" t="n">
        <v>5908</v>
      </c>
      <c r="AG143" s="276" t="n">
        <v>74466</v>
      </c>
      <c r="AH143" s="276" t="n">
        <v>6497.4</v>
      </c>
      <c r="AI143" s="276" t="n">
        <v>16020.28</v>
      </c>
      <c r="AJ143" s="693" t="n">
        <v>24292</v>
      </c>
      <c r="AK143" s="687" t="n">
        <v>0</v>
      </c>
      <c r="AM143" s="687" t="n">
        <v>0</v>
      </c>
      <c r="AO143" s="56">
        <f>SUM(B132:B143)</f>
        <v/>
      </c>
      <c r="AQ143" s="56">
        <f>SUM(C143:Y143)</f>
        <v/>
      </c>
      <c r="AR143" s="56">
        <f>AM143+AD143</f>
        <v/>
      </c>
    </row>
    <row r="144">
      <c r="A144" s="274" t="n">
        <v>45962</v>
      </c>
      <c r="B144" s="276" t="n">
        <v>7978764</v>
      </c>
      <c r="C144" s="276" t="n">
        <v>3333008.3</v>
      </c>
      <c r="D144" s="276" t="n">
        <v>500521</v>
      </c>
      <c r="E144" s="276" t="n">
        <v>388197</v>
      </c>
      <c r="F144" s="276" t="n">
        <v>75078</v>
      </c>
      <c r="G144" s="276" t="n">
        <v>133398</v>
      </c>
      <c r="H144" s="276" t="n">
        <v>341845</v>
      </c>
      <c r="I144" s="276" t="n">
        <v>1020447</v>
      </c>
      <c r="J144" s="276" t="n">
        <v>236053</v>
      </c>
      <c r="K144" s="276" t="n">
        <v>50979</v>
      </c>
      <c r="L144" s="276" t="n">
        <v>85990</v>
      </c>
      <c r="M144" s="276" t="n">
        <v>0</v>
      </c>
      <c r="N144" s="276" t="n">
        <v>105031</v>
      </c>
      <c r="O144" s="276" t="n">
        <v>49795</v>
      </c>
      <c r="P144" s="276" t="n">
        <v>5078</v>
      </c>
      <c r="Q144" s="276" t="n">
        <v>47584</v>
      </c>
      <c r="R144" s="276" t="n">
        <v>18927</v>
      </c>
      <c r="S144" s="276" t="n">
        <v>27839</v>
      </c>
      <c r="T144" s="276" t="n">
        <v>44843.7</v>
      </c>
      <c r="U144" s="276" t="n">
        <v>116174</v>
      </c>
      <c r="V144" s="276" t="n">
        <v>179100</v>
      </c>
      <c r="W144" s="276" t="n">
        <v>107311</v>
      </c>
      <c r="X144" s="276" t="n">
        <v>465405</v>
      </c>
      <c r="Y144" s="276" t="n">
        <v>646160</v>
      </c>
      <c r="Z144" s="277" t="n">
        <v>402881</v>
      </c>
      <c r="AA144" s="294" t="n">
        <v>243279</v>
      </c>
      <c r="AB144" s="276" t="n">
        <v>1125478</v>
      </c>
      <c r="AC144" s="582" t="n"/>
      <c r="AD144" s="276" t="n">
        <v>77480</v>
      </c>
      <c r="AE144" s="276" t="n">
        <v>306060</v>
      </c>
      <c r="AF144" s="276" t="n">
        <v>5891</v>
      </c>
      <c r="AG144" s="276" t="n">
        <v>9262</v>
      </c>
      <c r="AH144" s="276" t="n">
        <v>8282.200000000001</v>
      </c>
      <c r="AI144" s="276" t="n">
        <v>16717.57</v>
      </c>
      <c r="AJ144" s="693" t="n">
        <v>47210</v>
      </c>
      <c r="AK144" s="687" t="n">
        <v>0</v>
      </c>
      <c r="AM144" s="687" t="n">
        <v>0</v>
      </c>
      <c r="AO144" s="56">
        <f>SUM(B133:B144)</f>
        <v/>
      </c>
      <c r="AQ144" s="56">
        <f>SUM(C144:Y144)</f>
        <v/>
      </c>
      <c r="AR144" s="56">
        <f>AM144+AD144</f>
        <v/>
      </c>
    </row>
    <row r="145">
      <c r="A145" s="274" t="n">
        <v>45992</v>
      </c>
      <c r="B145" s="276" t="n">
        <v>8046008</v>
      </c>
      <c r="C145" s="276" t="n">
        <v>3520853.9</v>
      </c>
      <c r="D145" s="276" t="n">
        <v>584958</v>
      </c>
      <c r="E145" s="276" t="n">
        <v>414803</v>
      </c>
      <c r="F145" s="276" t="n">
        <v>86752</v>
      </c>
      <c r="G145" s="276" t="n">
        <v>145603</v>
      </c>
      <c r="H145" s="276" t="n">
        <v>353167</v>
      </c>
      <c r="I145" s="276" t="n">
        <v>842964.1</v>
      </c>
      <c r="J145" s="276" t="n">
        <v>253147</v>
      </c>
      <c r="K145" s="276" t="n">
        <v>43259</v>
      </c>
      <c r="L145" s="276" t="n">
        <v>81529</v>
      </c>
      <c r="M145" s="276" t="n">
        <v>0</v>
      </c>
      <c r="N145" s="276" t="n">
        <v>63573</v>
      </c>
      <c r="O145" s="276" t="n">
        <v>39556</v>
      </c>
      <c r="P145" s="276" t="n">
        <v>2864</v>
      </c>
      <c r="Q145" s="276" t="n">
        <v>45888</v>
      </c>
      <c r="R145" s="276" t="n">
        <v>22453</v>
      </c>
      <c r="S145" s="276" t="n">
        <v>30350</v>
      </c>
      <c r="T145" s="276" t="n">
        <v>45023</v>
      </c>
      <c r="U145" s="276" t="n">
        <v>150747</v>
      </c>
      <c r="V145" s="276" t="n">
        <v>151900</v>
      </c>
      <c r="W145" s="276" t="n">
        <v>113682</v>
      </c>
      <c r="X145" s="276" t="n">
        <v>426201</v>
      </c>
      <c r="Y145" s="276" t="n">
        <v>626735</v>
      </c>
      <c r="Z145" s="277" t="n">
        <v>388825</v>
      </c>
      <c r="AA145" s="294" t="n">
        <v>237910</v>
      </c>
      <c r="AB145" s="276" t="n">
        <v>906537.1</v>
      </c>
      <c r="AC145" s="582" t="n"/>
      <c r="AD145" s="276" t="n">
        <v>61061</v>
      </c>
      <c r="AE145" s="276" t="n">
        <v>374372</v>
      </c>
      <c r="AF145" s="276" t="n">
        <v>7206</v>
      </c>
      <c r="AG145" s="276" t="n">
        <v>9784</v>
      </c>
      <c r="AH145" s="276" t="n">
        <v>973.4</v>
      </c>
      <c r="AI145" s="276" t="n">
        <v>18702.78</v>
      </c>
      <c r="AJ145" s="693" t="n">
        <v>27110</v>
      </c>
      <c r="AK145" s="687" t="n">
        <v>0</v>
      </c>
      <c r="AM145" s="687" t="n">
        <v>0</v>
      </c>
      <c r="AO145" s="56">
        <f>SUM(B134:B145)</f>
        <v/>
      </c>
      <c r="AQ145" s="56">
        <f>SUM(C145:Y145)</f>
        <v/>
      </c>
      <c r="AR145" s="56">
        <f>AM145+AD145</f>
        <v/>
      </c>
    </row>
    <row r="146">
      <c r="A146" s="295" t="n">
        <v>46023</v>
      </c>
      <c r="B146" s="296" t="n">
        <v>7308543</v>
      </c>
      <c r="C146" s="693" t="n">
        <v>3219229</v>
      </c>
      <c r="D146" s="296" t="n">
        <v>543221</v>
      </c>
      <c r="E146" s="693" t="n">
        <v>418200</v>
      </c>
      <c r="F146" s="296" t="n">
        <v>71330</v>
      </c>
      <c r="G146" s="296" t="n">
        <v>170604</v>
      </c>
      <c r="H146" s="296" t="n">
        <v>335356</v>
      </c>
      <c r="I146" s="296" t="n">
        <v>620519</v>
      </c>
      <c r="J146" s="296" t="n">
        <v>239400</v>
      </c>
      <c r="K146" s="296" t="n">
        <v>56131</v>
      </c>
      <c r="L146" s="296" t="n">
        <v>102592</v>
      </c>
      <c r="M146" s="296" t="n">
        <v>0</v>
      </c>
      <c r="N146" s="693" t="n">
        <v>56618</v>
      </c>
      <c r="O146" s="296" t="n">
        <v>44806</v>
      </c>
      <c r="P146" s="296" t="n">
        <v>1825</v>
      </c>
      <c r="Q146" s="296" t="n">
        <v>33942</v>
      </c>
      <c r="R146" s="296" t="n">
        <v>24808</v>
      </c>
      <c r="S146" s="296" t="n">
        <v>16871</v>
      </c>
      <c r="T146" s="296" t="n">
        <v>38524</v>
      </c>
      <c r="U146" s="296" t="n">
        <v>159687</v>
      </c>
      <c r="V146" s="296" t="n">
        <v>144300</v>
      </c>
      <c r="W146" s="296" t="n">
        <v>103340</v>
      </c>
      <c r="X146" s="296" t="n">
        <v>286673</v>
      </c>
      <c r="Y146" s="296" t="n">
        <v>620567</v>
      </c>
      <c r="Z146" s="296" t="n">
        <v>338985</v>
      </c>
      <c r="AA146" s="296" t="n">
        <v>281582</v>
      </c>
      <c r="AB146" s="693" t="n">
        <v>677137</v>
      </c>
      <c r="AC146" s="582" t="n"/>
      <c r="AD146" s="296" t="n">
        <v>37428</v>
      </c>
      <c r="AE146" s="296" t="n">
        <v>347633</v>
      </c>
      <c r="AF146" s="296" t="n">
        <v>6691</v>
      </c>
      <c r="AG146" s="693" t="n">
        <v>3084</v>
      </c>
      <c r="AH146" s="693" t="n">
        <v>1321</v>
      </c>
      <c r="AI146" s="296" t="n">
        <v>18140.7</v>
      </c>
      <c r="AJ146" s="693" t="n">
        <v>51800</v>
      </c>
      <c r="AK146" s="692" t="n">
        <v>0</v>
      </c>
      <c r="AM146" s="692" t="n">
        <v>0</v>
      </c>
      <c r="AO146" s="56">
        <f>SUM(B135:B146)</f>
        <v/>
      </c>
      <c r="AQ146" s="56">
        <f>SUM(C146:Y146)</f>
        <v/>
      </c>
      <c r="AR146" s="56">
        <f>AM146+AD146</f>
        <v/>
      </c>
    </row>
    <row r="147">
      <c r="A147" s="295" t="n">
        <v>46054</v>
      </c>
      <c r="B147" s="296" t="n">
        <v>7053934</v>
      </c>
      <c r="C147" s="296" t="n">
        <v>3046467.2</v>
      </c>
      <c r="D147" s="296" t="n">
        <v>483759</v>
      </c>
      <c r="E147" s="296" t="n">
        <v>339400</v>
      </c>
      <c r="F147" s="296" t="n">
        <v>69110</v>
      </c>
      <c r="G147" s="296" t="n">
        <v>127047</v>
      </c>
      <c r="H147" s="296" t="n">
        <v>303408</v>
      </c>
      <c r="I147" s="296" t="n">
        <v>762926.1</v>
      </c>
      <c r="J147" s="296" t="n">
        <v>225600</v>
      </c>
      <c r="K147" s="296" t="n">
        <v>50950</v>
      </c>
      <c r="L147" s="296" t="n">
        <v>81167</v>
      </c>
      <c r="M147" s="296" t="n">
        <v>0</v>
      </c>
      <c r="N147" s="296" t="n">
        <v>57790</v>
      </c>
      <c r="O147" s="296" t="n">
        <v>31457</v>
      </c>
      <c r="P147" s="296" t="n">
        <v>1061</v>
      </c>
      <c r="Q147" s="296" t="n">
        <v>37880</v>
      </c>
      <c r="R147" s="296" t="n">
        <v>32830</v>
      </c>
      <c r="S147" s="296" t="n">
        <v>39696.7</v>
      </c>
      <c r="T147" s="296" t="n">
        <v>33598</v>
      </c>
      <c r="U147" s="296" t="n">
        <v>234192</v>
      </c>
      <c r="V147" s="296" t="n">
        <v>126900</v>
      </c>
      <c r="W147" s="296" t="n">
        <v>79940</v>
      </c>
      <c r="X147" s="296" t="n">
        <v>329433</v>
      </c>
      <c r="Y147" s="296" t="n">
        <v>559322</v>
      </c>
      <c r="Z147" s="296" t="n">
        <v>320308</v>
      </c>
      <c r="AA147" s="296" t="n">
        <v>239014</v>
      </c>
      <c r="AB147" s="296" t="n">
        <v>820716.1</v>
      </c>
      <c r="AC147" s="582" t="n"/>
      <c r="AD147" s="296" t="n">
        <v>48095</v>
      </c>
      <c r="AE147" s="296" t="n">
        <v>297089</v>
      </c>
      <c r="AF147" s="296" t="n"/>
      <c r="AG147" s="296" t="n">
        <v>7887</v>
      </c>
      <c r="AH147" s="296" t="n">
        <v>1252</v>
      </c>
      <c r="AI147" s="296" t="n">
        <v>16858</v>
      </c>
      <c r="AJ147" s="296" t="n">
        <v>43012</v>
      </c>
      <c r="AK147" s="692" t="n">
        <v>100000</v>
      </c>
      <c r="AM147" s="692" t="n">
        <v>0</v>
      </c>
      <c r="AO147" s="56">
        <f>SUM(B136:B147)</f>
        <v/>
      </c>
      <c r="AQ147" s="56">
        <f>SUM(C147:Y147)</f>
        <v/>
      </c>
      <c r="AR147" s="56">
        <f>AM147+AD147</f>
        <v/>
      </c>
    </row>
    <row r="148">
      <c r="A148" s="295" t="n">
        <v>46082</v>
      </c>
      <c r="B148" s="296" t="n">
        <v>8470012</v>
      </c>
      <c r="C148" s="296" t="n">
        <v>3439476.3</v>
      </c>
      <c r="D148" s="296" t="n">
        <v>564806</v>
      </c>
      <c r="E148" s="296" t="n">
        <v>460300</v>
      </c>
      <c r="F148" s="296" t="n">
        <v>78120</v>
      </c>
      <c r="G148" s="296" t="n">
        <v>135394</v>
      </c>
      <c r="H148" s="296" t="n">
        <v>317680</v>
      </c>
      <c r="I148" s="296" t="n">
        <v>1087049</v>
      </c>
      <c r="J148" s="296" t="n">
        <v>257674</v>
      </c>
      <c r="K148" s="296" t="n">
        <v>57348</v>
      </c>
      <c r="L148" s="296" t="n">
        <v>79410</v>
      </c>
      <c r="M148" s="296" t="n">
        <v>0</v>
      </c>
      <c r="N148" s="296" t="n">
        <v>103510</v>
      </c>
      <c r="O148" s="296" t="n">
        <v>41318</v>
      </c>
      <c r="P148" s="296" t="n">
        <v>600</v>
      </c>
      <c r="Q148" s="296" t="n">
        <v>49608</v>
      </c>
      <c r="R148" s="296" t="n">
        <v>40938</v>
      </c>
      <c r="S148" s="296" t="n">
        <v>32665.7</v>
      </c>
      <c r="T148" s="296" t="n">
        <v>37566</v>
      </c>
      <c r="U148" s="296" t="n">
        <v>214226</v>
      </c>
      <c r="V148" s="296" t="n">
        <v>178700</v>
      </c>
      <c r="W148" s="296" t="n">
        <v>119300</v>
      </c>
      <c r="X148" s="296" t="n">
        <v>483477</v>
      </c>
      <c r="Y148" s="296" t="n">
        <v>690846</v>
      </c>
      <c r="Z148" s="296" t="n">
        <v>442364</v>
      </c>
      <c r="AA148" s="296" t="n">
        <v>248482</v>
      </c>
      <c r="AB148" s="296" t="n">
        <v>1190559</v>
      </c>
      <c r="AC148" s="582" t="n"/>
      <c r="AD148" s="296" t="n">
        <v>57101</v>
      </c>
      <c r="AE148" s="296" t="n">
        <v>365474</v>
      </c>
      <c r="AF148" s="296" t="n"/>
      <c r="AG148" s="296" t="n">
        <v>23685</v>
      </c>
      <c r="AH148" s="296" t="n">
        <v>8255</v>
      </c>
      <c r="AI148" s="296" t="n">
        <v>20391</v>
      </c>
      <c r="AJ148" s="296" t="n">
        <v>56770</v>
      </c>
      <c r="AK148" s="692" t="n">
        <v>0</v>
      </c>
      <c r="AM148" s="692" t="n">
        <v>200000000</v>
      </c>
      <c r="AO148" s="56">
        <f>SUM(B137:B148)</f>
        <v/>
      </c>
      <c r="AQ148" s="56">
        <f>SUM(C148:Y148)</f>
        <v/>
      </c>
      <c r="AR148" s="56">
        <f>AM148+AD148</f>
        <v/>
      </c>
    </row>
    <row r="149">
      <c r="A149" s="295" t="n">
        <v>46113</v>
      </c>
      <c r="B149" s="296" t="n">
        <v>9717646</v>
      </c>
      <c r="C149" s="296" t="n">
        <v>3637811</v>
      </c>
      <c r="D149" s="296" t="n">
        <v>571275</v>
      </c>
      <c r="E149" s="296" t="n">
        <v>432000</v>
      </c>
      <c r="F149" s="296" t="n">
        <v>82230</v>
      </c>
      <c r="G149" s="296" t="n">
        <v>129264</v>
      </c>
      <c r="H149" s="296" t="n">
        <v>318714</v>
      </c>
      <c r="I149" s="296" t="n">
        <v>1654219</v>
      </c>
      <c r="J149" s="296" t="n">
        <v>256126</v>
      </c>
      <c r="K149" s="296" t="n">
        <v>110678</v>
      </c>
      <c r="L149" s="296" t="n">
        <v>118081</v>
      </c>
      <c r="M149" s="296" t="n">
        <v>0</v>
      </c>
      <c r="N149" s="296" t="n">
        <v>208610</v>
      </c>
      <c r="O149" s="296" t="n">
        <v>39977</v>
      </c>
      <c r="P149" s="296" t="n">
        <v>2940</v>
      </c>
      <c r="Q149" s="296" t="n">
        <v>53118</v>
      </c>
      <c r="R149" s="296" t="n">
        <v>36586</v>
      </c>
      <c r="S149" s="296" t="n">
        <v>38047</v>
      </c>
      <c r="T149" s="296" t="n">
        <v>34567</v>
      </c>
      <c r="U149" s="296" t="n">
        <v>204802</v>
      </c>
      <c r="V149" s="296" t="n">
        <v>246200</v>
      </c>
      <c r="W149" s="296" t="n">
        <v>142270</v>
      </c>
      <c r="X149" s="296" t="n">
        <v>606652</v>
      </c>
      <c r="Y149" s="296" t="n">
        <v>793479</v>
      </c>
      <c r="Z149" s="296" t="n">
        <v>449653</v>
      </c>
      <c r="AA149" s="296" t="n">
        <v>343826</v>
      </c>
      <c r="AB149" s="296" t="n">
        <v>1862829</v>
      </c>
      <c r="AC149" s="582" t="n"/>
      <c r="AD149" s="296" t="n">
        <v>91416</v>
      </c>
      <c r="AE149" s="296" t="n">
        <v>364466</v>
      </c>
      <c r="AF149" s="296" t="n"/>
      <c r="AG149" s="296" t="n">
        <v>74223</v>
      </c>
      <c r="AH149" s="296" t="n">
        <v>16734</v>
      </c>
      <c r="AI149" s="296" t="n">
        <v>19485</v>
      </c>
      <c r="AJ149" s="296" t="n">
        <v>41971</v>
      </c>
      <c r="AK149" s="692" t="n">
        <v>0</v>
      </c>
      <c r="AM149" s="692" t="n">
        <v>0</v>
      </c>
      <c r="AO149" s="56">
        <f>SUM(B138:B149)</f>
        <v/>
      </c>
      <c r="AQ149" s="56">
        <f>SUM(C149:Y149)</f>
        <v/>
      </c>
      <c r="AR149" s="56">
        <f>AM149+AD149</f>
        <v/>
      </c>
    </row>
    <row r="150" ht="17" customHeight="1" thickBot="1">
      <c r="A150" s="295" t="n">
        <v>46143</v>
      </c>
      <c r="B150" s="296" t="n"/>
      <c r="C150" s="296" t="n"/>
      <c r="D150" s="296" t="n"/>
      <c r="E150" s="296" t="n"/>
      <c r="F150" s="296" t="n"/>
      <c r="G150" s="296" t="n"/>
      <c r="H150" s="296" t="n"/>
      <c r="I150" s="296" t="n"/>
      <c r="J150" s="296" t="n"/>
      <c r="K150" s="296" t="n"/>
      <c r="L150" s="296" t="n"/>
      <c r="M150" s="296" t="n"/>
      <c r="N150" s="296" t="n"/>
      <c r="O150" s="296" t="n"/>
      <c r="P150" s="296" t="n"/>
      <c r="Q150" s="296" t="n"/>
      <c r="R150" s="296" t="n"/>
      <c r="S150" s="296" t="n"/>
      <c r="T150" s="296" t="n"/>
      <c r="U150" s="296" t="n"/>
      <c r="V150" s="296" t="n"/>
      <c r="W150" s="296" t="n"/>
      <c r="X150" s="296" t="n"/>
      <c r="Y150" s="296" t="n"/>
      <c r="Z150" s="296" t="n"/>
      <c r="AA150" s="296" t="n"/>
      <c r="AB150" s="296" t="n"/>
      <c r="AC150" s="582" t="n"/>
      <c r="AD150" s="296" t="n"/>
      <c r="AE150" s="296" t="n"/>
      <c r="AF150" s="296" t="n"/>
      <c r="AG150" s="296" t="n"/>
      <c r="AH150" s="296" t="n"/>
      <c r="AI150" s="296" t="n"/>
      <c r="AJ150" s="296" t="n"/>
      <c r="AK150" s="695" t="n"/>
      <c r="AM150" s="695" t="n"/>
      <c r="AO150" s="56">
        <f>SUM(B139:B150)</f>
        <v/>
      </c>
      <c r="AQ150" s="56">
        <f>SUM(C150:Y150)</f>
        <v/>
      </c>
      <c r="AR150" s="56">
        <f>AM150+AD150</f>
        <v/>
      </c>
    </row>
    <row r="151" ht="17" customHeight="1" thickBot="1">
      <c r="A151" s="295" t="n">
        <v>46174</v>
      </c>
      <c r="B151" s="296" t="n"/>
      <c r="C151" s="296" t="n"/>
      <c r="D151" s="296" t="n"/>
      <c r="E151" s="296" t="n"/>
      <c r="F151" s="296" t="n"/>
      <c r="G151" s="296" t="n"/>
      <c r="H151" s="296" t="n"/>
      <c r="I151" s="296" t="n"/>
      <c r="J151" s="296" t="n"/>
      <c r="K151" s="296" t="n"/>
      <c r="L151" s="296" t="n"/>
      <c r="M151" s="296" t="n"/>
      <c r="N151" s="296" t="n"/>
      <c r="O151" s="296" t="n"/>
      <c r="P151" s="296" t="n"/>
      <c r="Q151" s="296" t="n"/>
      <c r="R151" s="296" t="n"/>
      <c r="S151" s="296" t="n"/>
      <c r="T151" s="296" t="n"/>
      <c r="U151" s="296" t="n"/>
      <c r="V151" s="296" t="n"/>
      <c r="W151" s="296" t="n"/>
      <c r="X151" s="296" t="n"/>
      <c r="Y151" s="296" t="n"/>
      <c r="Z151" s="296" t="n"/>
      <c r="AA151" s="296" t="n"/>
      <c r="AB151" s="296" t="n"/>
      <c r="AC151" s="582" t="n"/>
      <c r="AD151" s="296" t="n"/>
      <c r="AE151" s="296" t="n"/>
      <c r="AF151" s="296" t="n"/>
      <c r="AG151" s="296" t="n"/>
      <c r="AH151" s="296" t="n"/>
      <c r="AI151" s="296" t="n"/>
      <c r="AJ151" s="298" t="n"/>
      <c r="AK151" s="696" t="n"/>
      <c r="AM151" s="696" t="n"/>
      <c r="AO151" s="577">
        <f>SUM(B140:B151)</f>
        <v/>
      </c>
      <c r="AP151" s="578">
        <f>AK151+SUM(AD140:AD151)</f>
        <v/>
      </c>
      <c r="AQ151" s="56">
        <f>SUM(C151:Y151)</f>
        <v/>
      </c>
      <c r="AR151" s="56">
        <f>AM151+AD151</f>
        <v/>
      </c>
    </row>
    <row r="152">
      <c r="AK152" s="696" t="n"/>
      <c r="AM152" s="696" t="n"/>
    </row>
    <row r="153">
      <c r="V153" s="56" t="n"/>
      <c r="AK153" s="696" t="n"/>
      <c r="AL153" s="697" t="n"/>
      <c r="AM153" s="696" t="n"/>
    </row>
    <row r="154">
      <c r="V154" s="56" t="n"/>
      <c r="AK154" s="698" t="n"/>
      <c r="AM154" s="698" t="n"/>
    </row>
    <row r="155">
      <c r="V155" s="56" t="n"/>
      <c r="AK155" s="698" t="n"/>
      <c r="AM155" s="698" t="n"/>
    </row>
    <row r="156"/>
    <row r="157">
      <c r="A157" s="55" t="n">
        <v>2023</v>
      </c>
      <c r="B157" s="56">
        <f>SUM(B110:B121)</f>
        <v/>
      </c>
      <c r="C157" s="56">
        <f>SUM(C110:C121)</f>
        <v/>
      </c>
      <c r="D157" s="56">
        <f>SUM(D110:D121)</f>
        <v/>
      </c>
      <c r="E157" s="56">
        <f>SUM(E110:E121)</f>
        <v/>
      </c>
      <c r="F157" s="56">
        <f>SUM(F110:F121)</f>
        <v/>
      </c>
      <c r="G157" s="56">
        <f>SUM(G110:G121)</f>
        <v/>
      </c>
      <c r="H157" s="56">
        <f>SUM(H110:H121)</f>
        <v/>
      </c>
      <c r="I157" s="56">
        <f>SUM(I110:I121)</f>
        <v/>
      </c>
      <c r="J157" s="56">
        <f>SUM(J110:J121)</f>
        <v/>
      </c>
      <c r="K157" s="56">
        <f>SUM(K110:K121)</f>
        <v/>
      </c>
      <c r="L157" s="56">
        <f>SUM(L110:L121)</f>
        <v/>
      </c>
      <c r="M157" s="56">
        <f>SUM(M110:M121)</f>
        <v/>
      </c>
      <c r="N157" s="56">
        <f>SUM(N110:N121)</f>
        <v/>
      </c>
      <c r="O157" s="56">
        <f>SUM(O110:O121)</f>
        <v/>
      </c>
      <c r="P157" s="56">
        <f>SUM(P110:P121)</f>
        <v/>
      </c>
      <c r="Q157" s="56">
        <f>SUM(Q110:Q121)</f>
        <v/>
      </c>
      <c r="R157" s="56" t="n"/>
      <c r="S157" s="56" t="n"/>
      <c r="T157" s="56" t="n"/>
      <c r="U157" s="56" t="n"/>
      <c r="V157" s="56" t="n"/>
      <c r="W157" s="56">
        <f>SUM(W110:W121)</f>
        <v/>
      </c>
      <c r="X157" s="56">
        <f>SUM(X110:X121)</f>
        <v/>
      </c>
      <c r="Y157" s="56">
        <f>SUM(Y110:Y121)</f>
        <v/>
      </c>
      <c r="Z157" s="56">
        <f>SUM(Z110:Z121)</f>
        <v/>
      </c>
      <c r="AA157" s="56">
        <f>SUM(AA110:AA121)</f>
        <v/>
      </c>
      <c r="AB157" s="56">
        <f>SUM(AB110:AB121)</f>
        <v/>
      </c>
      <c r="AC157" s="583" t="n"/>
      <c r="AD157" s="56">
        <f>SUM(AD110:AD121)</f>
        <v/>
      </c>
      <c r="AE157" s="56">
        <f>SUM(AE110:AE121)</f>
        <v/>
      </c>
      <c r="AF157" s="56" t="n"/>
      <c r="AG157" s="56" t="n"/>
      <c r="AH157" s="56" t="n"/>
      <c r="AI157" s="56" t="n"/>
      <c r="AJ157" s="56" t="n"/>
    </row>
    <row r="158">
      <c r="A158" s="55" t="n">
        <v>2024</v>
      </c>
      <c r="B158" s="56">
        <f>SUM(B122:B133)</f>
        <v/>
      </c>
      <c r="C158" s="56">
        <f>SUM(C122:C133)</f>
        <v/>
      </c>
      <c r="D158" s="56">
        <f>SUM(D122:D133)</f>
        <v/>
      </c>
      <c r="E158" s="56">
        <f>SUM(E122:E133)</f>
        <v/>
      </c>
      <c r="F158" s="56">
        <f>SUM(F122:F133)</f>
        <v/>
      </c>
      <c r="G158" s="56">
        <f>SUM(G122:G133)</f>
        <v/>
      </c>
      <c r="H158" s="56">
        <f>SUM(H122:H133)</f>
        <v/>
      </c>
      <c r="I158" s="56">
        <f>SUM(I122:I133)</f>
        <v/>
      </c>
      <c r="J158" s="56">
        <f>SUM(J122:J133)</f>
        <v/>
      </c>
      <c r="K158" s="56">
        <f>SUM(K122:K133)</f>
        <v/>
      </c>
      <c r="L158" s="56">
        <f>SUM(L122:L133)</f>
        <v/>
      </c>
      <c r="M158" s="56">
        <f>SUM(M122:M133)</f>
        <v/>
      </c>
      <c r="N158" s="56">
        <f>SUM(N122:N133)</f>
        <v/>
      </c>
      <c r="O158" s="56">
        <f>SUM(O122:O133)</f>
        <v/>
      </c>
      <c r="P158" s="56">
        <f>SUM(P122:P133)</f>
        <v/>
      </c>
      <c r="Q158" s="56">
        <f>SUM(Q122:Q133)</f>
        <v/>
      </c>
      <c r="R158" s="56" t="n"/>
      <c r="S158" s="56" t="n"/>
      <c r="T158" s="56" t="n"/>
      <c r="U158" s="56" t="n"/>
      <c r="V158" s="56" t="n"/>
      <c r="W158" s="56">
        <f>SUM(W122:W133)</f>
        <v/>
      </c>
      <c r="X158" s="56">
        <f>SUM(X122:X133)</f>
        <v/>
      </c>
      <c r="Y158" s="56">
        <f>SUM(Y122:Y133)</f>
        <v/>
      </c>
      <c r="Z158" s="56">
        <f>SUM(Z122:Z133)</f>
        <v/>
      </c>
      <c r="AA158" s="56">
        <f>SUM(AA122:AA133)</f>
        <v/>
      </c>
      <c r="AB158" s="56">
        <f>SUM(AB122:AB133)</f>
        <v/>
      </c>
      <c r="AC158" s="583" t="n"/>
      <c r="AD158" s="56">
        <f>SUM(AD122:AD133)</f>
        <v/>
      </c>
      <c r="AE158" s="56">
        <f>SUM(AE122:AE133)</f>
        <v/>
      </c>
      <c r="AF158" s="56" t="n"/>
      <c r="AG158" s="56" t="n"/>
      <c r="AH158" s="56" t="n"/>
      <c r="AI158" s="56" t="n"/>
      <c r="AJ158" s="56" t="n"/>
    </row>
    <row r="159">
      <c r="B159" s="584">
        <f>(B158-B157)/B157</f>
        <v/>
      </c>
      <c r="C159" s="584">
        <f>(C158-C157)/C157</f>
        <v/>
      </c>
      <c r="D159" s="584">
        <f>(D158-D157)/D157</f>
        <v/>
      </c>
      <c r="E159" s="584">
        <f>(E158-E157)/E157</f>
        <v/>
      </c>
      <c r="F159" s="584">
        <f>(F158-F157)/F157</f>
        <v/>
      </c>
      <c r="G159" s="584">
        <f>(G158-G157)/G157</f>
        <v/>
      </c>
      <c r="H159" s="584">
        <f>(H158-H157)/H157</f>
        <v/>
      </c>
      <c r="I159" s="584">
        <f>(I158-I157)/I157</f>
        <v/>
      </c>
      <c r="J159" s="584">
        <f>(J158-J157)/J157</f>
        <v/>
      </c>
      <c r="K159" s="584">
        <f>(K158-K157)/K157</f>
        <v/>
      </c>
      <c r="L159" s="584">
        <f>(L158-L157)/L157</f>
        <v/>
      </c>
      <c r="M159" s="584">
        <f>(M158-M157)/M157</f>
        <v/>
      </c>
      <c r="N159" s="584">
        <f>(N158-N157)/N157</f>
        <v/>
      </c>
      <c r="O159" s="584">
        <f>(O158-O157)/O157</f>
        <v/>
      </c>
      <c r="P159" s="584">
        <f>(P158-P157)/P157</f>
        <v/>
      </c>
      <c r="Q159" s="584">
        <f>(Q158-Q157)/Q157</f>
        <v/>
      </c>
      <c r="R159" s="584" t="n"/>
      <c r="S159" s="584" t="n"/>
      <c r="T159" s="584" t="n"/>
      <c r="U159" s="584" t="n"/>
      <c r="V159" s="584" t="n"/>
      <c r="W159" s="584">
        <f>(W158-W157)/W157</f>
        <v/>
      </c>
      <c r="X159" s="584">
        <f>(X158-X157)/X157</f>
        <v/>
      </c>
      <c r="Y159" s="584">
        <f>(Y158-Y157)/Y157</f>
        <v/>
      </c>
      <c r="Z159" s="584">
        <f>(Z158-Z157)/Z157</f>
        <v/>
      </c>
      <c r="AA159" s="584">
        <f>(AA158-AA157)/AA157</f>
        <v/>
      </c>
      <c r="AB159" s="584">
        <f>(AB158-AB157)/AB157</f>
        <v/>
      </c>
      <c r="AC159" s="585" t="n"/>
      <c r="AD159" s="584">
        <f>(AD158-AD157)/AD157</f>
        <v/>
      </c>
      <c r="AE159" s="584">
        <f>(AE158-AE157)/AE157</f>
        <v/>
      </c>
      <c r="AF159" s="584" t="n"/>
      <c r="AG159" s="584" t="n"/>
      <c r="AH159" s="584" t="n"/>
      <c r="AI159" s="584" t="n"/>
      <c r="AJ159" s="584" t="n"/>
    </row>
    <row r="160">
      <c r="B160" s="56">
        <f>B158-B157</f>
        <v/>
      </c>
      <c r="C160" s="56">
        <f>C158-C157</f>
        <v/>
      </c>
      <c r="D160" s="56">
        <f>D158-D157</f>
        <v/>
      </c>
      <c r="E160" s="56">
        <f>E158-E157</f>
        <v/>
      </c>
      <c r="F160" s="56">
        <f>F158-F157</f>
        <v/>
      </c>
      <c r="G160" s="56">
        <f>G158-G157</f>
        <v/>
      </c>
      <c r="H160" s="56">
        <f>H158-H157</f>
        <v/>
      </c>
      <c r="I160" s="56">
        <f>I158-I157</f>
        <v/>
      </c>
      <c r="J160" s="56">
        <f>J158-J157</f>
        <v/>
      </c>
      <c r="K160" s="56">
        <f>K158-K157</f>
        <v/>
      </c>
      <c r="L160" s="56">
        <f>L158-L157</f>
        <v/>
      </c>
      <c r="M160" s="56">
        <f>M158-M157</f>
        <v/>
      </c>
      <c r="N160" s="56">
        <f>N158-N157</f>
        <v/>
      </c>
      <c r="O160" s="56">
        <f>O158-O157</f>
        <v/>
      </c>
      <c r="P160" s="56">
        <f>P158-P157</f>
        <v/>
      </c>
      <c r="Q160" s="56">
        <f>Q158-Q157</f>
        <v/>
      </c>
      <c r="R160" s="56" t="n"/>
      <c r="S160" s="56" t="n"/>
      <c r="T160" s="56" t="n"/>
      <c r="U160" s="56" t="n"/>
      <c r="V160" s="56" t="n"/>
      <c r="W160" s="56">
        <f>W158-W157</f>
        <v/>
      </c>
      <c r="X160" s="56">
        <f>X158-X157</f>
        <v/>
      </c>
      <c r="Y160" s="56">
        <f>Y158-Y157</f>
        <v/>
      </c>
      <c r="Z160" s="56">
        <f>Z158-Z157</f>
        <v/>
      </c>
      <c r="AA160" s="56">
        <f>AA158-AA157</f>
        <v/>
      </c>
      <c r="AB160" s="56">
        <f>AB158-AB157</f>
        <v/>
      </c>
      <c r="AC160" s="583" t="n"/>
      <c r="AD160" s="56">
        <f>AD158-AD157</f>
        <v/>
      </c>
      <c r="AE160" s="56">
        <f>AE158-AE157</f>
        <v/>
      </c>
      <c r="AF160" s="56" t="n"/>
      <c r="AG160" s="56" t="n"/>
      <c r="AH160" s="56" t="n"/>
      <c r="AI160" s="56" t="n"/>
      <c r="AJ160" s="56" t="n"/>
    </row>
    <row r="161">
      <c r="C161" s="584">
        <f>C160/$B$160</f>
        <v/>
      </c>
      <c r="D161" s="584">
        <f>D160/$B$160</f>
        <v/>
      </c>
      <c r="E161" s="584">
        <f>E160/$B$160</f>
        <v/>
      </c>
      <c r="F161" s="584">
        <f>F160/$B$160</f>
        <v/>
      </c>
      <c r="G161" s="584">
        <f>G160/$B$160</f>
        <v/>
      </c>
      <c r="H161" s="584">
        <f>H160/$B$160</f>
        <v/>
      </c>
      <c r="I161" s="584">
        <f>I160/$B$160</f>
        <v/>
      </c>
      <c r="J161" s="584">
        <f>J160/$B$160</f>
        <v/>
      </c>
      <c r="K161" s="584">
        <f>K160/$B$160</f>
        <v/>
      </c>
      <c r="L161" s="584">
        <f>L160/$B$160</f>
        <v/>
      </c>
      <c r="M161" s="584">
        <f>M160/$B$160</f>
        <v/>
      </c>
      <c r="N161" s="584">
        <f>N160/$B$160</f>
        <v/>
      </c>
      <c r="O161" s="584">
        <f>O160/$B$160</f>
        <v/>
      </c>
      <c r="P161" s="584">
        <f>P160/$B$160</f>
        <v/>
      </c>
      <c r="Q161" s="584">
        <f>Q160/$B$160</f>
        <v/>
      </c>
      <c r="R161" s="584" t="n"/>
      <c r="S161" s="584" t="n"/>
      <c r="T161" s="584" t="n"/>
      <c r="U161" s="584" t="n"/>
      <c r="V161" s="584" t="n"/>
      <c r="W161" s="584">
        <f>W160/$B$160</f>
        <v/>
      </c>
      <c r="X161" s="584">
        <f>X160/$B$160</f>
        <v/>
      </c>
      <c r="Y161" s="584">
        <f>Y160/$B$160</f>
        <v/>
      </c>
      <c r="Z161" s="584">
        <f>Z160/$B$160</f>
        <v/>
      </c>
      <c r="AA161" s="584">
        <f>AA160/$B$160</f>
        <v/>
      </c>
      <c r="AB161" s="584">
        <f>AB160/$B$160</f>
        <v/>
      </c>
      <c r="AC161" s="585" t="n"/>
      <c r="AD161" s="584">
        <f>AD160/$B$160</f>
        <v/>
      </c>
      <c r="AE161" s="584">
        <f>AE160/$B$160</f>
        <v/>
      </c>
      <c r="AF161" s="584" t="n"/>
      <c r="AG161" s="584" t="n"/>
      <c r="AH161" s="584" t="n"/>
      <c r="AI161" s="584" t="n"/>
      <c r="AJ161" s="584" t="n"/>
    </row>
    <row r="162"/>
    <row r="163"/>
    <row r="164">
      <c r="B164" s="55" t="n">
        <v>8250000</v>
      </c>
    </row>
    <row r="165">
      <c r="B165" s="55" t="n">
        <v>350000</v>
      </c>
    </row>
    <row r="166">
      <c r="B166" s="55">
        <f>B165/B164</f>
        <v/>
      </c>
    </row>
  </sheetData>
  <mergeCells count="2">
    <mergeCell ref="AO8:AQ8"/>
    <mergeCell ref="AO9:AQ9"/>
  </mergeCells>
  <pageMargins left="0.7" right="0.7" top="0.75" bottom="0.75" header="0.3" footer="0.3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Louis Law</dc:creator>
  <dcterms:created xmlns:dcterms="http://purl.org/dc/terms/" xmlns:xsi="http://www.w3.org/2001/XMLSchema-instance" xsi:type="dcterms:W3CDTF">2024-02-01T23:41:14Z</dcterms:created>
  <dcterms:modified xmlns:dcterms="http://purl.org/dc/terms/" xmlns:xsi="http://www.w3.org/2001/XMLSchema-instance" xsi:type="dcterms:W3CDTF">2026-07-09T02:45:50Z</dcterms:modified>
  <cp:lastModifiedBy>Chen Kai Xin Tiffany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0x010100A29A70560454A24D9B372805159B7667</vt:lpwstr>
  </property>
  <property name="MediaServiceImageTags" fmtid="{D5CDD505-2E9C-101B-9397-08002B2CF9AE}" pid="3">
    <vt:lpwstr xmlns:vt="http://schemas.openxmlformats.org/officeDocument/2006/docPropsVTypes"/>
  </property>
</Properties>
</file>