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comments/comment16.xml" ContentType="application/vnd.openxmlformats-officedocument.spreadsheetml.comments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comments/comment17.xml" ContentType="application/vnd.openxmlformats-officedocument.spreadsheetml.comments+xml"/>
  <Override PartName="/xl/worksheets/sheet23.xml" ContentType="application/vnd.openxmlformats-officedocument.spreadsheetml.worksheet+xml"/>
  <Override PartName="/xl/comments/comment18.xml" ContentType="application/vnd.openxmlformats-officedocument.spreadsheetml.comments+xml"/>
  <Override PartName="/xl/worksheets/sheet24.xml" ContentType="application/vnd.openxmlformats-officedocument.spreadsheetml.worksheet+xml"/>
  <Override PartName="/xl/comments/comment19.xml" ContentType="application/vnd.openxmlformats-officedocument.spreadsheetml.comments+xml"/>
  <Override PartName="/xl/worksheets/sheet25.xml" ContentType="application/vnd.openxmlformats-officedocument.spreadsheetml.worksheet+xml"/>
  <Override PartName="/xl/comments/comment20.xml" ContentType="application/vnd.openxmlformats-officedocument.spreadsheetml.comments+xml"/>
  <Override PartName="/xl/worksheets/sheet26.xml" ContentType="application/vnd.openxmlformats-officedocument.spreadsheetml.worksheet+xml"/>
  <Override PartName="/xl/drawings/drawing14.xml" ContentType="application/vnd.openxmlformats-officedocument.drawing+xml"/>
  <Override PartName="/xl/comments/comment21.xml" ContentType="application/vnd.openxmlformats-officedocument.spreadsheetml.comments+xml"/>
  <Override PartName="/xl/worksheets/sheet27.xml" ContentType="application/vnd.openxmlformats-officedocument.spreadsheetml.worksheet+xml"/>
  <Override PartName="/xl/drawings/drawing15.xml" ContentType="application/vnd.openxmlformats-officedocument.drawing+xml"/>
  <Override PartName="/xl/worksheets/sheet28.xml" ContentType="application/vnd.openxmlformats-officedocument.spreadsheetml.worksheet+xml"/>
  <Override PartName="/xl/drawings/drawing16.xml" ContentType="application/vnd.openxmlformats-officedocument.drawing+xml"/>
  <Override PartName="/xl/comments/comment22.xml" ContentType="application/vnd.openxmlformats-officedocument.spreadsheetml.comments+xml"/>
  <Override PartName="/xl/worksheets/sheet29.xml" ContentType="application/vnd.openxmlformats-officedocument.spreadsheetml.worksheet+xml"/>
  <Override PartName="/xl/drawings/drawing17.xml" ContentType="application/vnd.openxmlformats-officedocument.drawing+xml"/>
  <Override PartName="/xl/comments/comment23.xml" ContentType="application/vnd.openxmlformats-officedocument.spreadsheetml.comments+xml"/>
  <Override PartName="/xl/worksheets/sheet30.xml" ContentType="application/vnd.openxmlformats-officedocument.spreadsheetml.worksheet+xml"/>
  <Override PartName="/xl/comments/comment24.xml" ContentType="application/vnd.openxmlformats-officedocument.spreadsheetml.comments+xml"/>
  <Override PartName="/xl/worksheets/sheet31.xml" ContentType="application/vnd.openxmlformats-officedocument.spreadsheetml.worksheet+xml"/>
  <Override PartName="/xl/drawings/drawing18.xml" ContentType="application/vnd.openxmlformats-officedocument.drawing+xml"/>
  <Override PartName="/xl/worksheets/sheet32.xml" ContentType="application/vnd.openxmlformats-officedocument.spreadsheetml.worksheet+xml"/>
  <Override PartName="/xl/drawings/drawing19.xml" ContentType="application/vnd.openxmlformats-officedocument.drawing+xml"/>
  <Override PartName="/xl/worksheets/sheet33.xml" ContentType="application/vnd.openxmlformats-officedocument.spreadsheetml.worksheet+xml"/>
  <Override PartName="/xl/drawings/drawing20.xml" ContentType="application/vnd.openxmlformats-officedocument.drawing+xml"/>
  <Override PartName="/xl/comments/comment25.xml" ContentType="application/vnd.openxmlformats-officedocument.spreadsheetml.comments+xml"/>
  <Override PartName="/xl/worksheets/sheet34.xml" ContentType="application/vnd.openxmlformats-officedocument.spreadsheetml.worksheet+xml"/>
  <Override PartName="/xl/comments/comment26.xml" ContentType="application/vnd.openxmlformats-officedocument.spreadsheetml.comments+xml"/>
  <Override PartName="/xl/worksheets/sheet35.xml" ContentType="application/vnd.openxmlformats-officedocument.spreadsheetml.worksheet+xml"/>
  <Override PartName="/xl/drawings/drawing21.xml" ContentType="application/vnd.openxmlformats-officedocument.drawing+xml"/>
  <Override PartName="/xl/worksheets/sheet36.xml" ContentType="application/vnd.openxmlformats-officedocument.spreadsheetml.worksheet+xml"/>
  <Override PartName="/xl/drawings/drawing22.xml" ContentType="application/vnd.openxmlformats-officedocument.drawing+xml"/>
  <Override PartName="/xl/comments/comment27.xml" ContentType="application/vnd.openxmlformats-officedocument.spreadsheetml.comments+xml"/>
  <Override PartName="/xl/worksheets/sheet37.xml" ContentType="application/vnd.openxmlformats-officedocument.spreadsheetml.worksheet+xml"/>
  <Override PartName="/xl/comments/comment28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omments/comment29.xml" ContentType="application/vnd.openxmlformats-officedocument.spreadsheetml.comments+xml"/>
  <Override PartName="/xl/worksheets/sheet40.xml" ContentType="application/vnd.openxmlformats-officedocument.spreadsheetml.worksheet+xml"/>
  <Override PartName="/xl/drawings/drawing23.xml" ContentType="application/vnd.openxmlformats-officedocument.drawing+xml"/>
  <Override PartName="/xl/comments/comment30.xml" ContentType="application/vnd.openxmlformats-officedocument.spreadsheetml.comments+xml"/>
  <Override PartName="/xl/worksheets/sheet41.xml" ContentType="application/vnd.openxmlformats-officedocument.spreadsheetml.worksheet+xml"/>
  <Override PartName="/xl/comments/comment3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20" yWindow="680" windowWidth="20940" windowHeight="15700" tabRatio="600" firstSheet="3" activeTab="4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Annual Report (Energy)" sheetId="2" state="visible" r:id="rId2"/>
    <sheet xmlns:r="http://schemas.openxmlformats.org/officeDocument/2006/relationships" name="Monthly Renewable" sheetId="3" state="visible" r:id="rId3"/>
    <sheet xmlns:r="http://schemas.openxmlformats.org/officeDocument/2006/relationships" name="Yearly Renewable" sheetId="4" state="visible" r:id="rId4"/>
    <sheet xmlns:r="http://schemas.openxmlformats.org/officeDocument/2006/relationships" name="Monthly Electricity (Overview)" sheetId="5" state="visible" r:id="rId5"/>
    <sheet xmlns:r="http://schemas.openxmlformats.org/officeDocument/2006/relationships" name="Yearly Electricity (Overview)" sheetId="6" state="visible" r:id="rId6"/>
    <sheet xmlns:r="http://schemas.openxmlformats.org/officeDocument/2006/relationships" name="Monthly Electricity Reformatted" sheetId="7" state="visible" r:id="rId7"/>
    <sheet xmlns:r="http://schemas.openxmlformats.org/officeDocument/2006/relationships" name="Yearly Electricity Reformatted" sheetId="8" state="visible" r:id="rId8"/>
    <sheet xmlns:r="http://schemas.openxmlformats.org/officeDocument/2006/relationships" name="Monthly Electricity (CHECK)" sheetId="9" state="visible" r:id="rId9"/>
    <sheet xmlns:r="http://schemas.openxmlformats.org/officeDocument/2006/relationships" name="Monthly Towngas (TGU)" sheetId="10" state="visible" r:id="rId10"/>
    <sheet xmlns:r="http://schemas.openxmlformats.org/officeDocument/2006/relationships" name="Yearly Towngas (TGU)" sheetId="11" state="visible" r:id="rId11"/>
    <sheet xmlns:r="http://schemas.openxmlformats.org/officeDocument/2006/relationships" name="Yearly Fuel" sheetId="12" state="visible" r:id="rId12"/>
    <sheet xmlns:r="http://schemas.openxmlformats.org/officeDocument/2006/relationships" name="Scope 1" sheetId="13" state="visible" r:id="rId13"/>
    <sheet xmlns:r="http://schemas.openxmlformats.org/officeDocument/2006/relationships" name="Scope 2" sheetId="14" state="visible" r:id="rId14"/>
    <sheet xmlns:r="http://schemas.openxmlformats.org/officeDocument/2006/relationships" name="Scope 3" sheetId="15" state="visible" r:id="rId15"/>
    <sheet xmlns:r="http://schemas.openxmlformats.org/officeDocument/2006/relationships" name="Yearly GHG (mCO2)" sheetId="16" state="visible" r:id="rId16"/>
    <sheet xmlns:r="http://schemas.openxmlformats.org/officeDocument/2006/relationships" name="Emission Factor (new)" sheetId="17" state="visible" r:id="rId17"/>
    <sheet xmlns:r="http://schemas.openxmlformats.org/officeDocument/2006/relationships" name="Emission Factor" sheetId="18" state="visible" r:id="rId18"/>
    <sheet xmlns:r="http://schemas.openxmlformats.org/officeDocument/2006/relationships" name="Annual Report (Water)" sheetId="19" state="visible" r:id="rId19"/>
    <sheet xmlns:r="http://schemas.openxmlformats.org/officeDocument/2006/relationships" name="Half-Year Report (Water)" sheetId="20" state="visible" r:id="rId20"/>
    <sheet xmlns:r="http://schemas.openxmlformats.org/officeDocument/2006/relationships" name="Monthly Potable (Overview)" sheetId="21" state="visible" r:id="rId21"/>
    <sheet xmlns:r="http://schemas.openxmlformats.org/officeDocument/2006/relationships" name="Yearly Potable (Overview)" sheetId="22" state="visible" r:id="rId22"/>
    <sheet xmlns:r="http://schemas.openxmlformats.org/officeDocument/2006/relationships" name="Monthly Seawater (m3)" sheetId="23" state="visible" r:id="rId23"/>
    <sheet xmlns:r="http://schemas.openxmlformats.org/officeDocument/2006/relationships" name="Yearly Seawater (m3)" sheetId="24" state="visible" r:id="rId24"/>
    <sheet xmlns:r="http://schemas.openxmlformats.org/officeDocument/2006/relationships" name="Monthly Potable (Meters)" sheetId="25" state="visible" r:id="rId25"/>
    <sheet xmlns:r="http://schemas.openxmlformats.org/officeDocument/2006/relationships" name="Category Water Data" sheetId="26" state="visible" r:id="rId26"/>
    <sheet xmlns:r="http://schemas.openxmlformats.org/officeDocument/2006/relationships" name="Annual Report (Waste)" sheetId="27" state="visible" r:id="rId27"/>
    <sheet xmlns:r="http://schemas.openxmlformats.org/officeDocument/2006/relationships" name="Half-Year Report (Waste)" sheetId="28" state="visible" r:id="rId28"/>
    <sheet xmlns:r="http://schemas.openxmlformats.org/officeDocument/2006/relationships" name="Raw Data (KG)" sheetId="29" state="visible" r:id="rId29"/>
    <sheet xmlns:r="http://schemas.openxmlformats.org/officeDocument/2006/relationships" name="Monthly Waste by Location (KG)" sheetId="30" state="visible" r:id="rId30"/>
    <sheet xmlns:r="http://schemas.openxmlformats.org/officeDocument/2006/relationships" name="Smart Waste Bin (Staff Quarter)" sheetId="31" state="visible" r:id="rId31"/>
    <sheet xmlns:r="http://schemas.openxmlformats.org/officeDocument/2006/relationships" name="Smart Waste Bin (Canteen)" sheetId="32" state="visible" r:id="rId32"/>
    <sheet xmlns:r="http://schemas.openxmlformats.org/officeDocument/2006/relationships" name="Raw Food Data (KG)" sheetId="33" state="visible" r:id="rId33"/>
    <sheet xmlns:r="http://schemas.openxmlformats.org/officeDocument/2006/relationships" name="Yearly Food Data" sheetId="34" state="visible" r:id="rId34"/>
    <sheet xmlns:r="http://schemas.openxmlformats.org/officeDocument/2006/relationships" name="Category Waste Data" sheetId="35" state="visible" r:id="rId35"/>
    <sheet xmlns:r="http://schemas.openxmlformats.org/officeDocument/2006/relationships" name="Monthly Recycling" sheetId="36" state="visible" r:id="rId36"/>
    <sheet xmlns:r="http://schemas.openxmlformats.org/officeDocument/2006/relationships" name="Yearly Recycling" sheetId="37" state="visible" r:id="rId37"/>
    <sheet xmlns:r="http://schemas.openxmlformats.org/officeDocument/2006/relationships" name="Daily Food Data" sheetId="38" state="visible" r:id="rId38"/>
    <sheet xmlns:r="http://schemas.openxmlformats.org/officeDocument/2006/relationships" name="Monthly Paper Distribution" sheetId="39" state="visible" r:id="rId39"/>
    <sheet xmlns:r="http://schemas.openxmlformats.org/officeDocument/2006/relationships" name="Yearly Paper Distribution" sheetId="40" state="visible" r:id="rId40"/>
    <sheet xmlns:r="http://schemas.openxmlformats.org/officeDocument/2006/relationships" name="Yearly Paper (match monthly)" sheetId="41" state="visible" r:id="rId41"/>
  </sheets>
  <definedNames/>
  <calcPr calcId="191028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[$-409]mmm\-yy;@"/>
    <numFmt numFmtId="166" formatCode="#,##0.0"/>
    <numFmt numFmtId="167" formatCode="0.0%"/>
    <numFmt numFmtId="168" formatCode="#,##0.000"/>
    <numFmt numFmtId="169" formatCode="0.000"/>
    <numFmt numFmtId="170" formatCode="#,##0.0000"/>
    <numFmt numFmtId="171" formatCode="dd/mm/yyyy;@"/>
    <numFmt numFmtId="172" formatCode="_(* #,##0_);_(* \(#,##0\);_(* &quot;-&quot;??_);_(@_)"/>
    <numFmt numFmtId="173" formatCode="yyyy\-mm\-dd"/>
    <numFmt numFmtId="174" formatCode="0.0000"/>
    <numFmt numFmtId="175" formatCode="_-* #,##0_-;\-* #,##0_-;_-* &quot;-&quot;??_-;_-@_-"/>
  </numFmts>
  <fonts count="48">
    <font>
      <name val="Calibri"/>
      <charset val="136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36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sz val="12"/>
    </font>
    <font>
      <name val="Arial"/>
      <family val="2"/>
      <color rgb="FFFF0000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Calibri"/>
      <charset val="136"/>
      <family val="2"/>
      <sz val="8"/>
      <scheme val="minor"/>
    </font>
    <font>
      <name val="Calibri"/>
      <family val="2"/>
      <color rgb="FFFF0000"/>
      <sz val="12"/>
      <scheme val="minor"/>
    </font>
    <font>
      <name val="Arial"/>
      <family val="2"/>
      <b val="1"/>
      <color theme="1"/>
      <sz val="11"/>
    </font>
    <font>
      <name val="Calibri"/>
      <charset val="136"/>
      <family val="1"/>
      <color theme="1"/>
      <sz val="11"/>
      <scheme val="minor"/>
    </font>
    <font>
      <name val="Arial"/>
      <family val="2"/>
      <color theme="1"/>
      <sz val="11"/>
    </font>
    <font>
      <name val="Calibri"/>
      <charset val="136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theme="10"/>
      <sz val="12"/>
      <u val="single"/>
    </font>
    <font>
      <name val="Calibri"/>
      <family val="2"/>
      <b val="1"/>
      <color theme="3"/>
      <sz val="13"/>
      <scheme val="minor"/>
    </font>
    <font>
      <name val="Arial"/>
      <family val="2"/>
      <b val="1"/>
      <color theme="1"/>
      <sz val="12"/>
      <u val="single"/>
    </font>
    <font>
      <name val="Times New Roman"/>
      <family val="1"/>
      <sz val="8.5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rial"/>
      <family val="2"/>
      <color rgb="FF231F20"/>
      <sz val="12"/>
    </font>
    <font>
      <name val="Arial"/>
      <family val="2"/>
      <b val="1"/>
      <color theme="0"/>
      <sz val="12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Helvetica Neue"/>
      <family val="2"/>
      <color theme="1"/>
      <sz val="12"/>
    </font>
    <font>
      <name val="Helvetica Neue"/>
      <family val="2"/>
      <color rgb="FF666666"/>
      <sz val="12"/>
    </font>
    <font>
      <name val="Helvetica Neue"/>
      <family val="2"/>
      <b val="1"/>
      <color rgb="FF666666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</font>
    <font>
      <name val="Arial"/>
      <family val="2"/>
      <b val="1"/>
      <color theme="1"/>
      <sz val="15"/>
    </font>
    <font>
      <name val="Arial"/>
      <family val="2"/>
      <color theme="1"/>
      <sz val="15"/>
    </font>
    <font>
      <name val="Arial"/>
      <family val="2"/>
      <sz val="15"/>
    </font>
    <font>
      <name val="Calibri"/>
      <family val="2"/>
      <color rgb="FF212121"/>
      <sz val="12"/>
    </font>
    <font>
      <name val="PMingLiU"/>
      <charset val="136"/>
      <family val="1"/>
      <color rgb="FF212121"/>
      <sz val="12"/>
    </font>
    <font>
      <name val="Calibri"/>
      <family val="2"/>
      <b val="1"/>
      <color rgb="FF000000"/>
      <sz val="20"/>
    </font>
    <font>
      <name val="Calibri"/>
      <family val="2"/>
      <color rgb="FFFF0000"/>
      <sz val="20"/>
    </font>
    <font>
      <name val="Calibri"/>
      <family val="2"/>
      <b val="1"/>
      <sz val="11"/>
    </font>
    <font>
      <name val="Calibri"/>
      <family val="2"/>
      <b val="1"/>
      <color rgb="FF212121"/>
      <sz val="12"/>
    </font>
    <font>
      <name val="Calibri"/>
      <family val="2"/>
      <color rgb="FF9C0006"/>
      <sz val="12"/>
      <scheme val="minor"/>
    </font>
    <font>
      <name val="Calibri"/>
      <family val="2"/>
      <color rgb="FF9C0006"/>
      <sz val="30"/>
      <scheme val="minor"/>
    </font>
    <font>
      <name val="Tahoma"/>
      <family val="2"/>
      <color rgb="FF000000"/>
      <sz val="11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</patternFill>
    </fill>
    <fill>
      <patternFill patternType="solid">
        <fgColor rgb="FF956D92"/>
        <bgColor indexed="64"/>
      </patternFill>
    </fill>
    <fill>
      <patternFill patternType="solid">
        <fgColor rgb="FF00B0F0"/>
        <bgColor rgb="FF000000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30549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8">
    <xf numFmtId="0" fontId="2" fillId="0" borderId="0"/>
    <xf numFmtId="43" fontId="2" fillId="0" borderId="0"/>
    <xf numFmtId="9" fontId="2" fillId="0" borderId="0"/>
    <xf numFmtId="0" fontId="2" fillId="0" borderId="0" applyAlignment="1">
      <alignment vertical="center"/>
    </xf>
    <xf numFmtId="0" fontId="12" fillId="0" borderId="0" applyAlignment="1">
      <alignment vertical="center"/>
    </xf>
    <xf numFmtId="0" fontId="14" fillId="0" borderId="0"/>
    <xf numFmtId="0" fontId="29" fillId="0" borderId="0"/>
    <xf numFmtId="0" fontId="45" fillId="33" borderId="0"/>
  </cellStyleXfs>
  <cellXfs count="796">
    <xf numFmtId="0" fontId="0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right" vertical="center" wrapText="1"/>
    </xf>
    <xf numFmtId="164" fontId="4" fillId="0" borderId="0" applyAlignment="1" pivotButton="0" quotePrefix="0" xfId="0">
      <alignment vertical="center" wrapText="1"/>
    </xf>
    <xf numFmtId="165" fontId="5" fillId="2" borderId="1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5" fillId="2" borderId="5" applyAlignment="1" pivotButton="0" quotePrefix="0" xfId="0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166" fontId="4" fillId="0" borderId="0" pivotButton="0" quotePrefix="0" xfId="0"/>
    <xf numFmtId="0" fontId="8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5" borderId="1" applyAlignment="1" pivotButton="0" quotePrefix="0" xfId="0">
      <alignment vertical="center"/>
    </xf>
    <xf numFmtId="0" fontId="11" fillId="5" borderId="3" applyAlignment="1" pivotButton="0" quotePrefix="0" xfId="0">
      <alignment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5" borderId="1" applyAlignment="1" pivotButton="0" quotePrefix="0" xfId="0">
      <alignment vertical="center" wrapText="1"/>
    </xf>
    <xf numFmtId="0" fontId="11" fillId="5" borderId="3" applyAlignment="1" pivotButton="0" quotePrefix="0" xfId="0">
      <alignment vertical="center" wrapText="1"/>
    </xf>
    <xf numFmtId="0" fontId="11" fillId="0" borderId="0" applyAlignment="1" applyProtection="1" pivotButton="0" quotePrefix="0" xfId="0">
      <alignment vertical="center" wrapText="1"/>
      <protection locked="0" hidden="0"/>
    </xf>
    <xf numFmtId="17" fontId="11" fillId="5" borderId="1" applyAlignment="1" pivotButton="0" quotePrefix="0" xfId="0">
      <alignment vertical="center"/>
    </xf>
    <xf numFmtId="3" fontId="13" fillId="0" borderId="8" applyAlignment="1" pivotButton="0" quotePrefix="0" xfId="4">
      <alignment vertical="center"/>
    </xf>
    <xf numFmtId="3" fontId="11" fillId="0" borderId="8" applyAlignment="1" pivotButton="0" quotePrefix="0" xfId="4">
      <alignment vertical="center"/>
    </xf>
    <xf numFmtId="0" fontId="13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3" fontId="13" fillId="5" borderId="8" applyAlignment="1" pivotButton="0" quotePrefix="0" xfId="0">
      <alignment vertical="center"/>
    </xf>
    <xf numFmtId="0" fontId="13" fillId="0" borderId="0" applyAlignment="1" applyProtection="1" pivotButton="0" quotePrefix="0" xfId="0">
      <alignment vertical="center"/>
      <protection locked="0" hidden="0"/>
    </xf>
    <xf numFmtId="3" fontId="11" fillId="0" borderId="8" applyAlignment="1" pivotButton="0" quotePrefix="0" xfId="0">
      <alignment vertical="center"/>
    </xf>
    <xf numFmtId="3" fontId="13" fillId="5" borderId="8" applyAlignment="1" pivotButton="0" quotePrefix="0" xfId="4">
      <alignment vertical="center"/>
    </xf>
    <xf numFmtId="0" fontId="13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0">
      <alignment vertical="center"/>
      <protection locked="0" hidden="0"/>
    </xf>
    <xf numFmtId="17" fontId="11" fillId="5" borderId="1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0">
      <alignment vertical="center"/>
      <protection locked="0" hidden="0"/>
    </xf>
    <xf numFmtId="0" fontId="11" fillId="0" borderId="8" applyAlignment="1" applyProtection="1" pivotButton="0" quotePrefix="0" xfId="0">
      <alignment vertical="center"/>
      <protection locked="0" hidden="0"/>
    </xf>
    <xf numFmtId="3" fontId="13" fillId="0" borderId="0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horizontal="right" vertical="center"/>
      <protection locked="0" hidden="0"/>
    </xf>
    <xf numFmtId="1" fontId="13" fillId="0" borderId="8" applyAlignment="1" applyProtection="1" pivotButton="0" quotePrefix="0" xfId="0">
      <alignment vertical="center"/>
      <protection locked="0" hidden="0"/>
    </xf>
    <xf numFmtId="1" fontId="11" fillId="0" borderId="8" applyAlignment="1" applyProtection="1" pivotButton="0" quotePrefix="0" xfId="0">
      <alignment vertical="center"/>
      <protection locked="0" hidden="0"/>
    </xf>
    <xf numFmtId="0" fontId="13" fillId="5" borderId="1" applyAlignment="1" applyProtection="1" pivotButton="0" quotePrefix="0" xfId="0">
      <alignment vertical="center"/>
      <protection locked="0" hidden="0"/>
    </xf>
    <xf numFmtId="0" fontId="8" fillId="5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167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4" fontId="4" fillId="4" borderId="0" applyAlignment="1" pivotButton="0" quotePrefix="0" xfId="0">
      <alignment vertical="center"/>
    </xf>
    <xf numFmtId="165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168" fontId="8" fillId="2" borderId="0" applyAlignment="1" pivotButton="0" quotePrefix="0" xfId="0">
      <alignment horizontal="center" vertical="center" wrapText="1"/>
    </xf>
    <xf numFmtId="4" fontId="8" fillId="2" borderId="0" applyAlignment="1" pivotButton="0" quotePrefix="0" xfId="0">
      <alignment horizontal="center" vertical="center" wrapText="1"/>
    </xf>
    <xf numFmtId="165" fontId="8" fillId="2" borderId="0" applyAlignment="1" pivotButton="0" quotePrefix="0" xfId="3">
      <alignment horizontal="left" vertical="center" wrapText="1"/>
    </xf>
    <xf numFmtId="165" fontId="8" fillId="2" borderId="0" applyAlignment="1" pivotButton="0" quotePrefix="0" xfId="0">
      <alignment horizontal="left" vertical="center"/>
    </xf>
    <xf numFmtId="3" fontId="4" fillId="6" borderId="0" pivotButton="0" quotePrefix="0" xfId="0"/>
    <xf numFmtId="4" fontId="4" fillId="6" borderId="0" applyAlignment="1" pivotButton="0" quotePrefix="0" xfId="0">
      <alignment horizontal="right" vertical="center" wrapText="1"/>
    </xf>
    <xf numFmtId="4" fontId="4" fillId="6" borderId="0" pivotButton="0" quotePrefix="0" xfId="0"/>
    <xf numFmtId="0" fontId="4" fillId="6" borderId="0" applyAlignment="1" pivotButton="0" quotePrefix="0" xfId="0">
      <alignment vertical="center"/>
    </xf>
    <xf numFmtId="4" fontId="4" fillId="6" borderId="0" applyAlignment="1" pivotButton="0" quotePrefix="0" xfId="0">
      <alignment vertical="center"/>
    </xf>
    <xf numFmtId="3" fontId="4" fillId="6" borderId="0" applyAlignment="1" pivotButton="0" quotePrefix="0" xfId="0">
      <alignment vertical="center"/>
    </xf>
    <xf numFmtId="166" fontId="4" fillId="6" borderId="0" applyAlignment="1" pivotButton="0" quotePrefix="0" xfId="0">
      <alignment vertical="center"/>
    </xf>
    <xf numFmtId="3" fontId="4" fillId="6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3" fontId="15" fillId="0" borderId="9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0" fontId="17" fillId="0" borderId="0" applyAlignment="1" pivotButton="0" quotePrefix="0" xfId="5">
      <alignment vertical="center"/>
    </xf>
    <xf numFmtId="0" fontId="16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vertical="center"/>
    </xf>
    <xf numFmtId="165" fontId="16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vertical="center"/>
    </xf>
    <xf numFmtId="165" fontId="8" fillId="2" borderId="5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 wrapText="1"/>
    </xf>
    <xf numFmtId="169" fontId="16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70" fontId="4" fillId="0" borderId="0" applyAlignment="1" pivotButton="0" quotePrefix="0" xfId="0">
      <alignment vertical="center"/>
    </xf>
    <xf numFmtId="4" fontId="15" fillId="0" borderId="0" applyAlignment="1" pivotButton="0" quotePrefix="0" xfId="0">
      <alignment vertical="center"/>
    </xf>
    <xf numFmtId="3" fontId="15" fillId="7" borderId="9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7" fontId="8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1" applyAlignment="1" pivotButton="0" quotePrefix="0" xfId="0">
      <alignment vertical="center"/>
    </xf>
    <xf numFmtId="9" fontId="4" fillId="0" borderId="0" applyAlignment="1" pivotButton="0" quotePrefix="0" xfId="2">
      <alignment vertical="center"/>
    </xf>
    <xf numFmtId="0" fontId="4" fillId="0" borderId="4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169" fontId="4" fillId="4" borderId="1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 wrapText="1"/>
    </xf>
    <xf numFmtId="4" fontId="4" fillId="0" borderId="13" applyAlignment="1" pivotButton="0" quotePrefix="0" xfId="0">
      <alignment vertical="center"/>
    </xf>
    <xf numFmtId="0" fontId="8" fillId="9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/>
    </xf>
    <xf numFmtId="0" fontId="15" fillId="0" borderId="0" applyAlignment="1" pivotButton="0" quotePrefix="0" xfId="0">
      <alignment horizontal="center" vertical="center" wrapText="1"/>
    </xf>
    <xf numFmtId="168" fontId="15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right" vertical="center" wrapText="1"/>
    </xf>
    <xf numFmtId="166" fontId="7" fillId="0" borderId="0" applyAlignment="1" pivotButton="0" quotePrefix="0" xfId="0">
      <alignment horizontal="right" vertical="center" wrapText="1"/>
    </xf>
    <xf numFmtId="166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vertical="center"/>
    </xf>
    <xf numFmtId="10" fontId="16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right"/>
    </xf>
    <xf numFmtId="0" fontId="4" fillId="9" borderId="0" pivotButton="0" quotePrefix="0" xfId="0"/>
    <xf numFmtId="17" fontId="13" fillId="0" borderId="0" applyAlignment="1" pivotButton="0" quotePrefix="0" xfId="0">
      <alignment vertical="center"/>
    </xf>
    <xf numFmtId="17" fontId="4" fillId="0" borderId="0" pivotButton="0" quotePrefix="0" xfId="0"/>
    <xf numFmtId="17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166" fontId="4" fillId="9" borderId="0" applyAlignment="1" pivotButton="0" quotePrefix="0" xfId="0">
      <alignment vertical="center"/>
    </xf>
    <xf numFmtId="4" fontId="4" fillId="9" borderId="0" applyAlignment="1" pivotButton="0" quotePrefix="0" xfId="0">
      <alignment vertical="center"/>
    </xf>
    <xf numFmtId="1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vertical="center" wrapText="1"/>
    </xf>
    <xf numFmtId="3" fontId="4" fillId="9" borderId="0" applyAlignment="1" pivotButton="0" quotePrefix="0" xfId="0">
      <alignment vertical="center"/>
    </xf>
    <xf numFmtId="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10" fontId="4" fillId="0" borderId="0" pivotButton="0" quotePrefix="0" xfId="0"/>
    <xf numFmtId="170" fontId="4" fillId="0" borderId="0" pivotButton="0" quotePrefix="0" xfId="0"/>
    <xf numFmtId="168" fontId="4" fillId="0" borderId="0" pivotButton="0" quotePrefix="0" xfId="0"/>
    <xf numFmtId="17" fontId="8" fillId="2" borderId="0" pivotButton="0" quotePrefix="0" xfId="0"/>
    <xf numFmtId="0" fontId="4" fillId="9" borderId="0" applyAlignment="1" pivotButton="0" quotePrefix="0" xfId="0">
      <alignment horizontal="center" vertical="center"/>
    </xf>
    <xf numFmtId="3" fontId="4" fillId="9" borderId="0" pivotButton="0" quotePrefix="0" xfId="0"/>
    <xf numFmtId="171" fontId="8" fillId="2" borderId="0" pivotButton="0" quotePrefix="0" xfId="0"/>
    <xf numFmtId="0" fontId="6" fillId="20" borderId="1" applyAlignment="1" pivotButton="0" quotePrefix="0" xfId="0">
      <alignment horizontal="right" vertical="center" wrapText="1"/>
    </xf>
    <xf numFmtId="0" fontId="7" fillId="21" borderId="1" applyAlignment="1" pivotButton="0" quotePrefix="0" xfId="0">
      <alignment horizontal="right" vertical="center" wrapText="1"/>
    </xf>
    <xf numFmtId="3" fontId="26" fillId="0" borderId="21" applyAlignment="1" pivotButton="0" quotePrefix="0" xfId="0">
      <alignment horizontal="center" vertical="top" shrinkToFit="1"/>
    </xf>
    <xf numFmtId="9" fontId="4" fillId="0" borderId="0" pivotButton="0" quotePrefix="0" xfId="2"/>
    <xf numFmtId="10" fontId="4" fillId="0" borderId="0" pivotButton="0" quotePrefix="0" xfId="2"/>
    <xf numFmtId="3" fontId="8" fillId="0" borderId="0" applyAlignment="1" pivotButton="0" quotePrefix="0" xfId="0">
      <alignment vertical="center"/>
    </xf>
    <xf numFmtId="3" fontId="16" fillId="0" borderId="9" applyAlignment="1" pivotButton="0" quotePrefix="0" xfId="0">
      <alignment vertical="center"/>
    </xf>
    <xf numFmtId="3" fontId="16" fillId="0" borderId="0" applyAlignment="1" pivotButton="0" quotePrefix="0" xfId="0">
      <alignment vertical="center" wrapText="1"/>
    </xf>
    <xf numFmtId="0" fontId="17" fillId="0" borderId="0" pivotButton="0" quotePrefix="0" xfId="5"/>
    <xf numFmtId="0" fontId="8" fillId="14" borderId="1" applyAlignment="1" pivotButton="0" quotePrefix="0" xfId="3">
      <alignment horizontal="center" vertical="center" wrapText="1"/>
    </xf>
    <xf numFmtId="0" fontId="8" fillId="14" borderId="15" applyAlignment="1" pivotButton="0" quotePrefix="0" xfId="3">
      <alignment horizontal="center" vertical="center" wrapText="1"/>
    </xf>
    <xf numFmtId="0" fontId="5" fillId="14" borderId="15" applyAlignment="1" pivotButton="0" quotePrefix="0" xfId="3">
      <alignment horizontal="center" vertical="center" wrapText="1"/>
    </xf>
    <xf numFmtId="0" fontId="8" fillId="8" borderId="15" applyAlignment="1" pivotButton="0" quotePrefix="0" xfId="3">
      <alignment horizontal="center" vertical="center" wrapText="1"/>
    </xf>
    <xf numFmtId="0" fontId="5" fillId="8" borderId="15" applyAlignment="1" pivotButton="0" quotePrefix="0" xfId="3">
      <alignment horizontal="center" vertical="center" wrapText="1"/>
    </xf>
    <xf numFmtId="0" fontId="8" fillId="15" borderId="15" applyAlignment="1" pivotButton="0" quotePrefix="0" xfId="3">
      <alignment horizontal="center" vertical="center" wrapText="1"/>
    </xf>
    <xf numFmtId="0" fontId="8" fillId="16" borderId="15" applyAlignment="1" pivotButton="0" quotePrefix="0" xfId="3">
      <alignment horizontal="center" vertical="center" wrapText="1"/>
    </xf>
    <xf numFmtId="0" fontId="27" fillId="17" borderId="16" applyAlignment="1" pivotButton="0" quotePrefix="0" xfId="3">
      <alignment horizontal="center" vertical="center" wrapText="1"/>
    </xf>
    <xf numFmtId="0" fontId="4" fillId="9" borderId="0" applyAlignment="1" pivotButton="0" quotePrefix="0" xfId="0">
      <alignment vertical="center" wrapText="1"/>
    </xf>
    <xf numFmtId="3" fontId="4" fillId="19" borderId="0" applyAlignment="1" pivotButton="0" quotePrefix="0" xfId="0">
      <alignment vertical="center" wrapText="1"/>
    </xf>
    <xf numFmtId="17" fontId="8" fillId="0" borderId="0" applyAlignment="1" pivotButton="0" quotePrefix="0" xfId="0">
      <alignment vertical="center" wrapText="1"/>
    </xf>
    <xf numFmtId="3" fontId="15" fillId="0" borderId="0" applyAlignment="1" pivotButton="0" quotePrefix="0" xfId="0">
      <alignment vertical="center" shrinkToFit="1"/>
    </xf>
    <xf numFmtId="0" fontId="8" fillId="11" borderId="0" applyAlignment="1" pivotButton="0" quotePrefix="0" xfId="0">
      <alignment horizontal="left" vertical="center" wrapText="1"/>
    </xf>
    <xf numFmtId="167" fontId="4" fillId="0" borderId="0" pivotButton="0" quotePrefix="0" xfId="2"/>
    <xf numFmtId="0" fontId="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 wrapText="1"/>
    </xf>
    <xf numFmtId="166" fontId="7" fillId="9" borderId="0" applyAlignment="1" pivotButton="0" quotePrefix="0" xfId="0">
      <alignment horizontal="right" vertical="center" wrapText="1"/>
    </xf>
    <xf numFmtId="0" fontId="16" fillId="9" borderId="0" applyAlignment="1" pivotButton="0" quotePrefix="0" xfId="0">
      <alignment vertical="center"/>
    </xf>
    <xf numFmtId="17" fontId="4" fillId="2" borderId="0" applyAlignment="1" pivotButton="0" quotePrefix="0" xfId="0">
      <alignment vertical="center"/>
    </xf>
    <xf numFmtId="17" fontId="4" fillId="24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horizontal="right" vertical="center" wrapText="1"/>
    </xf>
    <xf numFmtId="166" fontId="5" fillId="2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center" vertical="center" wrapText="1"/>
    </xf>
    <xf numFmtId="168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center" wrapText="1"/>
    </xf>
    <xf numFmtId="10" fontId="4" fillId="19" borderId="0" applyAlignment="1" pivotButton="0" quotePrefix="0" xfId="0">
      <alignment vertical="center"/>
    </xf>
    <xf numFmtId="0" fontId="11" fillId="2" borderId="0" pivotButton="0" quotePrefix="0" xfId="0"/>
    <xf numFmtId="0" fontId="11" fillId="0" borderId="0" applyAlignment="1" pivotButton="0" quotePrefix="0" xfId="0">
      <alignment horizontal="center" vertical="center"/>
    </xf>
    <xf numFmtId="9" fontId="4" fillId="0" borderId="0" pivotButton="0" quotePrefix="0" xfId="0"/>
    <xf numFmtId="0" fontId="11" fillId="12" borderId="0" pivotButton="0" quotePrefix="0" xfId="0"/>
    <xf numFmtId="166" fontId="13" fillId="0" borderId="0" pivotButton="0" quotePrefix="0" xfId="0"/>
    <xf numFmtId="166" fontId="13" fillId="0" borderId="0" pivotButton="0" quotePrefix="0" xfId="1"/>
    <xf numFmtId="166" fontId="5" fillId="5" borderId="0" applyAlignment="1" pivotButton="0" quotePrefix="0" xfId="0">
      <alignment horizontal="right" vertical="center" wrapText="1"/>
    </xf>
    <xf numFmtId="167" fontId="4" fillId="0" borderId="0" applyAlignment="1" pivotButton="0" quotePrefix="0" xfId="2">
      <alignment vertical="center"/>
    </xf>
    <xf numFmtId="0" fontId="8" fillId="2" borderId="23" pivotButton="0" quotePrefix="0" xfId="0"/>
    <xf numFmtId="4" fontId="4" fillId="0" borderId="24" pivotButton="0" quotePrefix="0" xfId="0"/>
    <xf numFmtId="4" fontId="4" fillId="0" borderId="24" applyAlignment="1" pivotButton="0" quotePrefix="0" xfId="0">
      <alignment vertical="center"/>
    </xf>
    <xf numFmtId="0" fontId="8" fillId="2" borderId="26" pivotButton="0" quotePrefix="0" xfId="0"/>
    <xf numFmtId="0" fontId="8" fillId="2" borderId="28" pivotButton="0" quotePrefix="0" xfId="0"/>
    <xf numFmtId="4" fontId="4" fillId="0" borderId="29" pivotButton="0" quotePrefix="0" xfId="0"/>
    <xf numFmtId="4" fontId="4" fillId="0" borderId="29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3" fontId="13" fillId="0" borderId="0" pivotButton="0" quotePrefix="0" xfId="0"/>
    <xf numFmtId="3" fontId="13" fillId="8" borderId="0" pivotButton="0" quotePrefix="0" xfId="0"/>
    <xf numFmtId="3" fontId="13" fillId="0" borderId="0" pivotButton="0" quotePrefix="0" xfId="1"/>
    <xf numFmtId="9" fontId="4" fillId="0" borderId="0" applyAlignment="1" pivotButton="0" quotePrefix="0" xfId="0">
      <alignment vertical="center"/>
    </xf>
    <xf numFmtId="0" fontId="8" fillId="25" borderId="0" pivotButton="0" quotePrefix="0" xfId="0"/>
    <xf numFmtId="17" fontId="8" fillId="25" borderId="0" pivotButton="0" quotePrefix="0" xfId="0"/>
    <xf numFmtId="3" fontId="26" fillId="26" borderId="21" applyAlignment="1" pivotButton="0" quotePrefix="0" xfId="0">
      <alignment horizontal="center" vertical="top" shrinkToFit="1"/>
    </xf>
    <xf numFmtId="0" fontId="7" fillId="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center" vertical="top" shrinkToFit="1"/>
    </xf>
    <xf numFmtId="3" fontId="15" fillId="0" borderId="12" applyAlignment="1" pivotButton="0" quotePrefix="0" xfId="0">
      <alignment horizontal="center" vertical="center" wrapText="1" shrinkToFit="1"/>
    </xf>
    <xf numFmtId="1" fontId="15" fillId="0" borderId="12" applyAlignment="1" pivotButton="0" quotePrefix="0" xfId="0">
      <alignment horizontal="center" vertical="center" wrapText="1" shrinkToFit="1"/>
    </xf>
    <xf numFmtId="0" fontId="7" fillId="12" borderId="21" applyAlignment="1" pivotButton="0" quotePrefix="0" xfId="0">
      <alignment horizontal="center" vertical="center" wrapText="1"/>
    </xf>
    <xf numFmtId="1" fontId="15" fillId="0" borderId="12" applyAlignment="1" pivotButton="0" quotePrefix="0" xfId="0">
      <alignment horizontal="center" vertical="center" shrinkToFit="1"/>
    </xf>
    <xf numFmtId="1" fontId="15" fillId="0" borderId="22" applyAlignment="1" pivotButton="0" quotePrefix="0" xfId="0">
      <alignment horizontal="center" vertical="center" wrapText="1" shrinkToFit="1"/>
    </xf>
    <xf numFmtId="1" fontId="15" fillId="0" borderId="32" applyAlignment="1" pivotButton="0" quotePrefix="0" xfId="0">
      <alignment horizontal="center" vertical="center" wrapText="1" shrinkToFit="1"/>
    </xf>
    <xf numFmtId="0" fontId="4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3" fontId="4" fillId="0" borderId="33" applyAlignment="1" pivotButton="0" quotePrefix="0" xfId="0">
      <alignment horizontal="right" vertical="center" wrapText="1"/>
    </xf>
    <xf numFmtId="3" fontId="4" fillId="0" borderId="34" applyAlignment="1" pivotButton="0" quotePrefix="0" xfId="0">
      <alignment horizontal="right" vertical="center" wrapText="1"/>
    </xf>
    <xf numFmtId="4" fontId="8" fillId="5" borderId="52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3" fontId="13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/>
    </xf>
    <xf numFmtId="3" fontId="4" fillId="20" borderId="0" applyAlignment="1" pivotButton="0" quotePrefix="0" xfId="0">
      <alignment vertical="center"/>
    </xf>
    <xf numFmtId="4" fontId="4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vertical="center"/>
    </xf>
    <xf numFmtId="4" fontId="4" fillId="19" borderId="0" applyAlignment="1" pivotButton="0" quotePrefix="0" xfId="0">
      <alignment vertical="center"/>
    </xf>
    <xf numFmtId="3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4" fontId="13" fillId="0" borderId="0" applyAlignment="1" pivotButton="0" quotePrefix="0" xfId="0">
      <alignment vertical="center" wrapText="1"/>
    </xf>
    <xf numFmtId="10" fontId="13" fillId="0" borderId="0" applyAlignment="1" pivotButton="0" quotePrefix="0" xfId="0">
      <alignment vertical="center" wrapText="1"/>
    </xf>
    <xf numFmtId="0" fontId="8" fillId="13" borderId="14" applyAlignment="1" pivotButton="0" quotePrefix="0" xfId="3">
      <alignment horizontal="center" vertical="center" wrapText="1"/>
    </xf>
    <xf numFmtId="0" fontId="8" fillId="13" borderId="15" applyAlignment="1" pivotButton="0" quotePrefix="0" xfId="3">
      <alignment horizontal="center" vertical="center" wrapText="1"/>
    </xf>
    <xf numFmtId="0" fontId="8" fillId="4" borderId="18" applyAlignment="1" pivotButton="0" quotePrefix="0" xfId="3">
      <alignment horizontal="center" vertical="center" wrapText="1"/>
    </xf>
    <xf numFmtId="17" fontId="4" fillId="18" borderId="5" applyAlignment="1" pivotButton="0" quotePrefix="0" xfId="3">
      <alignment vertical="center" wrapText="1"/>
    </xf>
    <xf numFmtId="3" fontId="4" fillId="18" borderId="5" applyAlignment="1" pivotButton="0" quotePrefix="0" xfId="3">
      <alignment vertical="center" wrapText="1"/>
    </xf>
    <xf numFmtId="3" fontId="4" fillId="4" borderId="5" applyAlignment="1" pivotButton="0" quotePrefix="0" xfId="3">
      <alignment vertical="center" wrapText="1"/>
    </xf>
    <xf numFmtId="3" fontId="4" fillId="18" borderId="19" applyAlignment="1" pivotButton="0" quotePrefix="0" xfId="3">
      <alignment vertical="center" wrapText="1"/>
    </xf>
    <xf numFmtId="3" fontId="4" fillId="18" borderId="20" applyAlignment="1" pivotButton="0" quotePrefix="0" xfId="3">
      <alignment vertical="center" wrapText="1"/>
    </xf>
    <xf numFmtId="3" fontId="4" fillId="18" borderId="1" applyAlignment="1" pivotButton="0" quotePrefix="0" xfId="3">
      <alignment vertical="center" wrapText="1"/>
    </xf>
    <xf numFmtId="3" fontId="4" fillId="4" borderId="1" applyAlignment="1" pivotButton="0" quotePrefix="0" xfId="3">
      <alignment vertical="center" wrapText="1"/>
    </xf>
    <xf numFmtId="3" fontId="4" fillId="18" borderId="10" applyAlignment="1" pivotButton="0" quotePrefix="0" xfId="3">
      <alignment vertical="center" wrapText="1"/>
    </xf>
    <xf numFmtId="3" fontId="4" fillId="18" borderId="2" applyAlignment="1" pivotButton="0" quotePrefix="0" xfId="3">
      <alignment vertical="center" wrapText="1"/>
    </xf>
    <xf numFmtId="3" fontId="7" fillId="18" borderId="5" applyAlignment="1" pivotButton="0" quotePrefix="0" xfId="3">
      <alignment vertical="center" wrapText="1"/>
    </xf>
    <xf numFmtId="17" fontId="4" fillId="18" borderId="1" applyAlignment="1" pivotButton="0" quotePrefix="0" xfId="3">
      <alignment vertical="center" wrapText="1"/>
    </xf>
    <xf numFmtId="3" fontId="7" fillId="18" borderId="1" applyAlignment="1" pivotButton="0" quotePrefix="0" xfId="3">
      <alignment vertical="center" wrapText="1"/>
    </xf>
    <xf numFmtId="17" fontId="4" fillId="11" borderId="1" applyAlignment="1" pivotButton="0" quotePrefix="0" xfId="3">
      <alignment vertical="center" wrapText="1"/>
    </xf>
    <xf numFmtId="3" fontId="4" fillId="11" borderId="1" applyAlignment="1" pivotButton="0" quotePrefix="0" xfId="3">
      <alignment vertical="center" wrapText="1"/>
    </xf>
    <xf numFmtId="3" fontId="7" fillId="11" borderId="1" applyAlignment="1" pivotButton="0" quotePrefix="0" xfId="3">
      <alignment vertical="center" wrapText="1"/>
    </xf>
    <xf numFmtId="3" fontId="4" fillId="11" borderId="10" applyAlignment="1" pivotButton="0" quotePrefix="0" xfId="3">
      <alignment vertical="center" wrapText="1"/>
    </xf>
    <xf numFmtId="3" fontId="4" fillId="11" borderId="2" applyAlignment="1" pivotButton="0" quotePrefix="0" xfId="3">
      <alignment vertical="center" wrapText="1"/>
    </xf>
    <xf numFmtId="17" fontId="4" fillId="19" borderId="1" applyAlignment="1" pivotButton="0" quotePrefix="0" xfId="3">
      <alignment vertical="center" wrapText="1"/>
    </xf>
    <xf numFmtId="3" fontId="4" fillId="19" borderId="1" applyAlignment="1" pivotButton="0" quotePrefix="0" xfId="3">
      <alignment vertical="center" wrapText="1"/>
    </xf>
    <xf numFmtId="3" fontId="7" fillId="19" borderId="1" applyAlignment="1" pivotButton="0" quotePrefix="0" xfId="3">
      <alignment vertical="center" wrapText="1"/>
    </xf>
    <xf numFmtId="3" fontId="4" fillId="19" borderId="10" applyAlignment="1" pivotButton="0" quotePrefix="0" xfId="3">
      <alignment vertical="center" wrapText="1"/>
    </xf>
    <xf numFmtId="3" fontId="4" fillId="19" borderId="2" applyAlignment="1" pivotButton="0" quotePrefix="0" xfId="3">
      <alignment vertical="center" wrapText="1"/>
    </xf>
    <xf numFmtId="17" fontId="4" fillId="20" borderId="1" applyAlignment="1" pivotButton="0" quotePrefix="0" xfId="3">
      <alignment vertical="center" wrapText="1"/>
    </xf>
    <xf numFmtId="3" fontId="4" fillId="20" borderId="1" applyAlignment="1" pivotButton="0" quotePrefix="0" xfId="3">
      <alignment vertical="center" wrapText="1"/>
    </xf>
    <xf numFmtId="3" fontId="7" fillId="20" borderId="1" applyAlignment="1" pivotButton="0" quotePrefix="0" xfId="3">
      <alignment vertical="center" wrapText="1"/>
    </xf>
    <xf numFmtId="3" fontId="4" fillId="20" borderId="10" applyAlignment="1" pivotButton="0" quotePrefix="0" xfId="3">
      <alignment vertical="center" wrapText="1"/>
    </xf>
    <xf numFmtId="3" fontId="4" fillId="20" borderId="2" applyAlignment="1" pivotButton="0" quotePrefix="0" xfId="3">
      <alignment vertical="center" wrapText="1"/>
    </xf>
    <xf numFmtId="3" fontId="6" fillId="20" borderId="1" applyAlignment="1" pivotButton="0" quotePrefix="0" xfId="3">
      <alignment vertical="center" wrapText="1"/>
    </xf>
    <xf numFmtId="17" fontId="4" fillId="21" borderId="1" applyAlignment="1" pivotButton="0" quotePrefix="0" xfId="3">
      <alignment vertical="center" wrapText="1"/>
    </xf>
    <xf numFmtId="3" fontId="4" fillId="21" borderId="1" applyAlignment="1" pivotButton="0" quotePrefix="0" xfId="3">
      <alignment vertical="center" wrapText="1"/>
    </xf>
    <xf numFmtId="3" fontId="7" fillId="21" borderId="1" applyAlignment="1" pivotButton="0" quotePrefix="0" xfId="3">
      <alignment vertical="center" wrapText="1"/>
    </xf>
    <xf numFmtId="3" fontId="4" fillId="21" borderId="10" applyAlignment="1" pivotButton="0" quotePrefix="0" xfId="3">
      <alignment vertical="center" wrapText="1"/>
    </xf>
    <xf numFmtId="3" fontId="4" fillId="21" borderId="2" applyAlignment="1" pivotButton="0" quotePrefix="0" xfId="3">
      <alignment vertical="center" wrapText="1"/>
    </xf>
    <xf numFmtId="17" fontId="7" fillId="21" borderId="1" applyAlignment="1" pivotButton="0" quotePrefix="0" xfId="3">
      <alignment vertical="center" wrapText="1"/>
    </xf>
    <xf numFmtId="3" fontId="7" fillId="21" borderId="10" applyAlignment="1" pivotButton="0" quotePrefix="0" xfId="3">
      <alignment vertical="center" wrapText="1"/>
    </xf>
    <xf numFmtId="3" fontId="7" fillId="21" borderId="2" applyAlignment="1" pivotButton="0" quotePrefix="0" xfId="3">
      <alignment vertical="center" wrapText="1"/>
    </xf>
    <xf numFmtId="3" fontId="7" fillId="19" borderId="2" applyAlignment="1" pivotButton="0" quotePrefix="0" xfId="3">
      <alignment vertical="center" wrapText="1"/>
    </xf>
    <xf numFmtId="3" fontId="7" fillId="11" borderId="2" applyAlignment="1" pivotButton="0" quotePrefix="0" xfId="3">
      <alignment vertical="center" wrapText="1"/>
    </xf>
    <xf numFmtId="17" fontId="4" fillId="22" borderId="1" applyAlignment="1" pivotButton="0" quotePrefix="0" xfId="3">
      <alignment vertical="center" wrapText="1"/>
    </xf>
    <xf numFmtId="3" fontId="7" fillId="22" borderId="1" applyAlignment="1" pivotButton="0" quotePrefix="0" xfId="3">
      <alignment vertical="center" wrapText="1"/>
    </xf>
    <xf numFmtId="3" fontId="4" fillId="22" borderId="10" applyAlignment="1" pivotButton="0" quotePrefix="0" xfId="3">
      <alignment vertical="center" wrapText="1"/>
    </xf>
    <xf numFmtId="3" fontId="7" fillId="22" borderId="2" applyAlignment="1" pivotButton="0" quotePrefix="0" xfId="3">
      <alignment vertical="center" wrapText="1"/>
    </xf>
    <xf numFmtId="3" fontId="7" fillId="20" borderId="2" applyAlignment="1" pivotButton="0" quotePrefix="0" xfId="3">
      <alignment vertical="center" wrapText="1"/>
    </xf>
    <xf numFmtId="17" fontId="4" fillId="23" borderId="1" applyAlignment="1" pivotButton="0" quotePrefix="0" xfId="3">
      <alignment vertical="center" wrapText="1"/>
    </xf>
    <xf numFmtId="3" fontId="7" fillId="23" borderId="1" applyAlignment="1" pivotButton="0" quotePrefix="0" xfId="3">
      <alignment vertical="center" wrapText="1"/>
    </xf>
    <xf numFmtId="3" fontId="4" fillId="23" borderId="10" applyAlignment="1" pivotButton="0" quotePrefix="0" xfId="3">
      <alignment vertical="center" wrapText="1"/>
    </xf>
    <xf numFmtId="3" fontId="7" fillId="23" borderId="2" applyAlignment="1" pivotButton="0" quotePrefix="0" xfId="3">
      <alignment vertical="center" wrapText="1"/>
    </xf>
    <xf numFmtId="0" fontId="7" fillId="18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4" fillId="21" borderId="1" applyAlignment="1" pivotButton="0" quotePrefix="0" xfId="0">
      <alignment vertical="center" wrapText="1"/>
    </xf>
    <xf numFmtId="3" fontId="4" fillId="21" borderId="1" applyAlignment="1" pivotButton="0" quotePrefix="0" xfId="0">
      <alignment vertical="center" wrapText="1"/>
    </xf>
    <xf numFmtId="3" fontId="4" fillId="19" borderId="1" applyAlignment="1" pivotButton="0" quotePrefix="0" xfId="0">
      <alignment vertical="center" wrapText="1"/>
    </xf>
    <xf numFmtId="3" fontId="4" fillId="11" borderId="1" applyAlignment="1" pivotButton="0" quotePrefix="0" xfId="0">
      <alignment vertical="center" wrapText="1"/>
    </xf>
    <xf numFmtId="3" fontId="4" fillId="22" borderId="1" applyAlignment="1" pivotButton="0" quotePrefix="0" xfId="0">
      <alignment vertical="center" wrapText="1"/>
    </xf>
    <xf numFmtId="3" fontId="4" fillId="20" borderId="1" applyAlignment="1" pivotButton="0" quotePrefix="0" xfId="0">
      <alignment vertical="center" wrapText="1"/>
    </xf>
    <xf numFmtId="3" fontId="4" fillId="23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 wrapText="1"/>
    </xf>
    <xf numFmtId="17" fontId="8" fillId="11" borderId="1" pivotButton="0" quotePrefix="0" xfId="0"/>
    <xf numFmtId="3" fontId="4" fillId="0" borderId="19" applyAlignment="1" pivotButton="0" quotePrefix="0" xfId="0">
      <alignment vertical="center" wrapText="1"/>
    </xf>
    <xf numFmtId="3" fontId="4" fillId="0" borderId="19" pivotButton="0" quotePrefix="0" xfId="0"/>
    <xf numFmtId="17" fontId="8" fillId="21" borderId="1" pivotButton="0" quotePrefix="0" xfId="0"/>
    <xf numFmtId="17" fontId="8" fillId="20" borderId="1" pivotButton="0" quotePrefix="0" xfId="0"/>
    <xf numFmtId="17" fontId="8" fillId="19" borderId="5" pivotButton="0" quotePrefix="0" xfId="0"/>
    <xf numFmtId="17" fontId="8" fillId="19" borderId="1" pivotButton="0" quotePrefix="0" xfId="0"/>
    <xf numFmtId="17" fontId="8" fillId="10" borderId="5" pivotButton="0" quotePrefix="0" xfId="0"/>
    <xf numFmtId="17" fontId="8" fillId="10" borderId="1" pivotButton="0" quotePrefix="0" xfId="0"/>
    <xf numFmtId="17" fontId="8" fillId="10" borderId="1" applyAlignment="1" pivotButton="0" quotePrefix="0" xfId="0">
      <alignment vertical="center" wrapText="1"/>
    </xf>
    <xf numFmtId="0" fontId="8" fillId="25" borderId="19" pivotButton="0" quotePrefix="0" xfId="0"/>
    <xf numFmtId="4" fontId="4" fillId="0" borderId="19" pivotButton="0" quotePrefix="0" xfId="0"/>
    <xf numFmtId="0" fontId="4" fillId="0" borderId="19" pivotButton="0" quotePrefix="0" xfId="0"/>
    <xf numFmtId="4" fontId="4" fillId="0" borderId="0" applyAlignment="1" pivotButton="0" quotePrefix="0" xfId="0">
      <alignment horizontal="right" wrapText="1"/>
    </xf>
    <xf numFmtId="3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25" borderId="0" pivotButton="0" quotePrefix="0" xfId="0"/>
    <xf numFmtId="0" fontId="30" fillId="0" borderId="0" pivotButton="0" quotePrefix="0" xfId="0"/>
    <xf numFmtId="0" fontId="31" fillId="0" borderId="0" pivotButton="0" quotePrefix="0" xfId="0"/>
    <xf numFmtId="3" fontId="31" fillId="0" borderId="0" pivotButton="0" quotePrefix="0" xfId="0"/>
    <xf numFmtId="3" fontId="32" fillId="0" borderId="0" pivotButton="0" quotePrefix="0" xfId="0"/>
    <xf numFmtId="3" fontId="30" fillId="0" borderId="0" pivotButton="0" quotePrefix="0" xfId="0"/>
    <xf numFmtId="10" fontId="0" fillId="0" borderId="0" pivotButton="0" quotePrefix="0" xfId="0"/>
    <xf numFmtId="1" fontId="13" fillId="0" borderId="0" applyAlignment="1" applyProtection="1" pivotButton="0" quotePrefix="0" xfId="0">
      <alignment vertical="center"/>
      <protection locked="0" hidden="0"/>
    </xf>
    <xf numFmtId="4" fontId="4" fillId="0" borderId="1" applyAlignment="1" pivotButton="0" quotePrefix="0" xfId="1">
      <alignment horizontal="right" vertical="center"/>
    </xf>
    <xf numFmtId="4" fontId="4" fillId="3" borderId="1" applyAlignment="1" pivotButton="0" quotePrefix="0" xfId="1">
      <alignment horizontal="right" vertical="center"/>
    </xf>
    <xf numFmtId="4" fontId="4" fillId="0" borderId="1" applyAlignment="1" pivotButton="0" quotePrefix="0" xfId="1">
      <alignment horizontal="right" vertical="center"/>
    </xf>
    <xf numFmtId="4" fontId="4" fillId="3" borderId="4" applyAlignment="1" pivotButton="0" quotePrefix="0" xfId="1">
      <alignment horizontal="right" vertical="center"/>
    </xf>
    <xf numFmtId="4" fontId="4" fillId="3" borderId="2" applyAlignment="1" pivotButton="0" quotePrefix="0" xfId="1">
      <alignment horizontal="right" vertical="center"/>
    </xf>
    <xf numFmtId="4" fontId="4" fillId="3" borderId="3" applyAlignment="1" pivotButton="0" quotePrefix="0" xfId="1">
      <alignment horizontal="right" vertical="center"/>
    </xf>
    <xf numFmtId="4" fontId="4" fillId="0" borderId="5" applyAlignment="1" pivotButton="0" quotePrefix="0" xfId="1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vertical="center"/>
    </xf>
    <xf numFmtId="4" fontId="28" fillId="0" borderId="0" pivotButton="0" quotePrefix="0" xfId="0"/>
    <xf numFmtId="4" fontId="4" fillId="0" borderId="0" applyAlignment="1" pivotButton="0" quotePrefix="0" xfId="3">
      <alignment vertical="center"/>
    </xf>
    <xf numFmtId="166" fontId="5" fillId="2" borderId="1" applyAlignment="1" pivotButton="0" quotePrefix="0" xfId="0">
      <alignment horizontal="center" vertical="center" wrapText="1"/>
    </xf>
    <xf numFmtId="3" fontId="15" fillId="0" borderId="0" pivotButton="0" quotePrefix="0" xfId="0"/>
    <xf numFmtId="10" fontId="4" fillId="0" borderId="0" applyAlignment="1" pivotButton="0" quotePrefix="0" xfId="0">
      <alignment vertical="center" wrapText="1"/>
    </xf>
    <xf numFmtId="17" fontId="4" fillId="0" borderId="0" applyAlignment="1" pivotButton="0" quotePrefix="0" xfId="0">
      <alignment vertical="center" wrapText="1"/>
    </xf>
    <xf numFmtId="16" fontId="4" fillId="0" borderId="0" applyAlignment="1" pivotButton="0" quotePrefix="0" xfId="0">
      <alignment vertical="center" wrapText="1"/>
    </xf>
    <xf numFmtId="3" fontId="4" fillId="0" borderId="0" applyAlignment="1" pivotButton="0" quotePrefix="0" xfId="2">
      <alignment vertical="center"/>
    </xf>
    <xf numFmtId="4" fontId="4" fillId="0" borderId="0" applyAlignment="1" pivotButton="0" quotePrefix="0" xfId="0">
      <alignment horizontal="right" vertical="center" wrapText="1"/>
    </xf>
    <xf numFmtId="172" fontId="4" fillId="0" borderId="0" applyAlignment="1" pivotButton="0" quotePrefix="0" xfId="1">
      <alignment vertical="center"/>
    </xf>
    <xf numFmtId="0" fontId="4" fillId="10" borderId="55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3" fontId="4" fillId="12" borderId="0" applyAlignment="1" pivotButton="0" quotePrefix="0" xfId="0">
      <alignment vertical="center"/>
    </xf>
    <xf numFmtId="167" fontId="13" fillId="0" borderId="0" applyAlignment="1" pivotButton="0" quotePrefix="0" xfId="2">
      <alignment vertical="center" wrapText="1"/>
    </xf>
    <xf numFmtId="10" fontId="13" fillId="0" borderId="0" applyAlignment="1" pivotButton="0" quotePrefix="0" xfId="2">
      <alignment vertical="center" wrapText="1"/>
    </xf>
    <xf numFmtId="3" fontId="15" fillId="0" borderId="0" applyAlignment="1" pivotButton="0" quotePrefix="0" xfId="0">
      <alignment horizontal="right" vertical="top" wrapText="1" shrinkToFit="1"/>
    </xf>
    <xf numFmtId="3" fontId="4" fillId="0" borderId="0" applyAlignment="1" pivotButton="0" quotePrefix="0" xfId="0">
      <alignment horizontal="right" vertical="center" wrapText="1"/>
    </xf>
    <xf numFmtId="3" fontId="4" fillId="4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8" fillId="28" borderId="0" applyAlignment="1" pivotButton="0" quotePrefix="0" xfId="0">
      <alignment vertical="center" wrapText="1"/>
    </xf>
    <xf numFmtId="0" fontId="8" fillId="28" borderId="0" applyAlignment="1" pivotButton="0" quotePrefix="0" xfId="0">
      <alignment horizontal="center" vertical="center" wrapText="1"/>
    </xf>
    <xf numFmtId="17" fontId="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8" fillId="5" borderId="8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172" fontId="4" fillId="0" borderId="0" applyAlignment="1" pivotButton="0" quotePrefix="0" xfId="1">
      <alignment horizontal="center" vertical="center"/>
    </xf>
    <xf numFmtId="172" fontId="5" fillId="2" borderId="0" applyAlignment="1" pivotButton="0" quotePrefix="0" xfId="1">
      <alignment horizontal="center" vertical="center" wrapText="1"/>
    </xf>
    <xf numFmtId="172" fontId="5" fillId="2" borderId="6" applyAlignment="1" pivotButton="0" quotePrefix="0" xfId="1">
      <alignment horizontal="center" vertical="center" wrapText="1"/>
    </xf>
    <xf numFmtId="172" fontId="5" fillId="2" borderId="7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center" vertical="center" wrapText="1"/>
    </xf>
    <xf numFmtId="172" fontId="4" fillId="4" borderId="0" applyAlignment="1" pivotButton="0" quotePrefix="0" xfId="1">
      <alignment horizontal="center" vertical="center" wrapText="1"/>
    </xf>
    <xf numFmtId="172" fontId="7" fillId="6" borderId="5" applyAlignment="1" pivotButton="0" quotePrefix="0" xfId="1">
      <alignment horizontal="right" vertical="center" wrapText="1"/>
    </xf>
    <xf numFmtId="172" fontId="6" fillId="6" borderId="5" applyAlignment="1" pivotButton="0" quotePrefix="0" xfId="1">
      <alignment horizontal="right" vertical="center" wrapText="1"/>
    </xf>
    <xf numFmtId="172" fontId="7" fillId="6" borderId="6" applyAlignment="1" pivotButton="0" quotePrefix="0" xfId="1">
      <alignment horizontal="right" vertical="center"/>
    </xf>
    <xf numFmtId="172" fontId="7" fillId="6" borderId="1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 wrapText="1"/>
    </xf>
    <xf numFmtId="172" fontId="5" fillId="6" borderId="5" applyAlignment="1" pivotButton="0" quotePrefix="0" xfId="1">
      <alignment horizontal="right" vertical="center" wrapText="1"/>
    </xf>
    <xf numFmtId="172" fontId="4" fillId="4" borderId="0" applyAlignment="1" pivotButton="0" quotePrefix="0" xfId="1">
      <alignment vertical="center"/>
    </xf>
    <xf numFmtId="172" fontId="7" fillId="6" borderId="1" applyAlignment="1" pivotButton="0" quotePrefix="0" xfId="1">
      <alignment horizontal="right" vertical="center" wrapText="1"/>
    </xf>
    <xf numFmtId="172" fontId="6" fillId="6" borderId="1" applyAlignment="1" pivotButton="0" quotePrefix="0" xfId="1">
      <alignment horizontal="right" vertical="center" wrapText="1"/>
    </xf>
    <xf numFmtId="172" fontId="4" fillId="6" borderId="1" applyAlignment="1" pivotButton="0" quotePrefix="0" xfId="1">
      <alignment vertical="center" wrapText="1"/>
    </xf>
    <xf numFmtId="172" fontId="6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4" fillId="0" borderId="1" applyAlignment="1" pivotButton="0" quotePrefix="0" xfId="1">
      <alignment vertical="center" wrapText="1"/>
    </xf>
    <xf numFmtId="172" fontId="7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7" fillId="0" borderId="7" applyAlignment="1" pivotButton="0" quotePrefix="0" xfId="1">
      <alignment horizontal="right" vertical="center"/>
    </xf>
    <xf numFmtId="172" fontId="4" fillId="6" borderId="1" applyAlignment="1" pivotButton="0" quotePrefix="0" xfId="1">
      <alignment vertical="center"/>
    </xf>
    <xf numFmtId="172" fontId="4" fillId="6" borderId="1" applyAlignment="1" pivotButton="0" quotePrefix="0" xfId="1">
      <alignment horizontal="right" vertical="center" wrapText="1"/>
    </xf>
    <xf numFmtId="172" fontId="4" fillId="6" borderId="0" applyAlignment="1" pivotButton="0" quotePrefix="0" xfId="1">
      <alignment vertical="center"/>
    </xf>
    <xf numFmtId="172" fontId="3" fillId="6" borderId="1" applyAlignment="1" pivotButton="0" quotePrefix="0" xfId="1">
      <alignment vertical="center"/>
    </xf>
    <xf numFmtId="172" fontId="4" fillId="0" borderId="1" applyAlignment="1" pivotButton="0" quotePrefix="0" xfId="1">
      <alignment vertical="center"/>
    </xf>
    <xf numFmtId="172" fontId="7" fillId="3" borderId="1" applyAlignment="1" pivotButton="0" quotePrefix="0" xfId="1">
      <alignment horizontal="right" vertical="center" wrapText="1"/>
    </xf>
    <xf numFmtId="172" fontId="4" fillId="0" borderId="0" pivotButton="0" quotePrefix="0" xfId="1"/>
    <xf numFmtId="172" fontId="7" fillId="0" borderId="0" applyAlignment="1" pivotButton="0" quotePrefix="0" xfId="1">
      <alignment horizontal="center" vertical="center" wrapText="1"/>
    </xf>
    <xf numFmtId="172" fontId="7" fillId="0" borderId="0" applyAlignment="1" pivotButton="0" quotePrefix="0" xfId="1">
      <alignment horizontal="right" vertical="center" wrapText="1"/>
    </xf>
    <xf numFmtId="172" fontId="4" fillId="0" borderId="0" applyAlignment="1" pivotButton="0" quotePrefix="0" xfId="1">
      <alignment vertical="center" wrapText="1"/>
    </xf>
    <xf numFmtId="172" fontId="4" fillId="0" borderId="0" applyAlignment="1" pivotButton="0" quotePrefix="0" xfId="1">
      <alignment horizontal="left" vertical="center" wrapText="1"/>
    </xf>
    <xf numFmtId="9" fontId="15" fillId="0" borderId="0" applyAlignment="1" pivotButton="0" quotePrefix="0" xfId="2">
      <alignment vertical="center"/>
    </xf>
    <xf numFmtId="9" fontId="4" fillId="0" borderId="0" applyAlignment="1" pivotButton="0" quotePrefix="0" xfId="2">
      <alignment vertical="center"/>
    </xf>
    <xf numFmtId="172" fontId="4" fillId="29" borderId="0" applyAlignment="1" pivotButton="0" quotePrefix="0" xfId="1">
      <alignment vertical="center"/>
    </xf>
    <xf numFmtId="172" fontId="15" fillId="29" borderId="0" applyAlignment="1" pivotButton="0" quotePrefix="0" xfId="2">
      <alignment vertical="center"/>
    </xf>
    <xf numFmtId="172" fontId="15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40" fontId="36" fillId="5" borderId="38" applyAlignment="1" pivotButton="0" quotePrefix="0" xfId="0">
      <alignment vertical="center"/>
    </xf>
    <xf numFmtId="40" fontId="36" fillId="5" borderId="45" applyAlignment="1" pivotButton="0" quotePrefix="0" xfId="0">
      <alignment vertical="center" wrapText="1"/>
    </xf>
    <xf numFmtId="40" fontId="38" fillId="0" borderId="1" applyAlignment="1" pivotButton="0" quotePrefix="0" xfId="0">
      <alignment vertical="center" wrapText="1"/>
    </xf>
    <xf numFmtId="40" fontId="37" fillId="5" borderId="4" applyAlignment="1" pivotButton="0" quotePrefix="0" xfId="0">
      <alignment vertical="center" wrapText="1"/>
    </xf>
    <xf numFmtId="40" fontId="36" fillId="5" borderId="4" applyAlignment="1" pivotButton="0" quotePrefix="0" xfId="0">
      <alignment vertical="center" wrapText="1"/>
    </xf>
    <xf numFmtId="0" fontId="13" fillId="6" borderId="8" applyAlignment="1" applyProtection="1" pivotButton="0" quotePrefix="0" xfId="0">
      <alignment vertical="center"/>
      <protection locked="0" hidden="0"/>
    </xf>
    <xf numFmtId="0" fontId="0" fillId="30" borderId="1" pivotButton="0" quotePrefix="0" xfId="0"/>
    <xf numFmtId="17" fontId="0" fillId="31" borderId="1" pivotButton="0" quotePrefix="0" xfId="0"/>
    <xf numFmtId="3" fontId="0" fillId="6" borderId="1" pivotButton="0" quotePrefix="0" xfId="0"/>
    <xf numFmtId="3" fontId="0" fillId="6" borderId="1" applyAlignment="1" pivotButton="0" quotePrefix="0" xfId="0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3" fontId="0" fillId="0" borderId="0" pivotButton="0" quotePrefix="0" xfId="0"/>
    <xf numFmtId="0" fontId="41" fillId="4" borderId="57" applyAlignment="1" pivotButton="0" quotePrefix="0" xfId="0">
      <alignment horizontal="center" vertical="center" wrapText="1" readingOrder="1"/>
    </xf>
    <xf numFmtId="3" fontId="42" fillId="4" borderId="58" applyAlignment="1" pivotButton="0" quotePrefix="0" xfId="0">
      <alignment horizontal="center" vertical="center" wrapText="1" readingOrder="1"/>
    </xf>
    <xf numFmtId="3" fontId="42" fillId="4" borderId="31" applyAlignment="1" pivotButton="0" quotePrefix="0" xfId="0">
      <alignment horizontal="center" vertical="center" wrapText="1" readingOrder="1"/>
    </xf>
    <xf numFmtId="167" fontId="0" fillId="0" borderId="0" pivotButton="0" quotePrefix="0" xfId="0"/>
    <xf numFmtId="164" fontId="0" fillId="0" borderId="0" pivotButton="0" quotePrefix="0" xfId="0"/>
    <xf numFmtId="0" fontId="43" fillId="0" borderId="1" applyAlignment="1" pivotButton="0" quotePrefix="0" xfId="0">
      <alignment horizontal="center" vertical="top"/>
    </xf>
    <xf numFmtId="0" fontId="43" fillId="0" borderId="1" applyAlignment="1" pivotButton="0" quotePrefix="0" xfId="0">
      <alignment horizontal="center" vertical="top" wrapText="1"/>
    </xf>
    <xf numFmtId="173" fontId="0" fillId="0" borderId="0" pivotButton="0" quotePrefix="0" xfId="0"/>
    <xf numFmtId="4" fontId="4" fillId="0" borderId="59" applyAlignment="1" pivotButton="0" quotePrefix="0" xfId="0">
      <alignment readingOrder="1"/>
    </xf>
    <xf numFmtId="0" fontId="4" fillId="0" borderId="60" applyAlignment="1" pivotButton="0" quotePrefix="0" xfId="0">
      <alignment readingOrder="1"/>
    </xf>
    <xf numFmtId="0" fontId="4" fillId="0" borderId="61" applyAlignment="1" pivotButton="0" quotePrefix="0" xfId="0">
      <alignment readingOrder="1"/>
    </xf>
    <xf numFmtId="4" fontId="4" fillId="5" borderId="4" applyAlignment="1" pivotButton="0" quotePrefix="0" xfId="0">
      <alignment vertical="center" wrapText="1"/>
    </xf>
    <xf numFmtId="4" fontId="4" fillId="5" borderId="43" applyAlignment="1" pivotButton="0" quotePrefix="0" xfId="0">
      <alignment vertical="center" wrapText="1"/>
    </xf>
    <xf numFmtId="0" fontId="13" fillId="0" borderId="0" pivotButton="0" quotePrefix="0" xfId="0"/>
    <xf numFmtId="40" fontId="37" fillId="0" borderId="35" applyAlignment="1" pivotButton="0" quotePrefix="0" xfId="0">
      <alignment vertical="center"/>
    </xf>
    <xf numFmtId="40" fontId="37" fillId="5" borderId="37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/>
    </xf>
    <xf numFmtId="0" fontId="36" fillId="0" borderId="1" pivotButton="0" quotePrefix="0" xfId="0"/>
    <xf numFmtId="0" fontId="37" fillId="0" borderId="1" pivotButton="0" quotePrefix="0" xfId="0"/>
    <xf numFmtId="4" fontId="37" fillId="0" borderId="1" pivotButton="0" quotePrefix="0" xfId="0"/>
    <xf numFmtId="4" fontId="8" fillId="5" borderId="47" applyAlignment="1" pivotButton="0" quotePrefix="0" xfId="0">
      <alignment horizontal="center" vertical="center" wrapText="1"/>
    </xf>
    <xf numFmtId="4" fontId="4" fillId="5" borderId="13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vertical="center" wrapText="1"/>
    </xf>
    <xf numFmtId="4" fontId="4" fillId="0" borderId="5" applyAlignment="1" pivotButton="0" quotePrefix="0" xfId="0">
      <alignment vertical="center" wrapText="1"/>
    </xf>
    <xf numFmtId="4" fontId="8" fillId="5" borderId="49" applyAlignment="1" pivotButton="0" quotePrefix="0" xfId="0">
      <alignment vertical="center" wrapText="1"/>
    </xf>
    <xf numFmtId="4" fontId="4" fillId="0" borderId="3" applyAlignment="1" pivotButton="0" quotePrefix="0" xfId="0">
      <alignment vertical="center" wrapText="1"/>
    </xf>
    <xf numFmtId="40" fontId="4" fillId="0" borderId="46" applyAlignment="1" pivotButton="0" quotePrefix="0" xfId="0">
      <alignment horizontal="center" vertical="center" wrapText="1"/>
    </xf>
    <xf numFmtId="3" fontId="6" fillId="4" borderId="5" applyAlignment="1" pivotButton="0" quotePrefix="0" xfId="0">
      <alignment vertical="center" wrapText="1"/>
    </xf>
    <xf numFmtId="4" fontId="4" fillId="0" borderId="35" applyAlignment="1" pivotButton="0" quotePrefix="0" xfId="0">
      <alignment vertical="center"/>
    </xf>
    <xf numFmtId="4" fontId="8" fillId="0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/>
    </xf>
    <xf numFmtId="4" fontId="8" fillId="0" borderId="5" applyAlignment="1" pivotButton="0" quotePrefix="0" xfId="0">
      <alignment vertical="center" wrapText="1"/>
    </xf>
    <xf numFmtId="4" fontId="4" fillId="0" borderId="5" applyAlignment="1" pivotButton="0" quotePrefix="0" xfId="0">
      <alignment vertical="center"/>
    </xf>
    <xf numFmtId="4" fontId="4" fillId="5" borderId="17" applyAlignment="1" pivotButton="0" quotePrefix="0" xfId="0">
      <alignment vertical="center" wrapText="1"/>
    </xf>
    <xf numFmtId="4" fontId="4" fillId="5" borderId="16" applyAlignment="1" pivotButton="0" quotePrefix="0" xfId="0">
      <alignment vertical="center" wrapText="1"/>
    </xf>
    <xf numFmtId="4" fontId="4" fillId="5" borderId="18" applyAlignment="1" pivotButton="0" quotePrefix="0" xfId="0">
      <alignment vertical="center" wrapText="1"/>
    </xf>
    <xf numFmtId="4" fontId="8" fillId="5" borderId="51" applyAlignment="1" pivotButton="0" quotePrefix="0" xfId="0">
      <alignment vertical="center" wrapText="1"/>
    </xf>
    <xf numFmtId="4" fontId="4" fillId="5" borderId="49" applyAlignment="1" pivotButton="0" quotePrefix="0" xfId="0">
      <alignment vertical="center" wrapText="1"/>
    </xf>
    <xf numFmtId="3" fontId="4" fillId="5" borderId="51" applyAlignment="1" pivotButton="0" quotePrefix="0" xfId="0">
      <alignment vertical="center" wrapText="1"/>
    </xf>
    <xf numFmtId="4" fontId="8" fillId="5" borderId="18" applyAlignment="1" pivotButton="0" quotePrefix="0" xfId="0">
      <alignment vertical="center" wrapText="1"/>
    </xf>
    <xf numFmtId="4" fontId="6" fillId="4" borderId="41" applyAlignment="1" pivotButton="0" quotePrefix="0" xfId="0">
      <alignment vertical="center"/>
    </xf>
    <xf numFmtId="4" fontId="6" fillId="4" borderId="3" applyAlignment="1" pivotButton="0" quotePrefix="0" xfId="0">
      <alignment vertical="center"/>
    </xf>
    <xf numFmtId="4" fontId="4" fillId="0" borderId="3" applyAlignment="1" pivotButton="0" quotePrefix="0" xfId="0">
      <alignment vertical="center"/>
    </xf>
    <xf numFmtId="40" fontId="4" fillId="5" borderId="38" applyAlignment="1" pivotButton="0" quotePrefix="0" xfId="0">
      <alignment vertical="center"/>
    </xf>
    <xf numFmtId="40" fontId="4" fillId="5" borderId="48" applyAlignment="1" pivotButton="0" quotePrefix="0" xfId="0">
      <alignment vertical="center"/>
    </xf>
    <xf numFmtId="4" fontId="8" fillId="5" borderId="4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4" borderId="20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17" fontId="8" fillId="20" borderId="1" applyAlignment="1" pivotButton="0" quotePrefix="0" xfId="0">
      <alignment vertical="center" wrapText="1"/>
    </xf>
    <xf numFmtId="169" fontId="4" fillId="0" borderId="0" applyAlignment="1" pivotButton="0" quotePrefix="0" xfId="0">
      <alignment vertical="center" wrapText="1"/>
    </xf>
    <xf numFmtId="0" fontId="0" fillId="0" borderId="1" pivotButton="0" quotePrefix="0" xfId="0"/>
    <xf numFmtId="17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3" fontId="4" fillId="0" borderId="20" applyAlignment="1" pivotButton="0" quotePrefix="0" xfId="0">
      <alignment vertical="center" wrapText="1"/>
    </xf>
    <xf numFmtId="170" fontId="15" fillId="0" borderId="0" applyAlignment="1" pivotButton="0" quotePrefix="0" xfId="0">
      <alignment vertical="center"/>
    </xf>
    <xf numFmtId="170" fontId="4" fillId="0" borderId="60" applyAlignment="1" pivotButton="0" quotePrefix="0" xfId="0">
      <alignment readingOrder="1"/>
    </xf>
    <xf numFmtId="3" fontId="4" fillId="0" borderId="60" applyAlignment="1" pivotButton="0" quotePrefix="0" xfId="0">
      <alignment readingOrder="1"/>
    </xf>
    <xf numFmtId="4" fontId="4" fillId="0" borderId="60" applyAlignment="1" pivotButton="0" quotePrefix="0" xfId="0">
      <alignment readingOrder="1"/>
    </xf>
    <xf numFmtId="3" fontId="37" fillId="0" borderId="1" pivotButton="0" quotePrefix="0" xfId="0"/>
    <xf numFmtId="170" fontId="37" fillId="0" borderId="1" pivotButton="0" quotePrefix="0" xfId="0"/>
    <xf numFmtId="166" fontId="37" fillId="0" borderId="1" pivotButton="0" quotePrefix="0" xfId="0"/>
    <xf numFmtId="1" fontId="4" fillId="0" borderId="0" pivotButton="0" quotePrefix="0" xfId="0"/>
    <xf numFmtId="166" fontId="4" fillId="0" borderId="0" applyAlignment="1" pivotButton="0" quotePrefix="1" xfId="0">
      <alignment vertical="center"/>
    </xf>
    <xf numFmtId="4" fontId="4" fillId="0" borderId="25" applyAlignment="1" pivotButton="0" quotePrefix="0" xfId="0">
      <alignment vertical="center"/>
    </xf>
    <xf numFmtId="4" fontId="4" fillId="0" borderId="27" applyAlignment="1" pivotButton="0" quotePrefix="0" xfId="0">
      <alignment vertical="center"/>
    </xf>
    <xf numFmtId="4" fontId="4" fillId="0" borderId="30" applyAlignment="1" pivotButton="0" quotePrefix="0" xfId="0">
      <alignment vertical="center"/>
    </xf>
    <xf numFmtId="4" fontId="15" fillId="0" borderId="0" pivotButton="0" quotePrefix="0" xfId="0"/>
    <xf numFmtId="2" fontId="4" fillId="0" borderId="0" pivotButton="0" quotePrefix="0" xfId="0"/>
    <xf numFmtId="4" fontId="4" fillId="8" borderId="1" applyAlignment="1" pivotButton="0" quotePrefix="0" xfId="0">
      <alignment vertical="center" wrapText="1"/>
    </xf>
    <xf numFmtId="164" fontId="8" fillId="2" borderId="0" applyAlignment="1" pivotButton="0" quotePrefix="0" xfId="0">
      <alignment horizontal="center" vertical="center" wrapText="1"/>
    </xf>
    <xf numFmtId="4" fontId="8" fillId="8" borderId="0" applyAlignment="1" pivotButton="0" quotePrefix="0" xfId="0">
      <alignment vertical="center" wrapText="1"/>
    </xf>
    <xf numFmtId="10" fontId="13" fillId="0" borderId="0" pivotButton="0" quotePrefix="0" xfId="0"/>
    <xf numFmtId="10" fontId="13" fillId="0" borderId="8" applyAlignment="1" applyProtection="1" pivotButton="0" quotePrefix="0" xfId="0">
      <alignment vertical="center"/>
      <protection locked="0" hidden="0"/>
    </xf>
    <xf numFmtId="165" fontId="5" fillId="2" borderId="5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65" fontId="5" fillId="2" borderId="64" applyAlignment="1" pivotButton="0" quotePrefix="0" xfId="0">
      <alignment horizontal="right" vertical="center"/>
    </xf>
    <xf numFmtId="4" fontId="4" fillId="0" borderId="64" applyAlignment="1" pivotButton="0" quotePrefix="0" xfId="1">
      <alignment horizontal="right" vertical="center"/>
    </xf>
    <xf numFmtId="4" fontId="4" fillId="0" borderId="64" applyAlignment="1" pivotButton="0" quotePrefix="0" xfId="1">
      <alignment horizontal="right" vertical="center"/>
    </xf>
    <xf numFmtId="166" fontId="4" fillId="0" borderId="29" applyAlignment="1" pivotButton="0" quotePrefix="0" xfId="0">
      <alignment vertical="center"/>
    </xf>
    <xf numFmtId="4" fontId="4" fillId="0" borderId="64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17" fontId="0" fillId="0" borderId="1" applyAlignment="1" pivotButton="0" quotePrefix="0" xfId="0">
      <alignment horizontal="right"/>
    </xf>
    <xf numFmtId="9" fontId="0" fillId="0" borderId="0" pivotButton="0" quotePrefix="0" xfId="2"/>
    <xf numFmtId="0" fontId="8" fillId="17" borderId="16" applyAlignment="1" pivotButton="0" quotePrefix="0" xfId="3">
      <alignment horizontal="center" vertical="center" wrapText="1"/>
    </xf>
    <xf numFmtId="0" fontId="8" fillId="17" borderId="17" applyAlignment="1" pivotButton="0" quotePrefix="0" xfId="3">
      <alignment horizontal="center" vertical="center" wrapText="1"/>
    </xf>
    <xf numFmtId="17" fontId="8" fillId="23" borderId="1" applyAlignment="1" pivotButton="0" quotePrefix="0" xfId="0">
      <alignment vertical="center" wrapText="1"/>
    </xf>
    <xf numFmtId="172" fontId="15" fillId="0" borderId="0" applyAlignment="1" pivotButton="0" quotePrefix="0" xfId="2">
      <alignment vertical="center" wrapText="1"/>
    </xf>
    <xf numFmtId="166" fontId="4" fillId="20" borderId="0" applyAlignment="1" pivotButton="0" quotePrefix="0" xfId="0">
      <alignment vertical="center"/>
    </xf>
    <xf numFmtId="0" fontId="8" fillId="4" borderId="0" applyAlignment="1" pivotButton="0" quotePrefix="0" xfId="0">
      <alignment horizontal="right" vertical="center"/>
    </xf>
    <xf numFmtId="10" fontId="4" fillId="0" borderId="0" applyAlignment="1" pivotButton="0" quotePrefix="0" xfId="2">
      <alignment vertical="center"/>
    </xf>
    <xf numFmtId="0" fontId="44" fillId="0" borderId="0" pivotButton="0" quotePrefix="0" xfId="0"/>
    <xf numFmtId="3" fontId="4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9" fontId="13" fillId="0" borderId="0" pivotButton="0" quotePrefix="0" xfId="2"/>
    <xf numFmtId="167" fontId="13" fillId="0" borderId="0" pivotButton="0" quotePrefix="0" xfId="2"/>
    <xf numFmtId="167" fontId="4" fillId="0" borderId="0" applyAlignment="1" pivotButton="0" quotePrefix="0" xfId="2">
      <alignment vertical="center" wrapText="1"/>
    </xf>
    <xf numFmtId="167" fontId="7" fillId="0" borderId="1" applyAlignment="1" pivotButton="0" quotePrefix="0" xfId="2">
      <alignment vertical="center" wrapText="1"/>
    </xf>
    <xf numFmtId="167" fontId="4" fillId="5" borderId="0" applyAlignment="1" pivotButton="0" quotePrefix="0" xfId="2">
      <alignment horizontal="right" vertical="center"/>
    </xf>
    <xf numFmtId="40" fontId="4" fillId="5" borderId="49" applyAlignment="1" pivotButton="0" quotePrefix="0" xfId="0">
      <alignment horizontal="center" vertical="center" wrapText="1"/>
    </xf>
    <xf numFmtId="0" fontId="4" fillId="5" borderId="65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4" fontId="4" fillId="5" borderId="1" applyAlignment="1" pivotButton="0" quotePrefix="0" xfId="0">
      <alignment vertical="center" wrapText="1"/>
    </xf>
    <xf numFmtId="43" fontId="4" fillId="0" borderId="0" pivotButton="0" quotePrefix="0" xfId="1"/>
    <xf numFmtId="4" fontId="4" fillId="0" borderId="0" pivotButton="0" quotePrefix="0" xfId="2"/>
    <xf numFmtId="174" fontId="4" fillId="0" borderId="0" pivotButton="0" quotePrefix="0" xfId="0"/>
    <xf numFmtId="0" fontId="8" fillId="12" borderId="0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 wrapText="1"/>
    </xf>
    <xf numFmtId="3" fontId="4" fillId="0" borderId="55" pivotButton="0" quotePrefix="0" xfId="0"/>
    <xf numFmtId="3" fontId="4" fillId="0" borderId="8" pivotButton="0" quotePrefix="0" xfId="0"/>
    <xf numFmtId="3" fontId="4" fillId="0" borderId="11" pivotButton="0" quotePrefix="0" xfId="0"/>
    <xf numFmtId="164" fontId="4" fillId="0" borderId="29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4" fontId="4" fillId="0" borderId="0" pivotButton="0" quotePrefix="0" xfId="2"/>
    <xf numFmtId="172" fontId="4" fillId="0" borderId="0" applyAlignment="1" pivotButton="0" quotePrefix="0" xfId="1">
      <alignment vertical="center"/>
    </xf>
    <xf numFmtId="172" fontId="4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10" fontId="7" fillId="6" borderId="1" applyAlignment="1" pivotButton="0" quotePrefix="0" xfId="1">
      <alignment horizontal="right" vertical="center" wrapText="1"/>
    </xf>
    <xf numFmtId="17" fontId="8" fillId="11" borderId="2" pivotButton="0" quotePrefix="0" xfId="0"/>
    <xf numFmtId="17" fontId="8" fillId="21" borderId="2" pivotButton="0" quotePrefix="0" xfId="0"/>
    <xf numFmtId="17" fontId="8" fillId="20" borderId="2" pivotButton="0" quotePrefix="0" xfId="0"/>
    <xf numFmtId="17" fontId="8" fillId="19" borderId="20" pivotButton="0" quotePrefix="0" xfId="0"/>
    <xf numFmtId="17" fontId="8" fillId="19" borderId="2" pivotButton="0" quotePrefix="0" xfId="0"/>
    <xf numFmtId="17" fontId="8" fillId="10" borderId="20" pivotButton="0" quotePrefix="0" xfId="0"/>
    <xf numFmtId="17" fontId="8" fillId="10" borderId="2" pivotButton="0" quotePrefix="0" xfId="0"/>
    <xf numFmtId="17" fontId="8" fillId="10" borderId="2" applyAlignment="1" pivotButton="0" quotePrefix="0" xfId="0">
      <alignment vertical="center" wrapText="1"/>
    </xf>
    <xf numFmtId="17" fontId="8" fillId="20" borderId="2" applyAlignment="1" pivotButton="0" quotePrefix="0" xfId="0">
      <alignment vertical="center" wrapText="1"/>
    </xf>
    <xf numFmtId="0" fontId="8" fillId="0" borderId="0" pivotButton="0" quotePrefix="0" xfId="5"/>
    <xf numFmtId="0" fontId="8" fillId="0" borderId="19" applyAlignment="1" pivotButton="0" quotePrefix="0" xfId="0">
      <alignment vertical="center"/>
    </xf>
    <xf numFmtId="3" fontId="7" fillId="6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1" applyAlignment="1" pivotButton="0" quotePrefix="0" xfId="1">
      <alignment horizontal="right" vertical="center"/>
    </xf>
    <xf numFmtId="3" fontId="4" fillId="6" borderId="1" applyAlignment="1" pivotButton="0" quotePrefix="0" xfId="1">
      <alignment vertical="center"/>
    </xf>
    <xf numFmtId="3" fontId="7" fillId="6" borderId="1" applyAlignment="1" pivotButton="0" quotePrefix="0" xfId="1">
      <alignment horizontal="right" vertical="center"/>
    </xf>
    <xf numFmtId="3" fontId="7" fillId="6" borderId="1" applyAlignment="1" pivotButton="0" quotePrefix="0" xfId="1">
      <alignment horizontal="right" vertical="center" wrapText="1"/>
    </xf>
    <xf numFmtId="3" fontId="7" fillId="0" borderId="1" applyAlignment="1" pivotButton="0" quotePrefix="0" xfId="1">
      <alignment horizontal="right" vertical="center" wrapText="1"/>
    </xf>
    <xf numFmtId="3" fontId="4" fillId="0" borderId="0" applyAlignment="1" pivotButton="0" quotePrefix="0" xfId="1">
      <alignment vertical="center"/>
    </xf>
    <xf numFmtId="3" fontId="4" fillId="0" borderId="0" applyAlignment="1" pivotButton="0" quotePrefix="0" xfId="1">
      <alignment vertical="center"/>
    </xf>
    <xf numFmtId="3" fontId="7" fillId="6" borderId="2" applyAlignment="1" pivotButton="0" quotePrefix="0" xfId="1">
      <alignment horizontal="right" vertical="center"/>
    </xf>
    <xf numFmtId="0" fontId="16" fillId="35" borderId="66" applyAlignment="1" pivotButton="0" quotePrefix="0" xfId="0">
      <alignment horizontal="center" vertical="center" wrapText="1"/>
    </xf>
    <xf numFmtId="0" fontId="16" fillId="32" borderId="66" applyAlignment="1" pivotButton="0" quotePrefix="0" xfId="0">
      <alignment horizontal="center" vertical="center" wrapText="1"/>
    </xf>
    <xf numFmtId="0" fontId="8" fillId="9" borderId="51" applyAlignment="1" pivotButton="0" quotePrefix="0" xfId="3">
      <alignment horizontal="center" vertical="center" wrapText="1"/>
    </xf>
    <xf numFmtId="0" fontId="8" fillId="16" borderId="49" applyAlignment="1" pivotButton="0" quotePrefix="0" xfId="0">
      <alignment horizontal="center" vertical="center" wrapText="1"/>
    </xf>
    <xf numFmtId="0" fontId="8" fillId="14" borderId="49" applyAlignment="1" pivotButton="0" quotePrefix="0" xfId="3">
      <alignment horizontal="center" vertical="center" wrapText="1"/>
    </xf>
    <xf numFmtId="0" fontId="8" fillId="4" borderId="49" applyAlignment="1" pivotButton="0" quotePrefix="0" xfId="3">
      <alignment horizontal="center" vertical="center" wrapText="1"/>
    </xf>
    <xf numFmtId="0" fontId="8" fillId="15" borderId="49" applyAlignment="1" pivotButton="0" quotePrefix="0" xfId="3">
      <alignment horizontal="center" vertical="center" wrapText="1"/>
    </xf>
    <xf numFmtId="3" fontId="4" fillId="9" borderId="20" applyAlignment="1" pivotButton="0" quotePrefix="0" xfId="3">
      <alignment vertical="center" wrapText="1"/>
    </xf>
    <xf numFmtId="0" fontId="7" fillId="18" borderId="5" applyAlignment="1" pivotButton="0" quotePrefix="0" xfId="0">
      <alignment vertical="center" wrapText="1"/>
    </xf>
    <xf numFmtId="3" fontId="4" fillId="9" borderId="2" applyAlignment="1" pivotButton="0" quotePrefix="0" xfId="3">
      <alignment vertical="center" wrapText="1"/>
    </xf>
    <xf numFmtId="3" fontId="4" fillId="0" borderId="17" applyAlignment="1" pivotButton="0" quotePrefix="0" xfId="0">
      <alignment vertical="center" wrapText="1"/>
    </xf>
    <xf numFmtId="3" fontId="4" fillId="0" borderId="51" applyAlignment="1" pivotButton="0" quotePrefix="0" xfId="0">
      <alignment vertical="center" wrapText="1"/>
    </xf>
    <xf numFmtId="3" fontId="7" fillId="9" borderId="2" applyAlignment="1" pivotButton="0" quotePrefix="0" xfId="3">
      <alignment vertical="center" wrapText="1"/>
    </xf>
    <xf numFmtId="0" fontId="1" fillId="20" borderId="1" applyAlignment="1" pivotButton="0" quotePrefix="0" xfId="0">
      <alignment vertical="center" wrapText="1"/>
    </xf>
    <xf numFmtId="3" fontId="4" fillId="9" borderId="1" applyAlignment="1" pivotButton="0" quotePrefix="0" xfId="3">
      <alignment vertical="center" wrapText="1"/>
    </xf>
    <xf numFmtId="3" fontId="7" fillId="9" borderId="1" applyAlignment="1" pivotButton="0" quotePrefix="0" xfId="3">
      <alignment vertical="center" wrapText="1"/>
    </xf>
    <xf numFmtId="3" fontId="4" fillId="9" borderId="0" applyAlignment="1" pivotButton="0" quotePrefix="0" xfId="0">
      <alignment vertical="center" wrapText="1"/>
    </xf>
    <xf numFmtId="9" fontId="4" fillId="0" borderId="0" applyAlignment="1" pivotButton="0" quotePrefix="0" xfId="2">
      <alignment vertical="center" wrapText="1"/>
    </xf>
    <xf numFmtId="9" fontId="4" fillId="9" borderId="0" applyAlignment="1" pivotButton="0" quotePrefix="0" xfId="2">
      <alignment vertical="center" wrapText="1"/>
    </xf>
    <xf numFmtId="0" fontId="16" fillId="32" borderId="15" applyAlignment="1" pivotButton="0" quotePrefix="0" xfId="0">
      <alignment horizontal="center" vertical="center" wrapText="1"/>
    </xf>
    <xf numFmtId="0" fontId="27" fillId="17" borderId="17" applyAlignment="1" pivotButton="0" quotePrefix="0" xfId="3">
      <alignment horizontal="center" vertical="center" wrapText="1"/>
    </xf>
    <xf numFmtId="166" fontId="4" fillId="4" borderId="0" applyAlignment="1" pivotButton="0" quotePrefix="0" xfId="0">
      <alignment vertical="center"/>
    </xf>
    <xf numFmtId="3" fontId="4" fillId="4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17" fontId="8" fillId="2" borderId="1" applyAlignment="1" pivotButton="0" quotePrefix="0" xfId="0">
      <alignment horizontal="right" vertical="center" wrapText="1"/>
    </xf>
    <xf numFmtId="17" fontId="8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3" fontId="8" fillId="4" borderId="0" applyAlignment="1" pivotButton="0" quotePrefix="0" xfId="0">
      <alignment vertical="center"/>
    </xf>
    <xf numFmtId="0" fontId="14" fillId="0" borderId="0" applyAlignment="1" pivotButton="0" quotePrefix="0" xfId="5">
      <alignment vertical="center"/>
    </xf>
    <xf numFmtId="166" fontId="15" fillId="4" borderId="0" applyAlignment="1" pivotButton="0" quotePrefix="0" xfId="0">
      <alignment vertical="center"/>
    </xf>
    <xf numFmtId="0" fontId="8" fillId="2" borderId="14" applyAlignment="1" pivotButton="0" quotePrefix="0" xfId="3">
      <alignment horizontal="center" vertical="center" wrapText="1"/>
    </xf>
    <xf numFmtId="165" fontId="5" fillId="27" borderId="6" applyAlignment="1" pivotButton="0" quotePrefix="0" xfId="0">
      <alignment horizontal="right" vertical="center"/>
    </xf>
    <xf numFmtId="165" fontId="5" fillId="21" borderId="6" applyAlignment="1" pivotButton="0" quotePrefix="0" xfId="0">
      <alignment horizontal="right" vertical="center"/>
    </xf>
    <xf numFmtId="165" fontId="5" fillId="20" borderId="6" applyAlignment="1" pivotButton="0" quotePrefix="0" xfId="0">
      <alignment horizontal="right" vertical="center"/>
    </xf>
    <xf numFmtId="165" fontId="5" fillId="23" borderId="6" applyAlignment="1" pivotButton="0" quotePrefix="0" xfId="0">
      <alignment horizontal="right" vertical="center"/>
    </xf>
    <xf numFmtId="165" fontId="5" fillId="21" borderId="54" applyAlignment="1" pivotButton="0" quotePrefix="0" xfId="0">
      <alignment horizontal="right" vertical="center"/>
    </xf>
    <xf numFmtId="165" fontId="5" fillId="20" borderId="54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 wrapText="1"/>
    </xf>
    <xf numFmtId="17" fontId="8" fillId="20" borderId="1" applyAlignment="1" pivotButton="0" quotePrefix="0" xfId="3">
      <alignment vertical="center" wrapText="1"/>
    </xf>
    <xf numFmtId="17" fontId="8" fillId="23" borderId="1" applyAlignment="1" pivotButton="0" quotePrefix="0" xfId="3">
      <alignment vertical="center" wrapText="1"/>
    </xf>
    <xf numFmtId="0" fontId="11" fillId="2" borderId="1" applyAlignment="1" pivotButton="0" quotePrefix="0" xfId="0">
      <alignment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8" applyAlignment="1" pivotButton="0" quotePrefix="0" xfId="0">
      <alignment vertical="center" wrapText="1"/>
    </xf>
    <xf numFmtId="0" fontId="11" fillId="2" borderId="1" applyAlignment="1" pivotButton="0" quotePrefix="0" xfId="0">
      <alignment horizontal="right" vertical="center" wrapText="1"/>
    </xf>
    <xf numFmtId="3" fontId="13" fillId="4" borderId="0" applyAlignment="1" pivotButton="0" quotePrefix="0" xfId="0">
      <alignment vertical="center" wrapText="1"/>
    </xf>
    <xf numFmtId="167" fontId="13" fillId="4" borderId="0" applyAlignment="1" pivotButton="0" quotePrefix="0" xfId="2">
      <alignment vertical="center" wrapText="1"/>
    </xf>
    <xf numFmtId="0" fontId="4" fillId="0" borderId="0" applyAlignment="1" pivotButton="0" quotePrefix="0" xfId="0">
      <alignment horizontal="center" vertical="center" wrapText="1"/>
    </xf>
    <xf numFmtId="40" fontId="37" fillId="5" borderId="39" applyAlignment="1" pivotButton="0" quotePrefix="0" xfId="0">
      <alignment horizontal="center" vertical="center"/>
    </xf>
    <xf numFmtId="40" fontId="37" fillId="5" borderId="40" applyAlignment="1" pivotButton="0" quotePrefix="0" xfId="0">
      <alignment horizontal="center" vertical="center"/>
    </xf>
    <xf numFmtId="40" fontId="37" fillId="5" borderId="35" applyAlignment="1" pivotButton="0" quotePrefix="0" xfId="0">
      <alignment horizontal="center" vertical="center" wrapText="1"/>
    </xf>
    <xf numFmtId="40" fontId="37" fillId="5" borderId="42" applyAlignment="1" pivotButton="0" quotePrefix="0" xfId="0">
      <alignment horizontal="center" vertical="center" wrapText="1"/>
    </xf>
    <xf numFmtId="40" fontId="37" fillId="5" borderId="20" applyAlignment="1" pivotButton="0" quotePrefix="0" xfId="0">
      <alignment horizontal="center" vertical="center" wrapText="1"/>
    </xf>
    <xf numFmtId="40" fontId="37" fillId="5" borderId="41" applyAlignment="1" pivotButton="0" quotePrefix="0" xfId="0">
      <alignment horizontal="center" vertical="center" wrapText="1"/>
    </xf>
    <xf numFmtId="40" fontId="36" fillId="5" borderId="4" applyAlignment="1" pivotButton="0" quotePrefix="0" xfId="0">
      <alignment horizontal="center" vertical="center" wrapText="1"/>
    </xf>
    <xf numFmtId="40" fontId="36" fillId="5" borderId="5" applyAlignment="1" pivotButton="0" quotePrefix="0" xfId="0">
      <alignment horizontal="center" vertical="center" wrapText="1"/>
    </xf>
    <xf numFmtId="40" fontId="37" fillId="5" borderId="35" applyAlignment="1" pivotButton="0" quotePrefix="0" xfId="0">
      <alignment horizontal="center" vertical="center"/>
    </xf>
    <xf numFmtId="40" fontId="37" fillId="5" borderId="42" applyAlignment="1" pivotButton="0" quotePrefix="0" xfId="0">
      <alignment horizontal="center" vertical="center"/>
    </xf>
    <xf numFmtId="40" fontId="37" fillId="5" borderId="20" applyAlignment="1" pivotButton="0" quotePrefix="0" xfId="0">
      <alignment horizontal="center" vertical="center"/>
    </xf>
    <xf numFmtId="40" fontId="37" fillId="5" borderId="41" applyAlignment="1" pivotButton="0" quotePrefix="0" xfId="0">
      <alignment horizontal="center" vertical="center"/>
    </xf>
    <xf numFmtId="40" fontId="36" fillId="5" borderId="43" applyAlignment="1" pivotButton="0" quotePrefix="0" xfId="0">
      <alignment horizontal="center" vertical="center"/>
    </xf>
    <xf numFmtId="40" fontId="36" fillId="5" borderId="44" applyAlignment="1" pivotButton="0" quotePrefix="0" xfId="0">
      <alignment horizontal="center" vertical="center"/>
    </xf>
    <xf numFmtId="40" fontId="37" fillId="5" borderId="36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 wrapText="1"/>
    </xf>
    <xf numFmtId="40" fontId="37" fillId="5" borderId="56" applyAlignment="1" pivotButton="0" quotePrefix="0" xfId="0">
      <alignment horizontal="center" vertical="center" wrapText="1"/>
    </xf>
    <xf numFmtId="40" fontId="37" fillId="5" borderId="2" applyAlignment="1" pivotButton="0" quotePrefix="0" xfId="0">
      <alignment horizontal="center" vertical="center"/>
    </xf>
    <xf numFmtId="40" fontId="37" fillId="5" borderId="10" applyAlignment="1" pivotButton="0" quotePrefix="0" xfId="0">
      <alignment horizontal="center" vertical="center"/>
    </xf>
    <xf numFmtId="40" fontId="37" fillId="5" borderId="3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 wrapText="1"/>
    </xf>
    <xf numFmtId="4" fontId="4" fillId="5" borderId="62" applyAlignment="1" pivotButton="0" quotePrefix="0" xfId="0">
      <alignment horizontal="center" vertical="center" wrapText="1"/>
    </xf>
    <xf numFmtId="4" fontId="4" fillId="5" borderId="13" applyAlignment="1" pivotButton="0" quotePrefix="0" xfId="0">
      <alignment horizontal="center" vertical="center" wrapText="1"/>
    </xf>
    <xf numFmtId="4" fontId="4" fillId="5" borderId="42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/>
    </xf>
    <xf numFmtId="4" fontId="8" fillId="5" borderId="63" applyAlignment="1" pivotButton="0" quotePrefix="0" xfId="0">
      <alignment horizontal="center" vertical="center"/>
    </xf>
    <xf numFmtId="4" fontId="4" fillId="5" borderId="17" applyAlignment="1" pivotButton="0" quotePrefix="0" xfId="0">
      <alignment horizontal="center" vertical="center" wrapText="1"/>
    </xf>
    <xf numFmtId="4" fontId="4" fillId="5" borderId="50" applyAlignment="1" pivotButton="0" quotePrefix="0" xfId="0">
      <alignment horizontal="center" vertical="center" wrapText="1"/>
    </xf>
    <xf numFmtId="4" fontId="4" fillId="5" borderId="51" applyAlignment="1" pivotButton="0" quotePrefix="0" xfId="0">
      <alignment horizontal="center" vertical="center" wrapText="1"/>
    </xf>
    <xf numFmtId="40" fontId="4" fillId="5" borderId="39" applyAlignment="1" pivotButton="0" quotePrefix="0" xfId="0">
      <alignment horizontal="center" vertical="center"/>
    </xf>
    <xf numFmtId="40" fontId="4" fillId="5" borderId="40" applyAlignment="1" pivotButton="0" quotePrefix="0" xfId="0">
      <alignment horizontal="center" vertical="center"/>
    </xf>
    <xf numFmtId="4" fontId="4" fillId="5" borderId="23" applyAlignment="1" pivotButton="0" quotePrefix="0" xfId="0">
      <alignment horizontal="center" vertical="center" wrapText="1"/>
    </xf>
    <xf numFmtId="4" fontId="4" fillId="5" borderId="53" applyAlignment="1" pivotButton="0" quotePrefix="0" xfId="0">
      <alignment horizontal="center" vertical="center" wrapText="1"/>
    </xf>
    <xf numFmtId="4" fontId="4" fillId="5" borderId="26" applyAlignment="1" pivotButton="0" quotePrefix="0" xfId="0">
      <alignment horizontal="center" vertical="center" wrapText="1"/>
    </xf>
    <xf numFmtId="4" fontId="4" fillId="5" borderId="8" applyAlignment="1" pivotButton="0" quotePrefix="0" xfId="0">
      <alignment horizontal="center" vertical="center" wrapText="1"/>
    </xf>
    <xf numFmtId="4" fontId="4" fillId="5" borderId="25" applyAlignment="1" pivotButton="0" quotePrefix="0" xfId="0">
      <alignment horizontal="center" vertical="center" wrapText="1"/>
    </xf>
    <xf numFmtId="4" fontId="4" fillId="5" borderId="27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 wrapText="1"/>
    </xf>
    <xf numFmtId="4" fontId="8" fillId="5" borderId="63" applyAlignment="1" pivotButton="0" quotePrefix="0" xfId="0">
      <alignment horizontal="center" vertical="center" wrapText="1"/>
    </xf>
    <xf numFmtId="3" fontId="4" fillId="5" borderId="24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4" fontId="8" fillId="5" borderId="25" applyAlignment="1" pivotButton="0" quotePrefix="0" xfId="0">
      <alignment horizontal="center" vertical="center" wrapText="1"/>
    </xf>
    <xf numFmtId="4" fontId="8" fillId="5" borderId="2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6" fillId="33" borderId="0" applyAlignment="1" pivotButton="0" quotePrefix="0" xfId="7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1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1" xfId="0">
      <alignment vertical="center"/>
    </xf>
    <xf numFmtId="166" fontId="15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8" fontId="4" fillId="0" borderId="0" pivotButton="0" quotePrefix="0" xfId="0"/>
    <xf numFmtId="166" fontId="4" fillId="0" borderId="0" pivotButton="0" quotePrefix="0" xfId="0"/>
    <xf numFmtId="166" fontId="13" fillId="0" borderId="0" pivotButton="0" quotePrefix="0" xfId="0"/>
    <xf numFmtId="166" fontId="13" fillId="0" borderId="0" pivotButton="0" quotePrefix="0" xfId="1"/>
    <xf numFmtId="167" fontId="4" fillId="0" borderId="0" pivotButton="0" quotePrefix="0" xfId="2"/>
    <xf numFmtId="166" fontId="4" fillId="4" borderId="0" applyAlignment="1" pivotButton="0" quotePrefix="0" xfId="0">
      <alignment vertical="center"/>
    </xf>
    <xf numFmtId="166" fontId="15" fillId="4" borderId="0" applyAlignment="1" pivotButton="0" quotePrefix="0" xfId="0">
      <alignment vertical="center"/>
    </xf>
    <xf numFmtId="165" fontId="5" fillId="27" borderId="6" applyAlignment="1" pivotButton="0" quotePrefix="0" xfId="0">
      <alignment horizontal="right" vertical="center"/>
    </xf>
    <xf numFmtId="165" fontId="5" fillId="21" borderId="6" applyAlignment="1" pivotButton="0" quotePrefix="0" xfId="0">
      <alignment horizontal="right" vertical="center"/>
    </xf>
    <xf numFmtId="165" fontId="5" fillId="20" borderId="6" applyAlignment="1" pivotButton="0" quotePrefix="0" xfId="0">
      <alignment horizontal="right" vertical="center"/>
    </xf>
    <xf numFmtId="165" fontId="5" fillId="23" borderId="6" applyAlignment="1" pivotButton="0" quotePrefix="0" xfId="0">
      <alignment horizontal="right" vertical="center"/>
    </xf>
    <xf numFmtId="165" fontId="5" fillId="21" borderId="54" applyAlignment="1" pivotButton="0" quotePrefix="0" xfId="0">
      <alignment horizontal="right" vertical="center"/>
    </xf>
    <xf numFmtId="165" fontId="5" fillId="20" borderId="54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 wrapText="1"/>
    </xf>
    <xf numFmtId="167" fontId="13" fillId="0" borderId="0" applyAlignment="1" pivotButton="0" quotePrefix="0" xfId="2">
      <alignment vertical="center" wrapText="1"/>
    </xf>
    <xf numFmtId="167" fontId="13" fillId="4" borderId="0" applyAlignment="1" pivotButton="0" quotePrefix="0" xfId="2">
      <alignment vertical="center" wrapText="1"/>
    </xf>
    <xf numFmtId="167" fontId="4" fillId="0" borderId="0" applyAlignment="1" pivotButton="0" quotePrefix="0" xfId="2">
      <alignment vertical="center"/>
    </xf>
    <xf numFmtId="167" fontId="4" fillId="5" borderId="0" applyAlignment="1" pivotButton="0" quotePrefix="0" xfId="2">
      <alignment horizontal="right" vertical="center"/>
    </xf>
    <xf numFmtId="165" fontId="8" fillId="2" borderId="1" applyAlignment="1" pivotButton="0" quotePrefix="0" xfId="0">
      <alignment vertical="center"/>
    </xf>
    <xf numFmtId="165" fontId="16" fillId="2" borderId="1" applyAlignment="1" pivotButton="0" quotePrefix="0" xfId="0">
      <alignment horizontal="center" vertical="center" wrapText="1"/>
    </xf>
    <xf numFmtId="165" fontId="8" fillId="2" borderId="5" applyAlignment="1" pivotButton="0" quotePrefix="0" xfId="0">
      <alignment vertical="center"/>
    </xf>
    <xf numFmtId="0" fontId="0" fillId="0" borderId="37" pivotButton="0" quotePrefix="0" xfId="0"/>
    <xf numFmtId="40" fontId="37" fillId="5" borderId="69" applyAlignment="1" pivotButton="0" quotePrefix="0" xfId="0">
      <alignment horizontal="center" vertical="center" wrapText="1"/>
    </xf>
    <xf numFmtId="0" fontId="0" fillId="0" borderId="56" pivotButton="0" quotePrefix="0" xfId="0"/>
    <xf numFmtId="40" fontId="37" fillId="5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" pivotButton="0" quotePrefix="0" xfId="0"/>
    <xf numFmtId="40" fontId="37" fillId="5" borderId="1" applyAlignment="1" pivotButton="0" quotePrefix="0" xfId="0">
      <alignment horizontal="center" vertical="center" wrapText="1"/>
    </xf>
    <xf numFmtId="0" fontId="0" fillId="0" borderId="42" pivotButton="0" quotePrefix="0" xfId="0"/>
    <xf numFmtId="40" fontId="36" fillId="5" borderId="1" applyAlignment="1" pivotButton="0" quotePrefix="0" xfId="0">
      <alignment horizontal="center" vertical="center" wrapText="1"/>
    </xf>
    <xf numFmtId="40" fontId="36" fillId="5" borderId="67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44" pivotButton="0" quotePrefix="0" xfId="0"/>
    <xf numFmtId="166" fontId="37" fillId="0" borderId="1" pivotButton="0" quotePrefix="0" xfId="0"/>
    <xf numFmtId="167" fontId="13" fillId="0" borderId="0" pivotButton="0" quotePrefix="0" xfId="2"/>
    <xf numFmtId="0" fontId="0" fillId="0" borderId="13" pivotButton="0" quotePrefix="0" xfId="0"/>
    <xf numFmtId="4" fontId="4" fillId="5" borderId="67" applyAlignment="1" pivotButton="0" quotePrefix="0" xfId="0">
      <alignment horizontal="center" vertical="center" wrapText="1"/>
    </xf>
    <xf numFmtId="0" fontId="0" fillId="0" borderId="62" pivotButton="0" quotePrefix="0" xfId="0"/>
    <xf numFmtId="167" fontId="7" fillId="0" borderId="1" applyAlignment="1" pivotButton="0" quotePrefix="0" xfId="2">
      <alignment vertical="center" wrapText="1"/>
    </xf>
    <xf numFmtId="167" fontId="4" fillId="0" borderId="0" applyAlignment="1" pivotButton="0" quotePrefix="0" xfId="2">
      <alignment vertical="center" wrapText="1"/>
    </xf>
    <xf numFmtId="0" fontId="0" fillId="0" borderId="50" pivotButton="0" quotePrefix="0" xfId="0"/>
    <xf numFmtId="0" fontId="0" fillId="0" borderId="51" pivotButton="0" quotePrefix="0" xfId="0"/>
    <xf numFmtId="4" fontId="4" fillId="5" borderId="7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27" pivotButton="0" quotePrefix="0" xfId="0"/>
    <xf numFmtId="0" fontId="0" fillId="0" borderId="63" pivotButton="0" quotePrefix="0" xfId="0"/>
    <xf numFmtId="166" fontId="4" fillId="20" borderId="0" applyAlignment="1" pivotButton="0" quotePrefix="0" xfId="0">
      <alignment vertical="center"/>
    </xf>
    <xf numFmtId="172" fontId="4" fillId="0" borderId="0" pivotButton="0" quotePrefix="0" xfId="1"/>
    <xf numFmtId="168" fontId="8" fillId="2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168" fontId="8" fillId="5" borderId="0" applyAlignment="1" pivotButton="0" quotePrefix="0" xfId="0">
      <alignment horizontal="center" vertical="center" wrapText="1"/>
    </xf>
    <xf numFmtId="166" fontId="5" fillId="5" borderId="0" applyAlignment="1" pivotButton="0" quotePrefix="0" xfId="0">
      <alignment horizontal="right" vertical="center" wrapText="1"/>
    </xf>
    <xf numFmtId="166" fontId="7" fillId="0" borderId="0" applyAlignment="1" pivotButton="0" quotePrefix="0" xfId="0">
      <alignment horizontal="right" vertical="center" wrapText="1"/>
    </xf>
    <xf numFmtId="166" fontId="7" fillId="9" borderId="0" applyAlignment="1" pivotButton="0" quotePrefix="0" xfId="0">
      <alignment horizontal="right" vertical="center" wrapText="1"/>
    </xf>
    <xf numFmtId="168" fontId="4" fillId="0" borderId="0" applyAlignment="1" pivotButton="0" quotePrefix="0" xfId="0">
      <alignment vertical="center"/>
    </xf>
    <xf numFmtId="166" fontId="4" fillId="9" borderId="0" applyAlignment="1" pivotButton="0" quotePrefix="0" xfId="0">
      <alignment vertical="center"/>
    </xf>
    <xf numFmtId="166" fontId="15" fillId="0" borderId="0" applyAlignment="1" pivotButton="0" quotePrefix="0" xfId="0">
      <alignment horizontal="right" vertical="center"/>
    </xf>
    <xf numFmtId="168" fontId="15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1">
      <alignment vertical="center"/>
    </xf>
    <xf numFmtId="172" fontId="4" fillId="0" borderId="0" applyAlignment="1" pivotButton="0" quotePrefix="0" xfId="1">
      <alignment vertical="center" wrapText="1"/>
    </xf>
    <xf numFmtId="172" fontId="4" fillId="4" borderId="0" applyAlignment="1" pivotButton="0" quotePrefix="0" xfId="1">
      <alignment vertical="center"/>
    </xf>
    <xf numFmtId="172" fontId="5" fillId="2" borderId="0" applyAlignment="1" pivotButton="0" quotePrefix="0" xfId="1">
      <alignment horizontal="center" vertical="center" wrapText="1"/>
    </xf>
    <xf numFmtId="172" fontId="5" fillId="2" borderId="6" applyAlignment="1" pivotButton="0" quotePrefix="0" xfId="1">
      <alignment horizontal="center" vertical="center" wrapText="1"/>
    </xf>
    <xf numFmtId="172" fontId="5" fillId="2" borderId="7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center" vertical="center" wrapText="1"/>
    </xf>
    <xf numFmtId="172" fontId="4" fillId="4" borderId="0" applyAlignment="1" pivotButton="0" quotePrefix="0" xfId="1">
      <alignment horizontal="center" vertical="center" wrapText="1"/>
    </xf>
    <xf numFmtId="172" fontId="4" fillId="0" borderId="0" applyAlignment="1" pivotButton="0" quotePrefix="0" xfId="1">
      <alignment horizontal="center" vertical="center"/>
    </xf>
    <xf numFmtId="165" fontId="5" fillId="2" borderId="5" applyAlignment="1" pivotButton="0" quotePrefix="0" xfId="0">
      <alignment horizontal="right" vertical="center" wrapText="1"/>
    </xf>
    <xf numFmtId="172" fontId="7" fillId="6" borderId="5" applyAlignment="1" pivotButton="0" quotePrefix="0" xfId="1">
      <alignment horizontal="right" vertical="center" wrapText="1"/>
    </xf>
    <xf numFmtId="172" fontId="6" fillId="6" borderId="5" applyAlignment="1" pivotButton="0" quotePrefix="0" xfId="1">
      <alignment horizontal="right" vertical="center" wrapText="1"/>
    </xf>
    <xf numFmtId="172" fontId="7" fillId="6" borderId="6" applyAlignment="1" pivotButton="0" quotePrefix="0" xfId="1">
      <alignment horizontal="right" vertical="center"/>
    </xf>
    <xf numFmtId="172" fontId="7" fillId="6" borderId="1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 wrapText="1"/>
    </xf>
    <xf numFmtId="172" fontId="5" fillId="6" borderId="5" applyAlignment="1" pivotButton="0" quotePrefix="0" xfId="1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172" fontId="7" fillId="6" borderId="1" applyAlignment="1" pivotButton="0" quotePrefix="0" xfId="1">
      <alignment horizontal="right" vertical="center" wrapText="1"/>
    </xf>
    <xf numFmtId="172" fontId="6" fillId="6" borderId="1" applyAlignment="1" pivotButton="0" quotePrefix="0" xfId="1">
      <alignment horizontal="right" vertical="center" wrapText="1"/>
    </xf>
    <xf numFmtId="172" fontId="4" fillId="6" borderId="1" applyAlignment="1" pivotButton="0" quotePrefix="0" xfId="1">
      <alignment vertical="center" wrapText="1"/>
    </xf>
    <xf numFmtId="172" fontId="15" fillId="29" borderId="0" applyAlignment="1" pivotButton="0" quotePrefix="0" xfId="2">
      <alignment vertical="center"/>
    </xf>
    <xf numFmtId="172" fontId="6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4" fillId="0" borderId="1" applyAlignment="1" pivotButton="0" quotePrefix="0" xfId="1">
      <alignment vertical="center" wrapText="1"/>
    </xf>
    <xf numFmtId="172" fontId="15" fillId="0" borderId="0" applyAlignment="1" pivotButton="0" quotePrefix="0" xfId="1">
      <alignment vertical="center" wrapText="1"/>
    </xf>
    <xf numFmtId="172" fontId="7" fillId="0" borderId="7" applyAlignment="1" pivotButton="0" quotePrefix="0" xfId="1">
      <alignment horizontal="right" vertical="center"/>
    </xf>
    <xf numFmtId="172" fontId="4" fillId="6" borderId="1" applyAlignment="1" pivotButton="0" quotePrefix="0" xfId="1">
      <alignment vertical="center"/>
    </xf>
    <xf numFmtId="172" fontId="4" fillId="6" borderId="1" applyAlignment="1" pivotButton="0" quotePrefix="0" xfId="1">
      <alignment horizontal="right" vertical="center" wrapText="1"/>
    </xf>
    <xf numFmtId="172" fontId="4" fillId="6" borderId="0" applyAlignment="1" pivotButton="0" quotePrefix="0" xfId="1">
      <alignment vertical="center"/>
    </xf>
    <xf numFmtId="172" fontId="3" fillId="6" borderId="1" applyAlignment="1" pivotButton="0" quotePrefix="0" xfId="1">
      <alignment vertical="center"/>
    </xf>
    <xf numFmtId="172" fontId="4" fillId="0" borderId="1" applyAlignment="1" pivotButton="0" quotePrefix="0" xfId="1">
      <alignment vertical="center"/>
    </xf>
    <xf numFmtId="172" fontId="7" fillId="3" borderId="1" applyAlignment="1" pivotButton="0" quotePrefix="0" xfId="1">
      <alignment horizontal="right" vertical="center" wrapText="1"/>
    </xf>
    <xf numFmtId="172" fontId="4" fillId="29" borderId="0" applyAlignment="1" pivotButton="0" quotePrefix="0" xfId="1">
      <alignment vertical="center"/>
    </xf>
    <xf numFmtId="172" fontId="15" fillId="0" borderId="0" applyAlignment="1" pivotButton="0" quotePrefix="0" xfId="2">
      <alignment vertical="center" wrapText="1"/>
    </xf>
    <xf numFmtId="172" fontId="7" fillId="0" borderId="0" applyAlignment="1" pivotButton="0" quotePrefix="0" xfId="1">
      <alignment horizontal="center" vertical="center" wrapText="1"/>
    </xf>
    <xf numFmtId="172" fontId="7" fillId="0" borderId="0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left" vertical="center" wrapText="1"/>
    </xf>
    <xf numFmtId="167" fontId="0" fillId="0" borderId="0" pivotButton="0" quotePrefix="0" xfId="0"/>
    <xf numFmtId="166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right" vertical="center"/>
    </xf>
    <xf numFmtId="165" fontId="5" fillId="2" borderId="64" applyAlignment="1" pivotButton="0" quotePrefix="0" xfId="0">
      <alignment horizontal="right" vertical="center"/>
    </xf>
    <xf numFmtId="166" fontId="4" fillId="0" borderId="29" applyAlignment="1" pivotButton="0" quotePrefix="0" xfId="0">
      <alignment vertical="center"/>
    </xf>
    <xf numFmtId="165" fontId="5" fillId="2" borderId="5" applyAlignment="1" pivotButton="0" quotePrefix="0" xfId="0">
      <alignment horizontal="right" vertical="center"/>
    </xf>
    <xf numFmtId="167" fontId="4" fillId="0" borderId="0" applyAlignment="1" pivotButton="0" quotePrefix="0" xfId="0">
      <alignment vertical="center"/>
    </xf>
    <xf numFmtId="165" fontId="8" fillId="2" borderId="0" applyAlignment="1" pivotButton="0" quotePrefix="0" xfId="0">
      <alignment horizontal="left" vertical="center" wrapText="1"/>
    </xf>
    <xf numFmtId="165" fontId="8" fillId="2" borderId="0" applyAlignment="1" pivotButton="0" quotePrefix="0" xfId="3">
      <alignment horizontal="left" vertical="center" wrapText="1"/>
    </xf>
    <xf numFmtId="166" fontId="4" fillId="6" borderId="0" applyAlignment="1" pivotButton="0" quotePrefix="0" xfId="0">
      <alignment vertical="center"/>
    </xf>
    <xf numFmtId="165" fontId="8" fillId="2" borderId="0" applyAlignment="1" pivotButton="0" quotePrefix="0" xfId="0">
      <alignment horizontal="left" vertical="center"/>
    </xf>
    <xf numFmtId="174" fontId="4" fillId="0" borderId="0" pivotButton="0" quotePrefix="0" xfId="0"/>
    <xf numFmtId="173" fontId="0" fillId="0" borderId="0" pivotButton="0" quotePrefix="0" xfId="0"/>
    <xf numFmtId="0" fontId="11" fillId="5" borderId="1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Per cent" xfId="2" builtinId="5"/>
    <cellStyle name="Normal 2" xfId="3"/>
    <cellStyle name="一般 2" xfId="4"/>
    <cellStyle name="Hyperlink" xfId="5" builtinId="8"/>
    <cellStyle name="Normal 3" xfId="6"/>
    <cellStyle name="Bad" xfId="7" builtinId="27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Energy Consumption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2"/>
          <order val="0"/>
          <tx>
            <strRef>
              <f>'Annual Report (Energy)'!$D$1</f>
              <strCache>
                <ptCount val="1"/>
                <pt idx="0">
                  <v>Electricity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12700">
                <a:solidFill>
                  <a:schemeClr val="accent1"/>
                </a:solidFill>
                <a:prstDash val="solid"/>
              </a:ln>
            </spPr>
          </marker>
          <dLbls>
            <numFmt formatCode="#,##0.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(Energy)'!$D$2:$D$11</f>
              <numCache>
                <formatCode>#,##0</formatCode>
                <ptCount val="10"/>
                <pt idx="0">
                  <v>93067207</v>
                </pt>
                <pt idx="1">
                  <v>95800070</v>
                </pt>
                <pt idx="2">
                  <v>94486358</v>
                </pt>
                <pt idx="3">
                  <v>92966450</v>
                </pt>
                <pt idx="4">
                  <v>90186094</v>
                </pt>
                <pt idx="5">
                  <v>87353244</v>
                </pt>
                <pt idx="6">
                  <v>88318175</v>
                </pt>
                <pt idx="7">
                  <v>89692408</v>
                </pt>
                <pt idx="8">
                  <v>93932338</v>
                </pt>
                <pt idx="9">
                  <v>96709341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54247392"/>
        <axId val="754249120"/>
      </lineChart>
      <lineChart>
        <grouping val="standard"/>
        <varyColors val="0"/>
        <ser>
          <idx val="3"/>
          <order val="3"/>
          <tx>
            <strRef>
              <f>'Annual Report (Energy)'!$B$1</f>
              <strCache>
                <ptCount val="1"/>
                <pt idx="0">
                  <v>Liquid Fuels/Diesel</v>
                </pt>
              </strCache>
            </strRef>
          </tx>
          <spPr>
            <a:ln xmlns:a="http://schemas.openxmlformats.org/drawingml/2006/main" w="28575" cap="rnd">
              <a:solidFill>
                <a:srgbClr val="86BE4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86BE43"/>
              </a:solidFill>
              <a:ln xmlns:a="http://schemas.openxmlformats.org/drawingml/2006/main" w="12700">
                <a:solidFill>
                  <a:srgbClr val="86BE43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(Energy)'!$B$2:$B$11</f>
              <numCache>
                <formatCode>#,##0.0</formatCode>
                <ptCount val="10"/>
                <pt idx="0">
                  <v>280000</v>
                </pt>
                <pt idx="1">
                  <v>370000</v>
                </pt>
                <pt idx="2">
                  <v>201980.5</v>
                </pt>
                <pt idx="3">
                  <v>221452.21</v>
                </pt>
                <pt idx="4">
                  <v>205172.45</v>
                </pt>
                <pt idx="5">
                  <v>181092.19</v>
                </pt>
                <pt idx="6">
                  <v>224833.4</v>
                </pt>
                <pt idx="7">
                  <v>234812</v>
                </pt>
                <pt idx="8">
                  <v>292973.4277</v>
                </pt>
                <pt idx="9">
                  <v>243473.34</v>
                </pt>
              </numCache>
            </numRef>
          </val>
          <smooth val="0"/>
        </ser>
        <ser>
          <idx val="4"/>
          <order val="4"/>
          <tx>
            <strRef>
              <f>'Annual Report (Energy)'!$C$1</f>
              <strCache>
                <ptCount val="1"/>
                <pt idx="0">
                  <v>Towngas</v>
                </pt>
              </strCache>
            </strRef>
          </tx>
          <spPr>
            <a:ln xmlns:a="http://schemas.openxmlformats.org/drawingml/2006/main" w="28575" cap="rnd">
              <a:solidFill>
                <a:srgbClr val="00CAF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CAF0"/>
              </a:solidFill>
              <a:ln xmlns:a="http://schemas.openxmlformats.org/drawingml/2006/main" w="12700">
                <a:solidFill>
                  <a:srgbClr val="00CAF0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(Energy)'!$C$2:$C$11</f>
              <numCache>
                <formatCode>#,##0.0</formatCode>
                <ptCount val="10"/>
                <pt idx="0">
                  <v>5874308</v>
                </pt>
                <pt idx="1">
                  <v>7232698</v>
                </pt>
                <pt idx="2">
                  <v>6584444</v>
                </pt>
                <pt idx="3">
                  <v>5665933</v>
                </pt>
                <pt idx="4">
                  <v>6128182</v>
                </pt>
                <pt idx="5">
                  <v>4520415</v>
                </pt>
                <pt idx="6">
                  <v>4701278</v>
                </pt>
                <pt idx="7">
                  <v>5113008</v>
                </pt>
                <pt idx="8">
                  <v>5491373</v>
                </pt>
                <pt idx="9">
                  <v>5826263.404900753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3969136"/>
        <axId val="763966160"/>
      </lineChart>
      <catAx>
        <axId val="754247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54249120"/>
        <crosses val="autoZero"/>
        <auto val="1"/>
        <lblAlgn val="ctr"/>
        <lblOffset val="100"/>
        <noMultiLvlLbl val="0"/>
      </catAx>
      <valAx>
        <axId val="754249120"/>
        <scaling>
          <orientation val="minMax"/>
          <max val="100000000"/>
          <min val="25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[&gt;=80]0;;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54247392"/>
        <crosses val="autoZero"/>
        <crossBetween val="between"/>
        <majorUnit val="5000000"/>
        <dispUnits>
          <builtInUnit val="millions"/>
          <dispUnitsLbl>
            <tx>
              <rich>
                <a:bodyPr xmlns:a="http://schemas.openxmlformats.org/drawingml/2006/main" rot="-540000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 xml:space="preserve"> kWh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rich>
            </tx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GB"/>
              </a:p>
            </txPr>
          </dispUnitsLbl>
        </dispUnits>
      </valAx>
      <catAx>
        <axId val="763969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763966160"/>
        <crosses val="autoZero"/>
        <auto val="1"/>
        <lblAlgn val="ctr"/>
        <lblOffset val="100"/>
        <noMultiLvlLbl val="0"/>
      </catAx>
      <valAx>
        <axId val="763966160"/>
        <scaling>
          <orientation val="minMax"/>
          <max val="15000000"/>
        </scaling>
        <delete val="0"/>
        <axPos val="r"/>
        <numFmt formatCode="[&lt;=10]0;;;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63969136"/>
        <crosses val="max"/>
        <crossBetween val="between"/>
        <majorUnit val="1000000"/>
        <dispUnits>
          <builtInUnit val="millions"/>
        </dispUnits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Renewable Energy Generation Compared to Electricity Consumption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'Annual Report (Energy)'!$K$1</f>
              <strCache>
                <ptCount val="1"/>
                <pt idx="0">
                  <v>Electricity Consumption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(Energy)'!$J$2:$J$12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(Energy)'!$K$2:$K$12</f>
              <numCache>
                <formatCode>#,##0</formatCode>
                <ptCount val="11"/>
                <pt idx="0">
                  <v>93067207</v>
                </pt>
                <pt idx="1">
                  <v>95800070</v>
                </pt>
                <pt idx="2">
                  <v>94486358</v>
                </pt>
                <pt idx="3">
                  <v>92966450</v>
                </pt>
                <pt idx="4">
                  <v>90186094</v>
                </pt>
                <pt idx="5">
                  <v>87353244</v>
                </pt>
                <pt idx="6">
                  <v>88318175</v>
                </pt>
                <pt idx="7">
                  <v>89692408</v>
                </pt>
                <pt idx="8">
                  <v>93932338</v>
                </pt>
                <pt idx="9">
                  <v>96709341</v>
                </pt>
                <pt idx="10">
                  <v>105238070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5475008"/>
        <axId val="485462912"/>
      </barChart>
      <lineChart>
        <grouping val="standard"/>
        <varyColors val="0"/>
        <ser>
          <idx val="1"/>
          <order val="1"/>
          <tx>
            <strRef>
              <f>'Annual Report (Energy)'!$L$1</f>
              <strCache>
                <ptCount val="1"/>
                <pt idx="0">
                  <v>Renewable Generation (kWh)</v>
                </pt>
              </strCache>
            </strRef>
          </tx>
          <spPr>
            <a:ln xmlns:a="http://schemas.openxmlformats.org/drawingml/2006/main" w="28575" cap="rnd">
              <a:solidFill>
                <a:srgbClr val="92D05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2D050"/>
              </a:solidFill>
              <a:ln xmlns:a="http://schemas.openxmlformats.org/drawingml/2006/main" w="12700">
                <a:solidFill>
                  <a:srgbClr val="92D050"/>
                </a:solidFill>
                <a:prstDash val="solid"/>
              </a:ln>
            </spPr>
          </marker>
          <cat>
            <strRef>
              <f>'Annual Report (Energy)'!$J$2:$J$12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(Energy)'!$L$2:$L$12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formatCode>#,##0</formatCode>
                  <v>2920</v>
                </pt>
                <pt idx="6">
                  <formatCode>#,##0</formatCode>
                  <v>391443</v>
                </pt>
                <pt idx="7">
                  <formatCode>#,##0</formatCode>
                  <v>1912724</v>
                </pt>
                <pt idx="8">
                  <formatCode>#,##0</formatCode>
                  <v>2319773</v>
                </pt>
                <pt idx="9">
                  <formatCode>#,##0</formatCode>
                  <v>2334777</v>
                </pt>
                <pt idx="10">
                  <formatCode>#,##0</formatCode>
                  <v>2728619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72722544"/>
        <axId val="1502200256"/>
      </lineChart>
      <catAx>
        <axId val="485475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85462912"/>
        <crosses val="autoZero"/>
        <auto val="1"/>
        <lblAlgn val="ctr"/>
        <lblOffset val="100"/>
        <noMultiLvlLbl val="0"/>
      </catAx>
      <valAx>
        <axId val="485462912"/>
        <scaling>
          <orientation val="minMax"/>
          <max val="1000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85475008"/>
        <crosses val="autoZero"/>
        <crossBetween val="between"/>
        <majorUnit val="10000000"/>
        <dispUnits>
          <builtInUnit val="millions"/>
          <dispUnitsLbl>
            <tx>
              <rich>
                <a:bodyPr xmlns:a="http://schemas.openxmlformats.org/drawingml/2006/main" rot="-540000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 xml:space="preserve"> kWh</a:t>
                  </a:r>
                </a:p>
              </rich>
            </tx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  <catAx>
        <axId val="147272254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02200256"/>
        <crosses val="autoZero"/>
        <auto val="1"/>
        <lblAlgn val="ctr"/>
        <lblOffset val="100"/>
        <noMultiLvlLbl val="0"/>
      </catAx>
      <valAx>
        <axId val="150220025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472722544"/>
        <crosses val="max"/>
        <crossBetween val="between"/>
        <dispUnits>
          <builtInUnit val="millions"/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 Emissions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'Annual Report (Energy)'!$AE$1</f>
              <strCache>
                <ptCount val="1"/>
                <pt idx="0">
                  <v>Total S1&amp;2</v>
                </pt>
              </strCache>
            </strRef>
          </tx>
          <spPr>
            <a:solidFill xmlns:a="http://schemas.openxmlformats.org/drawingml/2006/main">
              <a:schemeClr val="accent4">
                <a:lumMod val="40000"/>
                <a:lumOff val="60000"/>
              </a:schemeClr>
            </a:solidFill>
            <a:ln xmlns:a="http://schemas.openxmlformats.org/drawingml/2006/main">
              <a:solidFill>
                <a:schemeClr val="accent4">
                  <a:lumMod val="40000"/>
                  <a:lumOff val="60000"/>
                </a:schemeClr>
              </a:solidFill>
              <a:prstDash val="solid"/>
            </a:ln>
          </spPr>
          <invertIfNegative val="0"/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(Energy)'!$AE$2:$AE$12</f>
              <numCache>
                <formatCode>#,##0.000</formatCode>
                <ptCount val="11"/>
                <pt idx="0">
                  <v>61233.38706565287</v>
                </pt>
                <pt idx="1">
                  <v>53623.84200110254</v>
                </pt>
                <pt idx="2">
                  <v>52655.50040061334</v>
                </pt>
                <pt idx="3">
                  <v>48812.9380004156</v>
                </pt>
                <pt idx="4">
                  <v>47481.82563458918</v>
                </pt>
                <pt idx="5">
                  <v>44850.26945065823</v>
                </pt>
                <pt idx="6">
                  <v>33904.26918172215</v>
                </pt>
                <pt idx="7">
                  <v>36252.17368191951</v>
                </pt>
                <pt idx="8">
                  <v>38013.7284601781</v>
                </pt>
                <pt idx="9">
                  <v>40466.06</v>
                </pt>
                <pt idx="10">
                  <v>41443.09955661932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28657856"/>
        <axId val="728659568"/>
      </barChart>
      <lineChart>
        <grouping val="standard"/>
        <varyColors val="0"/>
        <ser>
          <idx val="1"/>
          <order val="1"/>
          <tx>
            <strRef>
              <f>'Annual Report (Energy)'!$AG$1</f>
              <strCache>
                <ptCount val="1"/>
                <pt idx="0">
                  <v>Emissions per Capita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 w="12700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(Energy)'!$AG$2:$AG$12</f>
              <numCache>
                <formatCode>#,##0.0000</formatCode>
                <ptCount val="11"/>
                <pt idx="0">
                  <v>3.747453308791485</v>
                </pt>
                <pt idx="1">
                  <v>3.226270501239549</v>
                </pt>
                <pt idx="2">
                  <v>3.043758513287282</v>
                </pt>
                <pt idx="3">
                  <v>2.72340435743106</v>
                </pt>
                <pt idx="4">
                  <v>2.565406469167635</v>
                </pt>
                <pt idx="5">
                  <v>2.53692343744885</v>
                </pt>
                <pt idx="6">
                  <v>1.71954502113517</v>
                </pt>
                <pt idx="7">
                  <v>1.764697156302366</v>
                </pt>
                <pt idx="8">
                  <v>1.768327136818072</v>
                </pt>
                <pt idx="9">
                  <v>1.825344399837611</v>
                </pt>
                <pt idx="10">
                  <v>1.735691232425318</v>
                </pt>
              </numCache>
            </numRef>
          </val>
          <smooth val="0"/>
        </ser>
        <ser>
          <idx val="2"/>
          <order val="2"/>
          <tx>
            <strRef>
              <f>'Annual Report (Energy)'!$AH$1</f>
              <strCache>
                <ptCount val="1"/>
                <pt idx="0">
                  <v>Emissions per GFA</v>
                </pt>
              </strCache>
            </strRef>
          </tx>
          <spPr>
            <a:ln xmlns:a="http://schemas.openxmlformats.org/drawingml/2006/main" w="28575" cap="rnd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7030A0"/>
              </a:solidFill>
              <a:ln xmlns:a="http://schemas.openxmlformats.org/drawingml/2006/main" w="9525">
                <a:solidFill>
                  <a:srgbClr val="7030A0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(Energy)'!$AH$2:$AH$12</f>
              <numCache>
                <formatCode>#,##0.0000</formatCode>
                <ptCount val="11"/>
                <pt idx="0">
                  <v>1.293042078943365</v>
                </pt>
                <pt idx="1">
                  <v>1.116945821900508</v>
                </pt>
                <pt idx="2">
                  <v>1.036525598437271</v>
                </pt>
                <pt idx="3">
                  <v>0.9522246108309391</v>
                </pt>
                <pt idx="4">
                  <v>0.9217890104293675</v>
                </pt>
                <pt idx="5">
                  <v>0.8707012618380852</v>
                </pt>
                <pt idx="6">
                  <v>0.6015715040360924</v>
                </pt>
                <pt idx="7">
                  <v>0.6271923696790915</v>
                </pt>
                <pt idx="8">
                  <v>0.6576689981294015</v>
                </pt>
                <pt idx="9">
                  <v>0.6890279452129434</v>
                </pt>
                <pt idx="10">
                  <v>0.7056642957271564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08484832"/>
        <axId val="1607645008"/>
      </lineChart>
      <catAx>
        <axId val="728657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28659568"/>
        <crosses val="autoZero"/>
        <auto val="1"/>
        <lblAlgn val="ctr"/>
        <lblOffset val="100"/>
        <noMultiLvlLbl val="0"/>
      </catAx>
      <valAx>
        <axId val="728659568"/>
        <scaling>
          <orientation val="minMax"/>
          <max val="62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28657856"/>
        <crosses val="autoZero"/>
        <crossBetween val="between"/>
      </valAx>
      <catAx>
        <axId val="160848483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607645008"/>
        <crosses val="autoZero"/>
        <auto val="1"/>
        <lblAlgn val="ctr"/>
        <lblOffset val="100"/>
        <noMultiLvlLbl val="0"/>
      </catAx>
      <valAx>
        <axId val="1607645008"/>
        <scaling>
          <orientation val="minMax"/>
        </scaling>
        <delete val="0"/>
        <axPos val="r"/>
        <numFmt formatCode="#,##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60848483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Projection and Plans for 2045 and 2050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GB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strRef>
              <f>'Annual Report (Energy)'!$AK$1</f>
              <strCache>
                <ptCount val="1"/>
                <pt idx="0">
                  <v>Actual (including renewables)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'Annual Report (Energy)'!$AJ$2:$AJ$38</f>
              <numCache>
                <formatCode>General</formatCode>
                <ptCount val="37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  <pt idx="11">
                  <v>2025</v>
                </pt>
                <pt idx="12">
                  <v>2026</v>
                </pt>
                <pt idx="13">
                  <v>2027</v>
                </pt>
                <pt idx="14">
                  <v>2028</v>
                </pt>
                <pt idx="15">
                  <v>2029</v>
                </pt>
                <pt idx="16">
                  <v>2030</v>
                </pt>
                <pt idx="17">
                  <v>2031</v>
                </pt>
                <pt idx="18">
                  <v>2032</v>
                </pt>
                <pt idx="19">
                  <v>2033</v>
                </pt>
                <pt idx="20">
                  <v>2034</v>
                </pt>
                <pt idx="21">
                  <v>2035</v>
                </pt>
                <pt idx="22">
                  <v>2036</v>
                </pt>
                <pt idx="23">
                  <v>2037</v>
                </pt>
                <pt idx="24">
                  <v>2038</v>
                </pt>
                <pt idx="25">
                  <v>2039</v>
                </pt>
                <pt idx="26">
                  <v>2040</v>
                </pt>
                <pt idx="27">
                  <v>2041</v>
                </pt>
                <pt idx="28">
                  <v>2042</v>
                </pt>
                <pt idx="29">
                  <v>2043</v>
                </pt>
                <pt idx="30">
                  <v>2044</v>
                </pt>
                <pt idx="31">
                  <v>2045</v>
                </pt>
                <pt idx="32">
                  <v>2046</v>
                </pt>
                <pt idx="33">
                  <v>2047</v>
                </pt>
                <pt idx="34">
                  <v>2048</v>
                </pt>
                <pt idx="35">
                  <v>2049</v>
                </pt>
                <pt idx="36">
                  <v>2050</v>
                </pt>
              </numCache>
            </numRef>
          </cat>
          <val>
            <numRef>
              <f>'Annual Report (Energy)'!$AK$2:$AK$38</f>
              <numCache>
                <formatCode>#,##0</formatCode>
                <ptCount val="37"/>
                <pt idx="0">
                  <v>61233</v>
                </pt>
                <pt idx="1">
                  <v>53624</v>
                </pt>
                <pt idx="2">
                  <v>52656</v>
                </pt>
                <pt idx="3">
                  <v>48813</v>
                </pt>
                <pt idx="4">
                  <v>47482</v>
                </pt>
                <pt idx="5">
                  <v>44848.5108</v>
                </pt>
                <pt idx="6">
                  <v>33759.16609</v>
                </pt>
                <pt idx="7">
                  <v>35506.03764</v>
                </pt>
                <pt idx="8">
                  <v>37109.28853</v>
                </pt>
                <pt idx="9">
                  <v>39555.43697</v>
                </pt>
              </numCache>
            </numRef>
          </val>
        </ser>
        <ser>
          <idx val="2"/>
          <order val="1"/>
          <tx>
            <strRef>
              <f>'Annual Report (Energy)'!$AM$1</f>
              <strCache>
                <ptCount val="1"/>
                <pt idx="0">
                  <v>Projected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5875">
              <a:solidFill>
                <a:schemeClr val="accent2"/>
              </a:solidFill>
              <a:prstDash val="sysDot"/>
            </a:ln>
          </spPr>
          <invertIfNegative val="0"/>
          <cat>
            <numRef>
              <f>'Annual Report (Energy)'!$AJ$2:$AJ$38</f>
              <numCache>
                <formatCode>General</formatCode>
                <ptCount val="37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  <pt idx="11">
                  <v>2025</v>
                </pt>
                <pt idx="12">
                  <v>2026</v>
                </pt>
                <pt idx="13">
                  <v>2027</v>
                </pt>
                <pt idx="14">
                  <v>2028</v>
                </pt>
                <pt idx="15">
                  <v>2029</v>
                </pt>
                <pt idx="16">
                  <v>2030</v>
                </pt>
                <pt idx="17">
                  <v>2031</v>
                </pt>
                <pt idx="18">
                  <v>2032</v>
                </pt>
                <pt idx="19">
                  <v>2033</v>
                </pt>
                <pt idx="20">
                  <v>2034</v>
                </pt>
                <pt idx="21">
                  <v>2035</v>
                </pt>
                <pt idx="22">
                  <v>2036</v>
                </pt>
                <pt idx="23">
                  <v>2037</v>
                </pt>
                <pt idx="24">
                  <v>2038</v>
                </pt>
                <pt idx="25">
                  <v>2039</v>
                </pt>
                <pt idx="26">
                  <v>2040</v>
                </pt>
                <pt idx="27">
                  <v>2041</v>
                </pt>
                <pt idx="28">
                  <v>2042</v>
                </pt>
                <pt idx="29">
                  <v>2043</v>
                </pt>
                <pt idx="30">
                  <v>2044</v>
                </pt>
                <pt idx="31">
                  <v>2045</v>
                </pt>
                <pt idx="32">
                  <v>2046</v>
                </pt>
                <pt idx="33">
                  <v>2047</v>
                </pt>
                <pt idx="34">
                  <v>2048</v>
                </pt>
                <pt idx="35">
                  <v>2049</v>
                </pt>
                <pt idx="36">
                  <v>2050</v>
                </pt>
              </numCache>
            </numRef>
          </cat>
          <val>
            <numRef>
              <f>'Annual Report (Energy)'!$AM$2:$AM$38</f>
              <numCache>
                <formatCode>#,##0</formatCode>
                <ptCount val="37"/>
                <pt idx="9">
                  <v>38236.3857018</v>
                </pt>
                <pt idx="10">
                  <v>37131.51541671</v>
                </pt>
                <pt idx="11">
                  <v>37121.7524708745</v>
                </pt>
                <pt idx="12">
                  <v>43405.67154</v>
                </pt>
                <pt idx="13">
                  <v>41891.02478</v>
                </pt>
                <pt idx="14">
                  <v>47439.7014</v>
                </pt>
                <pt idx="15">
                  <v>45117.05464</v>
                </pt>
                <pt idx="16">
                  <v>49445.73126000001</v>
                </pt>
                <pt idx="17">
                  <v>47614.40788000001</v>
                </pt>
                <pt idx="18">
                  <v>44815.76112</v>
                </pt>
                <pt idx="19">
                  <v>42948.43774</v>
                </pt>
                <pt idx="20">
                  <v>41741.11436</v>
                </pt>
                <pt idx="21">
                  <v>39843.79098</v>
                </pt>
                <pt idx="22">
                  <v>39066.4676</v>
                </pt>
                <pt idx="23">
                  <v>37113.14422</v>
                </pt>
                <pt idx="24">
                  <v>35699.82083999999</v>
                </pt>
                <pt idx="25">
                  <v>33716.49746</v>
                </pt>
                <pt idx="26">
                  <v>32613.17408</v>
                </pt>
                <pt idx="27">
                  <v>30574.8507</v>
                </pt>
                <pt idx="28">
                  <v>31114.8507</v>
                </pt>
                <pt idx="29">
                  <v>29040.52732</v>
                </pt>
                <pt idx="30">
                  <v>27434.20394</v>
                </pt>
                <pt idx="31">
                  <v>25323.88056</v>
                </pt>
                <pt idx="32">
                  <v>25983.88056</v>
                </pt>
                <pt idx="33">
                  <v>23818.55718</v>
                </pt>
                <pt idx="34">
                  <v>24214.55718</v>
                </pt>
                <pt idx="35">
                  <v>22013.2338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70903408"/>
        <axId val="370891456"/>
      </barChart>
      <lineChart>
        <grouping val="standard"/>
        <varyColors val="0"/>
        <ser>
          <idx val="3"/>
          <order val="2"/>
          <tx>
            <strRef>
              <f>'Annual Report (Energy)'!$AN$1</f>
              <strCache>
                <ptCount val="1"/>
                <pt idx="0">
                  <v>2028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marker>
              <symbol val="circle"/>
              <size val="5"/>
              <spPr>
                <a:solidFill xmlns:a="http://schemas.openxmlformats.org/drawingml/2006/main">
                  <a:schemeClr val="accent1"/>
                </a:solidFill>
                <a:ln xmlns:a="http://schemas.openxmlformats.org/drawingml/2006/main" w="19050">
                  <a:solidFill>
                    <a:schemeClr val="accent1"/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'Annual Report (Energy)'!$AN$2:$AN$16</f>
              <numCache>
                <formatCode>#,##0</formatCode>
                <ptCount val="15"/>
                <pt idx="0">
                  <v>61233</v>
                </pt>
                <pt idx="1">
                  <v>59483.48571428571</v>
                </pt>
                <pt idx="2">
                  <v>57733.97142857143</v>
                </pt>
                <pt idx="3">
                  <v>55984.45714285714</v>
                </pt>
                <pt idx="4">
                  <v>54234.94285714286</v>
                </pt>
                <pt idx="5">
                  <v>52485.42857142857</v>
                </pt>
                <pt idx="6">
                  <v>50735.91428571429</v>
                </pt>
                <pt idx="7">
                  <v>48986.4</v>
                </pt>
                <pt idx="8">
                  <v>47236.88571428572</v>
                </pt>
                <pt idx="9">
                  <v>45487.37142857143</v>
                </pt>
                <pt idx="10">
                  <v>43737.85714285714</v>
                </pt>
                <pt idx="11">
                  <v>41988.34285714286</v>
                </pt>
                <pt idx="12">
                  <v>40238.82857142857</v>
                </pt>
                <pt idx="13">
                  <v>38489.31428571429</v>
                </pt>
                <pt idx="14">
                  <v>36739.8</v>
                </pt>
              </numCache>
            </numRef>
          </val>
          <smooth val="0"/>
        </ser>
        <ser>
          <idx val="4"/>
          <order val="4"/>
          <tx>
            <strRef>
              <f>'Annual Report (Energy)'!$AO$1</f>
              <strCache>
                <ptCount val="1"/>
                <pt idx="0">
                  <v>2035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4"/>
            <marker>
              <symbol val="circle"/>
              <size val="5"/>
              <spPr>
                <a:solidFill xmlns:a="http://schemas.openxmlformats.org/drawingml/2006/main">
                  <a:schemeClr val="accent4"/>
                </a:solidFill>
                <a:ln xmlns:a="http://schemas.openxmlformats.org/drawingml/2006/main" w="19050">
                  <a:solidFill>
                    <a:schemeClr val="accent4"/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'Annual Report (Energy)'!$AO$2:$AO$23</f>
              <numCache>
                <formatCode>#,##0.0</formatCode>
                <ptCount val="22"/>
                <pt idx="14">
                  <formatCode>#,##0</formatCode>
                  <v>36739.8</v>
                </pt>
                <pt idx="15">
                  <formatCode>#,##0</formatCode>
                  <v>35865.04285714286</v>
                </pt>
                <pt idx="16">
                  <formatCode>#,##0</formatCode>
                  <v>34990.28571428572</v>
                </pt>
                <pt idx="17">
                  <formatCode>#,##0</formatCode>
                  <v>34115.52857142858</v>
                </pt>
                <pt idx="18">
                  <formatCode>#,##0</formatCode>
                  <v>33240.77142857144</v>
                </pt>
                <pt idx="19">
                  <formatCode>#,##0</formatCode>
                  <v>32366.0142857143</v>
                </pt>
                <pt idx="20">
                  <formatCode>#,##0</formatCode>
                  <v>31491.25714285715</v>
                </pt>
                <pt idx="21">
                  <formatCode>#,##0</formatCode>
                  <v>30616.5</v>
                </pt>
              </numCache>
            </numRef>
          </val>
          <smooth val="0"/>
        </ser>
        <ser>
          <idx val="5"/>
          <order val="5"/>
          <tx>
            <strRef>
              <f>'Annual Report (Energy)'!$AP$1</f>
              <strCache>
                <ptCount val="1"/>
                <pt idx="0">
                  <v>2045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'Annual Report (Energy)'!$AP$2:$AP$33</f>
              <numCache>
                <formatCode>#,##0.0</formatCode>
                <ptCount val="32"/>
                <pt idx="21">
                  <formatCode>#,##0</formatCode>
                  <v>30616.5</v>
                </pt>
                <pt idx="22">
                  <formatCode>#,##0</formatCode>
                  <v>27554.85</v>
                </pt>
                <pt idx="23">
                  <formatCode>#,##0</formatCode>
                  <v>24493.2</v>
                </pt>
                <pt idx="24">
                  <formatCode>#,##0</formatCode>
                  <v>21431.55</v>
                </pt>
                <pt idx="25">
                  <formatCode>#,##0</formatCode>
                  <v>18369.89999999999</v>
                </pt>
                <pt idx="26">
                  <formatCode>#,##0</formatCode>
                  <v>15308.24999999999</v>
                </pt>
                <pt idx="27">
                  <formatCode>#,##0</formatCode>
                  <v>12246.59999999999</v>
                </pt>
                <pt idx="28">
                  <formatCode>#,##0</formatCode>
                  <v>9184.949999999995</v>
                </pt>
                <pt idx="29">
                  <formatCode>#,##0</formatCode>
                  <v>6123.299999999996</v>
                </pt>
                <pt idx="30">
                  <formatCode>#,##0</formatCode>
                  <v>3061.649999999996</v>
                </pt>
                <pt idx="31">
                  <formatCode>#,##0</formatCode>
                  <v>0</v>
                </pt>
              </numCache>
            </numRef>
          </val>
          <smooth val="0"/>
        </ser>
        <ser>
          <idx val="6"/>
          <order val="6"/>
          <tx>
            <strRef>
              <f>'Annual Report (Energy)'!$AQ$1</f>
              <strCache>
                <ptCount val="1"/>
                <pt idx="0">
                  <v>2050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21"/>
            <marker>
              <symbol val="circle"/>
              <size val="5"/>
              <spPr>
                <a:solidFill xmlns:a="http://schemas.openxmlformats.org/drawingml/2006/main">
                  <a:schemeClr val="accent6"/>
                </a:solidFill>
                <a:ln xmlns:a="http://schemas.openxmlformats.org/drawingml/2006/main" w="9525">
                  <a:solidFill>
                    <a:schemeClr val="accent6"/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21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'Annual Report (Energy)'!$AQ$2:$AQ$38</f>
              <numCache>
                <formatCode>#,##0.0</formatCode>
                <ptCount val="37"/>
                <pt idx="21">
                  <formatCode>#,##0</formatCode>
                  <v>30616.5</v>
                </pt>
                <pt idx="22">
                  <formatCode>#,##0</formatCode>
                  <v>28575.4</v>
                </pt>
                <pt idx="23">
                  <formatCode>#,##0</formatCode>
                  <v>26534.3</v>
                </pt>
                <pt idx="24">
                  <formatCode>#,##0</formatCode>
                  <v>24493.2</v>
                </pt>
                <pt idx="25">
                  <formatCode>#,##0</formatCode>
                  <v>22452.10000000001</v>
                </pt>
                <pt idx="26">
                  <formatCode>#,##0</formatCode>
                  <v>20411.00000000001</v>
                </pt>
                <pt idx="27">
                  <formatCode>#,##0</formatCode>
                  <v>18369.90000000001</v>
                </pt>
                <pt idx="28">
                  <formatCode>#,##0</formatCode>
                  <v>16328.80000000001</v>
                </pt>
                <pt idx="29">
                  <formatCode>#,##0</formatCode>
                  <v>14287.70000000001</v>
                </pt>
                <pt idx="30">
                  <formatCode>#,##0</formatCode>
                  <v>12246.60000000001</v>
                </pt>
                <pt idx="31">
                  <formatCode>#,##0</formatCode>
                  <v>10205.50000000001</v>
                </pt>
                <pt idx="32">
                  <formatCode>#,##0</formatCode>
                  <v>8164.400000000007</v>
                </pt>
                <pt idx="33">
                  <formatCode>#,##0</formatCode>
                  <v>6123.300000000007</v>
                </pt>
                <pt idx="34">
                  <formatCode>#,##0</formatCode>
                  <v>4082.200000000007</v>
                </pt>
                <pt idx="35">
                  <formatCode>#,##0</formatCode>
                  <v>2041.100000000007</v>
                </pt>
                <pt idx="36">
                  <formatCode>#,##0</formatCode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70903408"/>
        <axId val="370891456"/>
      </lineChart>
      <catAx>
        <axId val="3709034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370891456"/>
        <crosses val="autoZero"/>
        <auto val="1"/>
        <lblAlgn val="ctr"/>
        <lblOffset val="100"/>
        <noMultiLvlLbl val="0"/>
      </catAx>
      <valAx>
        <axId val="3708914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 Tonnes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GB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3709034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strRef>
              <f>'Annual Report (Energy)'!$AK$1</f>
              <strCache>
                <ptCount val="1"/>
                <pt idx="0">
                  <v>Actual (including renewables)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'Annual Report (Energy)'!$AJ$2:$AJ$33</f>
              <numCache>
                <formatCode>General</formatCode>
                <ptCount val="32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  <pt idx="11">
                  <v>2025</v>
                </pt>
                <pt idx="12">
                  <v>2026</v>
                </pt>
                <pt idx="13">
                  <v>2027</v>
                </pt>
                <pt idx="14">
                  <v>2028</v>
                </pt>
                <pt idx="15">
                  <v>2029</v>
                </pt>
                <pt idx="16">
                  <v>2030</v>
                </pt>
                <pt idx="17">
                  <v>2031</v>
                </pt>
                <pt idx="18">
                  <v>2032</v>
                </pt>
                <pt idx="19">
                  <v>2033</v>
                </pt>
                <pt idx="20">
                  <v>2034</v>
                </pt>
                <pt idx="21">
                  <v>2035</v>
                </pt>
                <pt idx="22">
                  <v>2036</v>
                </pt>
                <pt idx="23">
                  <v>2037</v>
                </pt>
                <pt idx="24">
                  <v>2038</v>
                </pt>
                <pt idx="25">
                  <v>2039</v>
                </pt>
                <pt idx="26">
                  <v>2040</v>
                </pt>
                <pt idx="27">
                  <v>2041</v>
                </pt>
                <pt idx="28">
                  <v>2042</v>
                </pt>
                <pt idx="29">
                  <v>2043</v>
                </pt>
                <pt idx="30">
                  <v>2044</v>
                </pt>
                <pt idx="31">
                  <v>2045</v>
                </pt>
              </numCache>
            </numRef>
          </cat>
          <val>
            <numRef>
              <f>'Annual Report (Energy)'!$AK$2:$AK$33</f>
              <numCache>
                <formatCode>#,##0</formatCode>
                <ptCount val="32"/>
                <pt idx="0">
                  <v>61233</v>
                </pt>
                <pt idx="1">
                  <v>53624</v>
                </pt>
                <pt idx="2">
                  <v>52656</v>
                </pt>
                <pt idx="3">
                  <v>48813</v>
                </pt>
                <pt idx="4">
                  <v>47482</v>
                </pt>
                <pt idx="5">
                  <v>44848.5108</v>
                </pt>
                <pt idx="6">
                  <v>33759.16609</v>
                </pt>
                <pt idx="7">
                  <v>35506.03764</v>
                </pt>
                <pt idx="8">
                  <v>37109.28853</v>
                </pt>
                <pt idx="9">
                  <v>39555.43697</v>
                </pt>
              </numCache>
            </numRef>
          </val>
        </ser>
        <ser>
          <idx val="2"/>
          <order val="1"/>
          <tx>
            <strRef>
              <f>'Annual Report (Energy)'!$AM$1</f>
              <strCache>
                <ptCount val="1"/>
                <pt idx="0">
                  <v>Projected</v>
                </pt>
              </strCache>
            </strRef>
          </tx>
          <spPr>
            <a:noFill xmlns:a="http://schemas.openxmlformats.org/drawingml/2006/main"/>
            <a:ln xmlns:a="http://schemas.openxmlformats.org/drawingml/2006/main" w="15875">
              <a:solidFill>
                <a:schemeClr val="accent2"/>
              </a:solidFill>
              <a:prstDash val="sysDot"/>
            </a:ln>
          </spPr>
          <invertIfNegative val="0"/>
          <cat>
            <numRef>
              <f>'Annual Report (Energy)'!$AJ$2:$AJ$33</f>
              <numCache>
                <formatCode>General</formatCode>
                <ptCount val="32"/>
                <pt idx="0">
                  <v>2014</v>
                </pt>
                <pt idx="1">
                  <v>2015</v>
                </pt>
                <pt idx="2">
                  <v>2016</v>
                </pt>
                <pt idx="3">
                  <v>2017</v>
                </pt>
                <pt idx="4">
                  <v>2018</v>
                </pt>
                <pt idx="5">
                  <v>2019</v>
                </pt>
                <pt idx="6">
                  <v>2020</v>
                </pt>
                <pt idx="7">
                  <v>2021</v>
                </pt>
                <pt idx="8">
                  <v>2022</v>
                </pt>
                <pt idx="9">
                  <v>2023</v>
                </pt>
                <pt idx="10">
                  <v>2024</v>
                </pt>
                <pt idx="11">
                  <v>2025</v>
                </pt>
                <pt idx="12">
                  <v>2026</v>
                </pt>
                <pt idx="13">
                  <v>2027</v>
                </pt>
                <pt idx="14">
                  <v>2028</v>
                </pt>
                <pt idx="15">
                  <v>2029</v>
                </pt>
                <pt idx="16">
                  <v>2030</v>
                </pt>
                <pt idx="17">
                  <v>2031</v>
                </pt>
                <pt idx="18">
                  <v>2032</v>
                </pt>
                <pt idx="19">
                  <v>2033</v>
                </pt>
                <pt idx="20">
                  <v>2034</v>
                </pt>
                <pt idx="21">
                  <v>2035</v>
                </pt>
                <pt idx="22">
                  <v>2036</v>
                </pt>
                <pt idx="23">
                  <v>2037</v>
                </pt>
                <pt idx="24">
                  <v>2038</v>
                </pt>
                <pt idx="25">
                  <v>2039</v>
                </pt>
                <pt idx="26">
                  <v>2040</v>
                </pt>
                <pt idx="27">
                  <v>2041</v>
                </pt>
                <pt idx="28">
                  <v>2042</v>
                </pt>
                <pt idx="29">
                  <v>2043</v>
                </pt>
                <pt idx="30">
                  <v>2044</v>
                </pt>
                <pt idx="31">
                  <v>2045</v>
                </pt>
              </numCache>
            </numRef>
          </cat>
          <val>
            <numRef>
              <f>'Annual Report (Energy)'!$AM$2:$AM$33</f>
              <numCache>
                <formatCode>#,##0</formatCode>
                <ptCount val="32"/>
                <pt idx="9">
                  <v>38236.3857018</v>
                </pt>
                <pt idx="10">
                  <v>37131.51541671</v>
                </pt>
                <pt idx="11">
                  <v>37121.7524708745</v>
                </pt>
                <pt idx="12">
                  <v>43405.67154</v>
                </pt>
                <pt idx="13">
                  <v>41891.02478</v>
                </pt>
                <pt idx="14">
                  <v>47439.7014</v>
                </pt>
                <pt idx="15">
                  <v>45117.05464</v>
                </pt>
                <pt idx="16">
                  <v>49445.73126000001</v>
                </pt>
                <pt idx="17">
                  <v>47614.40788000001</v>
                </pt>
                <pt idx="18">
                  <v>44815.76112</v>
                </pt>
                <pt idx="19">
                  <v>42948.43774</v>
                </pt>
                <pt idx="20">
                  <v>41741.11436</v>
                </pt>
                <pt idx="21">
                  <v>39843.79098</v>
                </pt>
                <pt idx="22">
                  <v>39066.4676</v>
                </pt>
                <pt idx="23">
                  <v>37113.14422</v>
                </pt>
                <pt idx="24">
                  <v>35699.82083999999</v>
                </pt>
                <pt idx="25">
                  <v>33716.49746</v>
                </pt>
                <pt idx="26">
                  <v>32613.17408</v>
                </pt>
                <pt idx="27">
                  <v>30574.8507</v>
                </pt>
                <pt idx="28">
                  <v>31114.8507</v>
                </pt>
                <pt idx="29">
                  <v>29040.52732</v>
                </pt>
                <pt idx="30">
                  <v>27434.20394</v>
                </pt>
                <pt idx="31">
                  <v>25323.88056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16120624"/>
        <axId val="1626425520"/>
      </barChart>
      <dateAx>
        <axId val="9161206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626425520"/>
        <crosses val="autoZero"/>
        <lblOffset val="100"/>
        <baseTimeUnit val="days"/>
      </dateAx>
      <valAx>
        <axId val="1626425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161206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1&amp;2, and 3 GHG Emissions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'Annual Report (Energy)'!$AE$1</f>
              <strCache>
                <ptCount val="1"/>
                <pt idx="0">
                  <v>Total S1&amp;2</v>
                </pt>
              </strCache>
            </strRef>
          </tx>
          <spPr>
            <a:solidFill xmlns:a="http://schemas.openxmlformats.org/drawingml/2006/main">
              <a:srgbClr val="9CCB3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(Energy)'!$AE$2:$AE$12</f>
              <numCache>
                <formatCode>#,##0.000</formatCode>
                <ptCount val="11"/>
                <pt idx="0">
                  <v>61233.38706565287</v>
                </pt>
                <pt idx="1">
                  <v>53623.84200110254</v>
                </pt>
                <pt idx="2">
                  <v>52655.50040061334</v>
                </pt>
                <pt idx="3">
                  <v>48812.9380004156</v>
                </pt>
                <pt idx="4">
                  <v>47481.82563458918</v>
                </pt>
                <pt idx="5">
                  <v>44850.26945065823</v>
                </pt>
                <pt idx="6">
                  <v>33904.26918172215</v>
                </pt>
                <pt idx="7">
                  <v>36252.17368191951</v>
                </pt>
                <pt idx="8">
                  <v>38013.7284601781</v>
                </pt>
                <pt idx="9">
                  <v>40466.06</v>
                </pt>
                <pt idx="10">
                  <v>41443.09955661932</v>
                </pt>
              </numCache>
            </numRef>
          </val>
        </ser>
        <ser>
          <idx val="1"/>
          <order val="1"/>
          <tx>
            <strRef>
              <f>'Annual Report (Energy)'!$AF$1</f>
              <strCache>
                <ptCount val="1"/>
                <pt idx="0">
                  <v>Total S3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(Energy)'!$AF$2:$AF$12</f>
              <numCache>
                <formatCode>#,##0.00</formatCode>
                <ptCount val="11"/>
                <pt idx="0">
                  <v>795.2459870279999</v>
                </pt>
                <pt idx="1">
                  <v>865.876906128</v>
                </pt>
                <pt idx="2">
                  <v>662.1989129152</v>
                </pt>
                <pt idx="3">
                  <v>639.4197735584736</v>
                </pt>
                <pt idx="4">
                  <v>656.55334308672</v>
                </pt>
                <pt idx="5">
                  <v>241.898256</v>
                </pt>
                <pt idx="6">
                  <v>124.753760052</v>
                </pt>
                <pt idx="7">
                  <v>258.652085252</v>
                </pt>
                <pt idx="8">
                  <v>555.671778908</v>
                </pt>
                <pt idx="9">
                  <v>425.79</v>
                </pt>
                <pt idx="10">
                  <v>284.3186695568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55552799"/>
        <axId val="855080111"/>
      </barChart>
      <lineChart>
        <grouping val="standard"/>
        <varyColors val="0"/>
        <ser>
          <idx val="2"/>
          <order val="2"/>
          <tx>
            <strRef>
              <f>'Annual Report (Energy)'!$AG$1</f>
              <strCache>
                <ptCount val="1"/>
                <pt idx="0">
                  <v>Emissions per Capita</v>
                </pt>
              </strCache>
            </strRef>
          </tx>
          <spPr>
            <a:ln xmlns:a="http://schemas.openxmlformats.org/drawingml/2006/main" w="28575" cap="rnd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7030A0"/>
              </a:solidFill>
              <a:ln xmlns:a="http://schemas.openxmlformats.org/drawingml/2006/main" w="9525">
                <a:solidFill>
                  <a:srgbClr val="7030A0"/>
                </a:solidFill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(Energy)'!$AG$2:$AG$12</f>
              <numCache>
                <formatCode>#,##0.0000</formatCode>
                <ptCount val="11"/>
                <pt idx="0">
                  <v>3.747453308791485</v>
                </pt>
                <pt idx="1">
                  <v>3.226270501239549</v>
                </pt>
                <pt idx="2">
                  <v>3.043758513287282</v>
                </pt>
                <pt idx="3">
                  <v>2.72340435743106</v>
                </pt>
                <pt idx="4">
                  <v>2.565406469167635</v>
                </pt>
                <pt idx="5">
                  <v>2.53692343744885</v>
                </pt>
                <pt idx="6">
                  <v>1.71954502113517</v>
                </pt>
                <pt idx="7">
                  <v>1.764697156302366</v>
                </pt>
                <pt idx="8">
                  <v>1.768327136818072</v>
                </pt>
                <pt idx="9">
                  <v>1.825344399837611</v>
                </pt>
                <pt idx="10">
                  <v>1.735691232425318</v>
                </pt>
              </numCache>
            </numRef>
          </val>
          <smooth val="0"/>
        </ser>
        <ser>
          <idx val="3"/>
          <order val="3"/>
          <tx>
            <strRef>
              <f>'Annual Report (Energy)'!$AH$1</f>
              <strCache>
                <ptCount val="1"/>
                <pt idx="0">
                  <v>Emissions per GFA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(Energy)'!$AD$2:$AD$12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(Energy)'!$AH$2:$AH$12</f>
              <numCache>
                <formatCode>#,##0.0000</formatCode>
                <ptCount val="11"/>
                <pt idx="0">
                  <v>1.293042078943365</v>
                </pt>
                <pt idx="1">
                  <v>1.116945821900508</v>
                </pt>
                <pt idx="2">
                  <v>1.036525598437271</v>
                </pt>
                <pt idx="3">
                  <v>0.9522246108309391</v>
                </pt>
                <pt idx="4">
                  <v>0.9217890104293675</v>
                </pt>
                <pt idx="5">
                  <v>0.8707012618380852</v>
                </pt>
                <pt idx="6">
                  <v>0.6015715040360924</v>
                </pt>
                <pt idx="7">
                  <v>0.6271923696790915</v>
                </pt>
                <pt idx="8">
                  <v>0.6576689981294015</v>
                </pt>
                <pt idx="9">
                  <v>0.6890279452129434</v>
                </pt>
                <pt idx="10">
                  <v>0.7056642957271564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51150431"/>
        <axId val="666562975"/>
      </lineChart>
      <catAx>
        <axId val="8555527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855080111"/>
        <crosses val="autoZero"/>
        <auto val="1"/>
        <lblAlgn val="ctr"/>
        <lblOffset val="100"/>
        <noMultiLvlLbl val="0"/>
      </catAx>
      <valAx>
        <axId val="8550801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Bar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Chart: Thousand of </a:t>
                </a: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Tons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GB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855552799"/>
        <crosses val="autoZero"/>
        <crossBetween val="between"/>
        <dispUnits>
          <builtInUnit val="thousands"/>
        </dispUnits>
      </valAx>
      <catAx>
        <axId val="85115043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66562975"/>
        <crosses val="autoZero"/>
        <auto val="1"/>
        <lblAlgn val="ctr"/>
        <lblOffset val="100"/>
        <noMultiLvlLbl val="0"/>
      </catAx>
      <valAx>
        <axId val="666562975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Line Chart: Metric Tons of CO2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85115043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Energy Consumption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'Annual Report (Energy)'!$D$1</f>
              <strCache>
                <ptCount val="1"/>
                <pt idx="0">
                  <v>Electricity</v>
                </pt>
              </strCache>
            </strRef>
          </tx>
          <spPr>
            <a:solidFill xmlns:a="http://schemas.openxmlformats.org/drawingml/2006/main">
              <a:srgbClr val="9CCB3C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(Energy)'!$D$2:$D$12</f>
              <numCache>
                <formatCode>#,##0</formatCode>
                <ptCount val="11"/>
                <pt idx="0">
                  <v>93067207</v>
                </pt>
                <pt idx="1">
                  <v>95800070</v>
                </pt>
                <pt idx="2">
                  <v>94486358</v>
                </pt>
                <pt idx="3">
                  <v>92966450</v>
                </pt>
                <pt idx="4">
                  <v>90186094</v>
                </pt>
                <pt idx="5">
                  <v>87353244</v>
                </pt>
                <pt idx="6">
                  <v>88318175</v>
                </pt>
                <pt idx="7">
                  <v>89692408</v>
                </pt>
                <pt idx="8">
                  <v>93932338</v>
                </pt>
                <pt idx="9">
                  <v>96709341</v>
                </pt>
                <pt idx="10">
                  <v>105238070</v>
                </pt>
              </numCache>
            </numRef>
          </val>
        </ser>
        <ser>
          <idx val="1"/>
          <order val="1"/>
          <tx>
            <strRef>
              <f>'Annual Report (Energy)'!$C$1</f>
              <strCache>
                <ptCount val="1"/>
                <pt idx="0">
                  <v>Towngas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(Energy)'!$C$2:$C$12</f>
              <numCache>
                <formatCode>#,##0.0</formatCode>
                <ptCount val="11"/>
                <pt idx="0">
                  <v>5874308</v>
                </pt>
                <pt idx="1">
                  <v>7232698</v>
                </pt>
                <pt idx="2">
                  <v>6584444</v>
                </pt>
                <pt idx="3">
                  <v>5665933</v>
                </pt>
                <pt idx="4">
                  <v>6128182</v>
                </pt>
                <pt idx="5">
                  <v>4520415</v>
                </pt>
                <pt idx="6">
                  <v>4701278</v>
                </pt>
                <pt idx="7">
                  <v>5113008</v>
                </pt>
                <pt idx="8">
                  <v>5491373</v>
                </pt>
                <pt idx="9">
                  <v>5826263.404900753</v>
                </pt>
                <pt idx="10">
                  <v>5633744.378581622</v>
                </pt>
              </numCache>
            </numRef>
          </val>
        </ser>
        <ser>
          <idx val="2"/>
          <order val="2"/>
          <tx>
            <strRef>
              <f>'Annual Report (Energy)'!$B$1</f>
              <strCache>
                <ptCount val="1"/>
                <pt idx="0">
                  <v>Liquid Fuels/Diesel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(Energy)'!$A$2:$A$12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(Energy)'!$B$2:$B$12</f>
              <numCache>
                <formatCode>#,##0.0</formatCode>
                <ptCount val="11"/>
                <pt idx="0">
                  <v>280000</v>
                </pt>
                <pt idx="1">
                  <v>370000</v>
                </pt>
                <pt idx="2">
                  <v>201980.5</v>
                </pt>
                <pt idx="3">
                  <v>221452.21</v>
                </pt>
                <pt idx="4">
                  <v>205172.45</v>
                </pt>
                <pt idx="5">
                  <v>181092.19</v>
                </pt>
                <pt idx="6">
                  <v>224833.4</v>
                </pt>
                <pt idx="7">
                  <v>234812</v>
                </pt>
                <pt idx="8">
                  <v>292973.4277</v>
                </pt>
                <pt idx="9">
                  <v>243473.34</v>
                </pt>
                <pt idx="10">
                  <v>219309.77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14319616"/>
        <axId val="714213728"/>
      </barChart>
      <lineChart>
        <grouping val="standard"/>
        <varyColors val="0"/>
        <ser>
          <idx val="3"/>
          <order val="3"/>
          <tx>
            <strRef>
              <f>'Annual Report (Energy)'!$F$1</f>
              <strCache>
                <ptCount val="1"/>
                <pt idx="0">
                  <v>Energy per Capita</v>
                </pt>
              </strCache>
            </strRef>
          </tx>
          <spPr>
            <a:ln xmlns:a="http://schemas.openxmlformats.org/drawingml/2006/main" w="28575" cap="rnd">
              <a:solidFill>
                <a:srgbClr val="7030A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7030A0"/>
              </a:solidFill>
              <a:ln xmlns:a="http://schemas.openxmlformats.org/drawingml/2006/main" w="9525">
                <a:solidFill>
                  <a:srgbClr val="7030A0"/>
                </a:solidFill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(Energy)'!$F$2:$F$12</f>
              <numCache>
                <formatCode>#,##0.0</formatCode>
                <ptCount val="11"/>
                <pt idx="0">
                  <v>6072.308139534884</v>
                </pt>
                <pt idx="1">
                  <v>6221.212201431924</v>
                </pt>
                <pt idx="2">
                  <v>5854.087256857135</v>
                </pt>
                <pt idx="3">
                  <v>5515.319843222584</v>
                </pt>
                <pt idx="4">
                  <v>5214.871461760813</v>
                </pt>
                <pt idx="5">
                  <v>5207.011210475705</v>
                </pt>
                <pt idx="6">
                  <v>4729.131531165999</v>
                </pt>
                <pt idx="7">
                  <v>4626.404517353843</v>
                </pt>
                <pt idx="8">
                  <v>4638.63257327534</v>
                </pt>
                <pt idx="9">
                  <v>4636.162106766239</v>
                </pt>
                <pt idx="10">
                  <v>4652.641627867053</v>
                </pt>
              </numCache>
            </numRef>
          </val>
          <smooth val="0"/>
        </ser>
        <ser>
          <idx val="4"/>
          <order val="4"/>
          <tx>
            <strRef>
              <f>'Annual Report (Energy)'!$G$1</f>
              <strCache>
                <ptCount val="1"/>
                <pt idx="0">
                  <v>Energy per GFA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(Energy)'!$A$2:$A$12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(Energy)'!$G$2:$G$12</f>
              <numCache>
                <formatCode>#,##0.0</formatCode>
                <ptCount val="11"/>
                <pt idx="0">
                  <v>209.5222887049394</v>
                </pt>
                <pt idx="1">
                  <v>215.3804825998349</v>
                </pt>
                <pt idx="2">
                  <v>199.3558710629921</v>
                </pt>
                <pt idx="3">
                  <v>192.8403792477859</v>
                </pt>
                <pt idx="4">
                  <v>187.3781508710593</v>
                </pt>
                <pt idx="5">
                  <v>178.7106053119769</v>
                </pt>
                <pt idx="6">
                  <v>165.445552923642</v>
                </pt>
                <pt idx="7">
                  <v>164.4273977532289</v>
                </pt>
                <pt idx="8">
                  <v>172.5181259529729</v>
                </pt>
                <pt idx="9">
                  <v>175.0050702970596</v>
                </pt>
                <pt idx="10">
                  <v>189.1582452146149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5012576"/>
        <axId val="685009616"/>
      </lineChart>
      <catAx>
        <axId val="714319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14213728"/>
        <crosses val="autoZero"/>
        <auto val="1"/>
        <lblAlgn val="ctr"/>
        <lblOffset val="100"/>
        <noMultiLvlLbl val="0"/>
      </catAx>
      <valAx>
        <axId val="714213728"/>
        <scaling>
          <orientation val="minMax"/>
          <max val="115000000"/>
          <min val="30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14319616"/>
        <crosses val="autoZero"/>
        <crossBetween val="between"/>
        <majorUnit val="5000000"/>
        <dispUnits>
          <builtInUnit val="millions"/>
          <dispUnitsLbl>
            <tx>
              <rich>
                <a:bodyPr xmlns:a="http://schemas.openxmlformats.org/drawingml/2006/main" rot="-540000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Bar Chart: Millions of kWh</a:t>
                  </a:r>
                </a:p>
              </rich>
            </tx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  <catAx>
        <axId val="68501257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85009616"/>
        <crosses val="autoZero"/>
        <auto val="1"/>
        <lblAlgn val="ctr"/>
        <lblOffset val="100"/>
        <noMultiLvlLbl val="0"/>
      </catAx>
      <valAx>
        <axId val="685009616"/>
        <scaling>
          <orientation val="minMax"/>
        </scaling>
        <delete val="0"/>
        <axPos val="r"/>
        <numFmt formatCode="#,##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685012576"/>
        <crosses val="max"/>
        <crossBetween val="between"/>
        <dispUnits>
          <builtInUnit val="hundreds"/>
          <dispUnitsLbl>
            <tx>
              <rich>
                <a:bodyPr xmlns:a="http://schemas.openxmlformats.org/drawingml/2006/main" rot="-540000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Line Chart: Hundreds of kWh</a:t>
                  </a:r>
                </a:p>
              </rich>
            </tx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areaChart>
        <grouping val="standard"/>
        <varyColors val="0"/>
        <ser>
          <idx val="0"/>
          <order val="0"/>
          <tx>
            <strRef>
              <f>'Yearly Renewable'!$F$1</f>
              <strCache>
                <ptCount val="1"/>
                <pt idx="0">
                  <v xml:space="preserve">Renewable energy generation </v>
                </pt>
              </strCache>
            </strRef>
          </tx>
          <spPr>
            <a:solidFill xmlns:a="http://schemas.openxmlformats.org/drawingml/2006/main">
              <a:srgbClr val="86BE43"/>
            </a:solidFill>
            <a:ln xmlns:a="http://schemas.openxmlformats.org/drawingml/2006/main">
              <a:solidFill>
                <a:srgbClr val="86BE43"/>
              </a:solidFill>
              <a:prstDash val="solid"/>
            </a:ln>
          </spPr>
          <cat>
            <strRef>
              <f>'Yearly Renewable'!$A$2:$A$11</f>
              <strCache>
                <ptCount val="10"/>
                <pt idx="0">
                  <v>2015/16</v>
                </pt>
                <pt idx="1">
                  <v>2016/17</v>
                </pt>
                <pt idx="2">
                  <v>2017/18</v>
                </pt>
                <pt idx="3">
                  <v>2018/19</v>
                </pt>
                <pt idx="4">
                  <v>2019/20</v>
                </pt>
                <pt idx="5">
                  <v>2020/21</v>
                </pt>
                <pt idx="6">
                  <v>2021/22</v>
                </pt>
                <pt idx="7">
                  <v>2022/23</v>
                </pt>
                <pt idx="8">
                  <v>2023/24</v>
                </pt>
                <pt idx="9">
                  <v>2024/25</v>
                </pt>
              </strCache>
            </strRef>
          </cat>
          <val>
            <numRef>
              <f>'Yearly Renewable'!$F$2:$F$11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formatCode>#,##0</formatCode>
                  <v>2920</v>
                </pt>
                <pt idx="5">
                  <formatCode>#,##0</formatCode>
                  <v>391443</v>
                </pt>
                <pt idx="6">
                  <formatCode>#,##0</formatCode>
                  <v>1912724</v>
                </pt>
                <pt idx="7">
                  <formatCode>#,##0</formatCode>
                  <v>2325806</v>
                </pt>
                <pt idx="8">
                  <formatCode>#,##0</formatCode>
                  <v>2334777</v>
                </pt>
                <pt idx="9">
                  <formatCode>#,##0</formatCode>
                  <v>2728619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sng" baseline="0">
                <effectLst/>
              </a:rPr>
              <a:t>On-Campus Buildings 12-month Rolling Sum of Net Electricity Consumption (kWh)</a:t>
            </a:r>
            <a:endParaRPr lang="en-HK" sz="1200">
              <effectLst/>
            </a:endParaRPr>
          </a:p>
          <a:p xmlns:a="http://schemas.openxmlformats.org/drawingml/2006/main">
            <a:pPr>
              <a:defRPr sz="1200"/>
            </a:pPr>
            <a:r>
              <a:rPr lang="en-US" sz="1200" b="1" i="0" baseline="0">
                <effectLst/>
              </a:rPr>
              <a:t>2014-2024</a:t>
            </a:r>
            <a:endParaRPr lang="en-HK" sz="1200"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HK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'Monthly Electricity (Overview)'!$A$19:$A$151</f>
              <numCache>
                <formatCode>mmm\-yy</formatCode>
                <ptCount val="133"/>
                <pt idx="0">
                  <v>42156</v>
                </pt>
                <pt idx="1">
                  <v>42186</v>
                </pt>
                <pt idx="2">
                  <v>42217</v>
                </pt>
                <pt idx="3">
                  <v>42248</v>
                </pt>
                <pt idx="4">
                  <v>42278</v>
                </pt>
                <pt idx="5">
                  <v>42309</v>
                </pt>
                <pt idx="6">
                  <v>42339</v>
                </pt>
                <pt idx="7">
                  <v>42370</v>
                </pt>
                <pt idx="8">
                  <v>42401</v>
                </pt>
                <pt idx="9">
                  <v>42430</v>
                </pt>
                <pt idx="10">
                  <v>42461</v>
                </pt>
                <pt idx="11">
                  <v>42491</v>
                </pt>
                <pt idx="12">
                  <v>42522</v>
                </pt>
                <pt idx="13">
                  <v>42552</v>
                </pt>
                <pt idx="14">
                  <v>42583</v>
                </pt>
                <pt idx="15">
                  <v>42614</v>
                </pt>
                <pt idx="16">
                  <v>42644</v>
                </pt>
                <pt idx="17">
                  <v>42675</v>
                </pt>
                <pt idx="18">
                  <v>42705</v>
                </pt>
                <pt idx="19">
                  <v>42736</v>
                </pt>
                <pt idx="20">
                  <v>42767</v>
                </pt>
                <pt idx="21">
                  <v>42795</v>
                </pt>
                <pt idx="22">
                  <v>42826</v>
                </pt>
                <pt idx="23">
                  <v>42856</v>
                </pt>
                <pt idx="24">
                  <v>42887</v>
                </pt>
                <pt idx="25">
                  <v>42917</v>
                </pt>
                <pt idx="26">
                  <v>42948</v>
                </pt>
                <pt idx="27">
                  <v>42979</v>
                </pt>
                <pt idx="28">
                  <v>43009</v>
                </pt>
                <pt idx="29">
                  <v>43040</v>
                </pt>
                <pt idx="30">
                  <v>43070</v>
                </pt>
                <pt idx="31">
                  <v>43101</v>
                </pt>
                <pt idx="32">
                  <v>43132</v>
                </pt>
                <pt idx="33">
                  <v>43160</v>
                </pt>
                <pt idx="34">
                  <v>43191</v>
                </pt>
                <pt idx="35">
                  <v>43221</v>
                </pt>
                <pt idx="36">
                  <v>43252</v>
                </pt>
                <pt idx="37">
                  <v>43282</v>
                </pt>
                <pt idx="38">
                  <v>43313</v>
                </pt>
                <pt idx="39">
                  <v>43344</v>
                </pt>
                <pt idx="40">
                  <v>43374</v>
                </pt>
                <pt idx="41">
                  <v>43405</v>
                </pt>
                <pt idx="42">
                  <v>43435</v>
                </pt>
                <pt idx="43">
                  <v>43466</v>
                </pt>
                <pt idx="44">
                  <v>43497</v>
                </pt>
                <pt idx="45">
                  <v>43525</v>
                </pt>
                <pt idx="46">
                  <v>43556</v>
                </pt>
                <pt idx="47">
                  <v>43586</v>
                </pt>
                <pt idx="48">
                  <v>43617</v>
                </pt>
                <pt idx="49">
                  <v>43647</v>
                </pt>
                <pt idx="50">
                  <v>43678</v>
                </pt>
                <pt idx="51">
                  <v>43709</v>
                </pt>
                <pt idx="52">
                  <v>43739</v>
                </pt>
                <pt idx="53">
                  <v>43770</v>
                </pt>
                <pt idx="54">
                  <v>43800</v>
                </pt>
                <pt idx="55">
                  <v>43831</v>
                </pt>
                <pt idx="56">
                  <v>43862</v>
                </pt>
                <pt idx="57">
                  <v>43891</v>
                </pt>
                <pt idx="58">
                  <v>43922</v>
                </pt>
                <pt idx="59">
                  <v>43952</v>
                </pt>
                <pt idx="60">
                  <v>43983</v>
                </pt>
                <pt idx="61">
                  <v>44013</v>
                </pt>
                <pt idx="62">
                  <v>44044</v>
                </pt>
                <pt idx="63">
                  <v>44075</v>
                </pt>
                <pt idx="64">
                  <v>44105</v>
                </pt>
                <pt idx="65">
                  <v>44136</v>
                </pt>
                <pt idx="66">
                  <v>44166</v>
                </pt>
                <pt idx="67">
                  <v>44197</v>
                </pt>
                <pt idx="68">
                  <v>44228</v>
                </pt>
                <pt idx="69">
                  <v>44256</v>
                </pt>
                <pt idx="70">
                  <v>44287</v>
                </pt>
                <pt idx="71">
                  <v>44317</v>
                </pt>
                <pt idx="72">
                  <v>44348</v>
                </pt>
                <pt idx="73">
                  <v>44378</v>
                </pt>
                <pt idx="74">
                  <v>44409</v>
                </pt>
                <pt idx="75">
                  <v>44440</v>
                </pt>
                <pt idx="76">
                  <v>44470</v>
                </pt>
                <pt idx="77">
                  <v>44501</v>
                </pt>
                <pt idx="78">
                  <v>44531</v>
                </pt>
                <pt idx="79">
                  <v>44562</v>
                </pt>
                <pt idx="80">
                  <v>44593</v>
                </pt>
                <pt idx="81">
                  <v>44621</v>
                </pt>
                <pt idx="82">
                  <v>44652</v>
                </pt>
                <pt idx="83">
                  <v>44682</v>
                </pt>
                <pt idx="84">
                  <v>44713</v>
                </pt>
                <pt idx="85">
                  <v>44743</v>
                </pt>
                <pt idx="86">
                  <v>44774</v>
                </pt>
                <pt idx="87">
                  <v>44805</v>
                </pt>
                <pt idx="88">
                  <v>44835</v>
                </pt>
                <pt idx="89">
                  <v>44866</v>
                </pt>
                <pt idx="90">
                  <v>44896</v>
                </pt>
                <pt idx="91">
                  <v>44927</v>
                </pt>
                <pt idx="92">
                  <v>44958</v>
                </pt>
                <pt idx="93">
                  <v>44986</v>
                </pt>
                <pt idx="94">
                  <v>45017</v>
                </pt>
                <pt idx="95">
                  <v>45047</v>
                </pt>
                <pt idx="96">
                  <v>45078</v>
                </pt>
                <pt idx="97">
                  <v>45108</v>
                </pt>
                <pt idx="98">
                  <v>45139</v>
                </pt>
                <pt idx="99">
                  <v>45170</v>
                </pt>
                <pt idx="100">
                  <v>45200</v>
                </pt>
                <pt idx="101">
                  <v>45231</v>
                </pt>
                <pt idx="102">
                  <v>45261</v>
                </pt>
                <pt idx="103">
                  <v>45292</v>
                </pt>
                <pt idx="104">
                  <v>45323</v>
                </pt>
                <pt idx="105">
                  <v>45352</v>
                </pt>
                <pt idx="106">
                  <v>45383</v>
                </pt>
                <pt idx="107">
                  <v>45413</v>
                </pt>
                <pt idx="108">
                  <v>45444</v>
                </pt>
                <pt idx="109">
                  <v>45474</v>
                </pt>
                <pt idx="110">
                  <v>45505</v>
                </pt>
                <pt idx="111">
                  <v>45536</v>
                </pt>
                <pt idx="112">
                  <v>45566</v>
                </pt>
                <pt idx="113">
                  <v>45597</v>
                </pt>
                <pt idx="114">
                  <v>45627</v>
                </pt>
                <pt idx="115">
                  <v>45658</v>
                </pt>
                <pt idx="116">
                  <v>45689</v>
                </pt>
                <pt idx="117">
                  <v>45717</v>
                </pt>
                <pt idx="118">
                  <v>45748</v>
                </pt>
                <pt idx="119">
                  <v>45778</v>
                </pt>
                <pt idx="120">
                  <v>45809</v>
                </pt>
                <pt idx="121">
                  <v>45839</v>
                </pt>
                <pt idx="122">
                  <v>45870</v>
                </pt>
                <pt idx="123">
                  <v>45901</v>
                </pt>
                <pt idx="124">
                  <v>45931</v>
                </pt>
                <pt idx="125">
                  <v>45962</v>
                </pt>
                <pt idx="126">
                  <v>45992</v>
                </pt>
                <pt idx="127">
                  <v>46023</v>
                </pt>
                <pt idx="128">
                  <v>46054</v>
                </pt>
                <pt idx="129">
                  <v>46082</v>
                </pt>
                <pt idx="130">
                  <v>46113</v>
                </pt>
                <pt idx="131">
                  <v>46143</v>
                </pt>
                <pt idx="132">
                  <v>46174</v>
                </pt>
              </numCache>
            </numRef>
          </cat>
          <val>
            <numRef>
              <f>'Monthly Electricity (Overview)'!$AK$19:$AK$151</f>
              <numCache>
                <formatCode>#,##0</formatCode>
                <ptCount val="133"/>
                <pt idx="0">
                  <v>93067207</v>
                </pt>
                <pt idx="1">
                  <v>92560708</v>
                </pt>
                <pt idx="2">
                  <v>92658683</v>
                </pt>
                <pt idx="3">
                  <v>92589207</v>
                </pt>
                <pt idx="4">
                  <v>92906500</v>
                </pt>
                <pt idx="5">
                  <v>94099443</v>
                </pt>
                <pt idx="6">
                  <v>94187317</v>
                </pt>
                <pt idx="7">
                  <v>94394903</v>
                </pt>
                <pt idx="8">
                  <v>95166272</v>
                </pt>
                <pt idx="9">
                  <v>94971369</v>
                </pt>
                <pt idx="10">
                  <v>95180695</v>
                </pt>
                <pt idx="11">
                  <v>95720512</v>
                </pt>
                <pt idx="12">
                  <v>95800070</v>
                </pt>
                <pt idx="13">
                  <v>96134757</v>
                </pt>
                <pt idx="14">
                  <v>96947485</v>
                </pt>
                <pt idx="15">
                  <v>96474873</v>
                </pt>
                <pt idx="16">
                  <v>96161212</v>
                </pt>
                <pt idx="17">
                  <v>96368281</v>
                </pt>
                <pt idx="18">
                  <v>96342853</v>
                </pt>
                <pt idx="19">
                  <v>95623203</v>
                </pt>
                <pt idx="20">
                  <v>95982844</v>
                </pt>
                <pt idx="21">
                  <v>96253205</v>
                </pt>
                <pt idx="22">
                  <v>95356819</v>
                </pt>
                <pt idx="23">
                  <v>94764032</v>
                </pt>
                <pt idx="24">
                  <v>94486358</v>
                </pt>
                <pt idx="25">
                  <v>93560730</v>
                </pt>
                <pt idx="26">
                  <v>93908381</v>
                </pt>
                <pt idx="27">
                  <v>93939573</v>
                </pt>
                <pt idx="28">
                  <v>94414956</v>
                </pt>
                <pt idx="29">
                  <v>93418878</v>
                </pt>
                <pt idx="30">
                  <v>92921703</v>
                </pt>
                <pt idx="31">
                  <v>93736605</v>
                </pt>
                <pt idx="32">
                  <v>92920952</v>
                </pt>
                <pt idx="33">
                  <v>92503642</v>
                </pt>
                <pt idx="34">
                  <v>93292059</v>
                </pt>
                <pt idx="35">
                  <v>94135291</v>
                </pt>
                <pt idx="36">
                  <v>92966450</v>
                </pt>
                <pt idx="37">
                  <v>93887240</v>
                </pt>
                <pt idx="38">
                  <v>93309781</v>
                </pt>
                <pt idx="39">
                  <v>92346280</v>
                </pt>
                <pt idx="40">
                  <v>91966795</v>
                </pt>
                <pt idx="41">
                  <v>92006183</v>
                </pt>
                <pt idx="42">
                  <v>91781095</v>
                </pt>
                <pt idx="43">
                  <v>91689287</v>
                </pt>
                <pt idx="44">
                  <v>91511184</v>
                </pt>
                <pt idx="45">
                  <v>91375813</v>
                </pt>
                <pt idx="46">
                  <v>91623394</v>
                </pt>
                <pt idx="47">
                  <v>90483094</v>
                </pt>
                <pt idx="48">
                  <v>90186094</v>
                </pt>
                <pt idx="49">
                  <v>90323695</v>
                </pt>
                <pt idx="50">
                  <v>90175858</v>
                </pt>
                <pt idx="51">
                  <v>91088438</v>
                </pt>
                <pt idx="52">
                  <v>91275557</v>
                </pt>
                <pt idx="53">
                  <v>90389256</v>
                </pt>
                <pt idx="54">
                  <v>90542578</v>
                </pt>
                <pt idx="55">
                  <v>90062702</v>
                </pt>
                <pt idx="56">
                  <v>89253740</v>
                </pt>
                <pt idx="57">
                  <v>88747332</v>
                </pt>
                <pt idx="58">
                  <v>86704720</v>
                </pt>
                <pt idx="59">
                  <v>86447454</v>
                </pt>
                <pt idx="60">
                  <v>87353244</v>
                </pt>
                <pt idx="61">
                  <v>86884899</v>
                </pt>
                <pt idx="62">
                  <v>85699386</v>
                </pt>
                <pt idx="63">
                  <v>85710579</v>
                </pt>
                <pt idx="64">
                  <v>84624859</v>
                </pt>
                <pt idx="65">
                  <v>84979994</v>
                </pt>
                <pt idx="66">
                  <v>84854430</v>
                </pt>
                <pt idx="67">
                  <v>84786987</v>
                </pt>
                <pt idx="68">
                  <v>85189795</v>
                </pt>
                <pt idx="69">
                  <v>86161740</v>
                </pt>
                <pt idx="70">
                  <v>87567752</v>
                </pt>
                <pt idx="71">
                  <v>88775236</v>
                </pt>
                <pt idx="72">
                  <v>88318175</v>
                </pt>
                <pt idx="73">
                  <v>88449963</v>
                </pt>
                <pt idx="74">
                  <v>89334599</v>
                </pt>
                <pt idx="75">
                  <v>89608532</v>
                </pt>
                <pt idx="76">
                  <v>90225077</v>
                </pt>
                <pt idx="77">
                  <v>90922176</v>
                </pt>
                <pt idx="78">
                  <v>91369619</v>
                </pt>
                <pt idx="79">
                  <v>91387901</v>
                </pt>
                <pt idx="80">
                  <v>91934658</v>
                </pt>
                <pt idx="81">
                  <v>91174346</v>
                </pt>
                <pt idx="82">
                  <v>90701082</v>
                </pt>
                <pt idx="83">
                  <v>89446511</v>
                </pt>
                <pt idx="84">
                  <v>89692408</v>
                </pt>
                <pt idx="85">
                  <v>89386136</v>
                </pt>
                <pt idx="86">
                  <v>90058326</v>
                </pt>
                <pt idx="87">
                  <v>89931525</v>
                </pt>
                <pt idx="88">
                  <v>89686998</v>
                </pt>
                <pt idx="89">
                  <v>90490096</v>
                </pt>
                <pt idx="90">
                  <v>90554772</v>
                </pt>
                <pt idx="91">
                  <v>90952030</v>
                </pt>
                <pt idx="92">
                  <v>91245100</v>
                </pt>
                <pt idx="93">
                  <v>92037317</v>
                </pt>
                <pt idx="94">
                  <v>92421203</v>
                </pt>
                <pt idx="95">
                  <v>93510500</v>
                </pt>
                <pt idx="96">
                  <v>93932338</v>
                </pt>
                <pt idx="97">
                  <v>93669668</v>
                </pt>
                <pt idx="98">
                  <v>94202442</v>
                </pt>
                <pt idx="99">
                  <v>93817045</v>
                </pt>
                <pt idx="100">
                  <v>95115663</v>
                </pt>
                <pt idx="101">
                  <v>94437900</v>
                </pt>
                <pt idx="102">
                  <v>94622317</v>
                </pt>
                <pt idx="103">
                  <v>95197696</v>
                </pt>
                <pt idx="104">
                  <v>95585834</v>
                </pt>
                <pt idx="105">
                  <v>95368572</v>
                </pt>
                <pt idx="106">
                  <v>97412202</v>
                </pt>
                <pt idx="107">
                  <v>97207952</v>
                </pt>
                <pt idx="108">
                  <v>96709341</v>
                </pt>
                <pt idx="109">
                  <v>98664166</v>
                </pt>
                <pt idx="110">
                  <v>98443491</v>
                </pt>
                <pt idx="111">
                  <v>99413865</v>
                </pt>
                <pt idx="112">
                  <v>99357598</v>
                </pt>
                <pt idx="113">
                  <v>100029481</v>
                </pt>
                <pt idx="114">
                  <v>100802371</v>
                </pt>
                <pt idx="115">
                  <v>100581586</v>
                </pt>
                <pt idx="116">
                  <v>101060258</v>
                </pt>
                <pt idx="117">
                  <v>101471382</v>
                </pt>
                <pt idx="118">
                  <v>101180417</v>
                </pt>
                <pt idx="119">
                  <v>102046244</v>
                </pt>
                <pt idx="120">
                  <v>103383996</v>
                </pt>
                <pt idx="121">
                  <v>103225651</v>
                </pt>
                <pt idx="122">
                  <v>103479701</v>
                </pt>
                <pt idx="123">
                  <v>104605753</v>
                </pt>
                <pt idx="124">
                  <v>105551131</v>
                </pt>
                <pt idx="125">
                  <v>105265370</v>
                </pt>
                <pt idx="126">
                  <v>106068432</v>
                </pt>
                <pt idx="127">
                  <v>106905493</v>
                </pt>
                <pt idx="128">
                  <v>99772241</v>
                </pt>
                <pt idx="129">
                  <v>92749787</v>
                </pt>
                <pt idx="130">
                  <v>83998767</v>
                </pt>
                <pt idx="131">
                  <v>74711749</v>
                </pt>
                <pt idx="132">
                  <v>64707714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HK"/>
        </a:p>
      </txPr>
    </title>
    <plotArea>
      <layout/>
      <areaChart>
        <grouping val="stacked"/>
        <varyColors val="0"/>
        <ser>
          <idx val="0"/>
          <order val="0"/>
          <tx>
            <strRef>
              <f>'Yearly Electricity Reformatted'!$B$1</f>
              <strCache>
                <ptCount val="1"/>
                <pt idx="0">
                  <v xml:space="preserve">Main Academic Buildings and Others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Reformatted'!$B$3:$B$13</f>
              <numCache>
                <formatCode>#,##0</formatCode>
                <ptCount val="11"/>
                <pt idx="0">
                  <v>67393898</v>
                </pt>
                <pt idx="1">
                  <v>49463702</v>
                </pt>
                <pt idx="2">
                  <v>48006917</v>
                </pt>
                <pt idx="3">
                  <v>45714514</v>
                </pt>
                <pt idx="4">
                  <v>45233408</v>
                </pt>
                <pt idx="5">
                  <v>47175537</v>
                </pt>
                <pt idx="6">
                  <v>47127781.24989639</v>
                </pt>
                <pt idx="7">
                  <v>47800292.8000848</v>
                </pt>
                <pt idx="8">
                  <v>48777120.4142472</v>
                </pt>
                <pt idx="9">
                  <v>46952373</v>
                </pt>
                <pt idx="10">
                  <v>51413032</v>
                </pt>
              </numCache>
            </numRef>
          </val>
        </ser>
        <ser>
          <idx val="1"/>
          <order val="1"/>
          <tx>
            <strRef>
              <f>'Yearly Electricity Reformatted'!$C$1</f>
              <strCache>
                <ptCount val="1"/>
                <pt idx="0">
                  <v>Main Chiller Plant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Reformatted'!$C$3:$C$13</f>
              <numCache>
                <formatCode>#,##0</formatCode>
                <ptCount val="11"/>
                <pt idx="1">
                  <v>16770100</v>
                </pt>
                <pt idx="2">
                  <v>16665790</v>
                </pt>
                <pt idx="3">
                  <v>16384824</v>
                </pt>
                <pt idx="4">
                  <v>17377146</v>
                </pt>
                <pt idx="5">
                  <v>14469480</v>
                </pt>
                <pt idx="6">
                  <v>16098298.75010362</v>
                </pt>
                <pt idx="7">
                  <v>16113173.1999152</v>
                </pt>
                <pt idx="8">
                  <v>16935746.5857528</v>
                </pt>
                <pt idx="9">
                  <v>17672272</v>
                </pt>
                <pt idx="10">
                  <v>17987598</v>
                </pt>
              </numCache>
            </numRef>
          </val>
        </ser>
        <ser>
          <idx val="2"/>
          <order val="2"/>
          <tx>
            <strRef>
              <f>'Yearly Electricity Reformatted'!$D$1</f>
              <strCache>
                <ptCount val="1"/>
                <pt idx="0">
                  <v>LSK Chiller Plant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Reformatted'!$D$3:$D$13</f>
              <numCache>
                <formatCode>#,##0</formatCode>
                <ptCount val="11"/>
                <pt idx="1">
                  <v>1700914</v>
                </pt>
                <pt idx="2">
                  <v>1730081</v>
                </pt>
                <pt idx="3">
                  <v>1804895</v>
                </pt>
                <pt idx="4">
                  <v>1782046</v>
                </pt>
                <pt idx="5">
                  <v>1734286</v>
                </pt>
                <pt idx="6">
                  <v>1731267</v>
                </pt>
                <pt idx="7">
                  <v>1606903</v>
                </pt>
                <pt idx="8">
                  <v>1632560</v>
                </pt>
                <pt idx="9">
                  <v>1497696</v>
                </pt>
                <pt idx="10">
                  <v>1344476</v>
                </pt>
              </numCache>
            </numRef>
          </val>
        </ser>
        <ser>
          <idx val="3"/>
          <order val="3"/>
          <tx>
            <strRef>
              <f>'Yearly Electricity Reformatted'!$E$1</f>
              <strCache>
                <ptCount val="1"/>
                <pt idx="0">
                  <v>Cheng Yu Tung Building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Reformatted'!$E$3:$E$13</f>
              <numCache>
                <formatCode>#,##0</formatCode>
                <ptCount val="11"/>
                <pt idx="1">
                  <v>3645309</v>
                </pt>
                <pt idx="2">
                  <v>5024155</v>
                </pt>
                <pt idx="3">
                  <v>5097362</v>
                </pt>
                <pt idx="4">
                  <v>5130335</v>
                </pt>
                <pt idx="5">
                  <v>4687192</v>
                </pt>
                <pt idx="6">
                  <v>4563321</v>
                </pt>
                <pt idx="7">
                  <v>4504535</v>
                </pt>
                <pt idx="8">
                  <v>4412027</v>
                </pt>
                <pt idx="9">
                  <v>4746630</v>
                </pt>
                <pt idx="10">
                  <v>4931340</v>
                </pt>
              </numCache>
            </numRef>
          </val>
        </ser>
        <ser>
          <idx val="4"/>
          <order val="4"/>
          <tx>
            <strRef>
              <f>'Yearly Electricity Reformatted'!$F$1</f>
              <strCache>
                <ptCount val="1"/>
                <pt idx="0">
                  <v>LSK Building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Reformatted'!$F$3:$F$13</f>
              <numCache>
                <formatCode>#,##0</formatCode>
                <ptCount val="11"/>
                <pt idx="0">
                  <v>5600308</v>
                </pt>
                <pt idx="1">
                  <v>3131115</v>
                </pt>
                <pt idx="2">
                  <v>3213275</v>
                </pt>
                <pt idx="3">
                  <v>3326876</v>
                </pt>
                <pt idx="4">
                  <v>3145915</v>
                </pt>
                <pt idx="5">
                  <v>2809718</v>
                </pt>
                <pt idx="6">
                  <v>2719509</v>
                </pt>
                <pt idx="7">
                  <v>2688466</v>
                </pt>
                <pt idx="8">
                  <v>2699255</v>
                </pt>
                <pt idx="9">
                  <v>2713600</v>
                </pt>
                <pt idx="10">
                  <v>2904600</v>
                </pt>
              </numCache>
            </numRef>
          </val>
        </ser>
        <ser>
          <idx val="5"/>
          <order val="5"/>
          <tx>
            <strRef>
              <f>'Yearly Electricity Reformatted'!$G$1</f>
              <strCache>
                <ptCount val="1"/>
                <pt idx="0">
                  <v>IAS Building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Reformatted'!$G$3:$G$13</f>
              <numCache>
                <formatCode>#,##0</formatCode>
                <ptCount val="11"/>
                <pt idx="1">
                  <v>2552993</v>
                </pt>
                <pt idx="2">
                  <v>2598423</v>
                </pt>
                <pt idx="3">
                  <v>2668682</v>
                </pt>
                <pt idx="4">
                  <v>681596</v>
                </pt>
                <pt idx="5">
                  <v>645509</v>
                </pt>
                <pt idx="6">
                  <v>706462</v>
                </pt>
                <pt idx="7">
                  <v>625243</v>
                </pt>
                <pt idx="8">
                  <v>654339</v>
                </pt>
                <pt idx="9">
                  <v>588506</v>
                </pt>
                <pt idx="10">
                  <v>597167</v>
                </pt>
              </numCache>
            </numRef>
          </val>
        </ser>
        <ser>
          <idx val="6"/>
          <order val="6"/>
          <tx>
            <strRef>
              <f>'Yearly Electricity Reformatted'!$J$1</f>
              <strCache>
                <ptCount val="1"/>
                <pt idx="0">
                  <v>Innovation Building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Reformatted'!$J$3:$J$13</f>
              <numCache>
                <formatCode>#,##0</formatCode>
                <ptCount val="11"/>
                <pt idx="10">
                  <v>191396</v>
                </pt>
              </numCache>
            </numRef>
          </val>
        </ser>
        <ser>
          <idx val="7"/>
          <order val="7"/>
          <tx>
            <strRef>
              <f>'Yearly Electricity Reformatted'!$K$1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Reformatted'!$K$3:$K$13</f>
              <numCache>
                <formatCode>#,##0</formatCode>
                <ptCount val="11"/>
                <pt idx="1">
                  <v>1485087</v>
                </pt>
                <pt idx="2">
                  <v>1687180</v>
                </pt>
                <pt idx="3">
                  <v>1903435</v>
                </pt>
                <pt idx="4">
                  <v>1649404</v>
                </pt>
                <pt idx="5">
                  <v>1315160</v>
                </pt>
                <pt idx="6">
                  <v>1012439</v>
                </pt>
                <pt idx="7">
                  <v>1013635</v>
                </pt>
                <pt idx="8">
                  <v>1222009</v>
                </pt>
                <pt idx="9">
                  <v>1461410</v>
                </pt>
                <pt idx="10">
                  <v>1386485</v>
                </pt>
              </numCache>
            </numRef>
          </val>
        </ser>
        <ser>
          <idx val="8"/>
          <order val="8"/>
          <tx>
            <strRef>
              <f>'Yearly Electricity Reformatted'!$L$1</f>
              <strCache>
                <ptCount val="1"/>
                <pt idx="0">
                  <v>Staff Quarter Common Area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Reformatted'!$L$3:$L$13</f>
              <numCache>
                <formatCode>#,##0</formatCode>
                <ptCount val="11"/>
                <pt idx="0">
                  <v>1858865</v>
                </pt>
                <pt idx="1">
                  <v>1698200</v>
                </pt>
                <pt idx="2">
                  <v>1234776</v>
                </pt>
                <pt idx="3">
                  <v>2016215</v>
                </pt>
                <pt idx="4">
                  <v>913798</v>
                </pt>
                <pt idx="5">
                  <v>870935</v>
                </pt>
                <pt idx="6">
                  <v>915556</v>
                </pt>
                <pt idx="7">
                  <v>876124</v>
                </pt>
                <pt idx="8">
                  <v>861699</v>
                </pt>
                <pt idx="9">
                  <v>909181</v>
                </pt>
                <pt idx="10">
                  <v>818470</v>
                </pt>
              </numCache>
            </numRef>
          </val>
        </ser>
        <ser>
          <idx val="9"/>
          <order val="9"/>
          <tx>
            <strRef>
              <f>'Yearly Electricity Reformatted'!$M$1</f>
              <strCache>
                <ptCount val="1"/>
                <pt idx="0">
                  <v>Student Housing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Reformatted'!$M$3:$M$13</f>
              <numCache>
                <formatCode>#,##0</formatCode>
                <ptCount val="11"/>
                <pt idx="0">
                  <v>9972879</v>
                </pt>
                <pt idx="1">
                  <v>7357743</v>
                </pt>
                <pt idx="2">
                  <v>7229580</v>
                </pt>
                <pt idx="3">
                  <v>6776467</v>
                </pt>
                <pt idx="4">
                  <v>6477491</v>
                </pt>
                <pt idx="5">
                  <v>5611932</v>
                </pt>
                <pt idx="6">
                  <v>7235988</v>
                </pt>
                <pt idx="7">
                  <v>8034434</v>
                </pt>
                <pt idx="8">
                  <v>10037977</v>
                </pt>
                <pt idx="9">
                  <v>12953638</v>
                </pt>
                <pt idx="10">
                  <v>13667138</v>
                </pt>
              </numCache>
            </numRef>
          </val>
        </ser>
        <ser>
          <idx val="10"/>
          <order val="10"/>
          <tx>
            <strRef>
              <f>'Yearly Electricity Reformatted'!$P$1</f>
              <strCache>
                <ptCount val="1"/>
                <pt idx="0">
                  <v>Staff Quarters &amp; Commercial Outlet (Total)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Reformatted'!$P$3:$P$13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HK"/>
        </a:p>
      </txPr>
    </title>
    <plotArea>
      <layout/>
      <areaChart>
        <grouping val="stacked"/>
        <varyColors val="0"/>
        <ser>
          <idx val="0"/>
          <order val="0"/>
          <tx>
            <strRef>
              <f>'Yearly Electricity Reformatted'!$B$1</f>
              <strCache>
                <ptCount val="1"/>
                <pt idx="0">
                  <v xml:space="preserve">Main Academic Buildings and Others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Reformatted'!$B$3:$B$13</f>
              <numCache>
                <formatCode>#,##0</formatCode>
                <ptCount val="11"/>
                <pt idx="0">
                  <v>67393898</v>
                </pt>
                <pt idx="1">
                  <v>49463702</v>
                </pt>
                <pt idx="2">
                  <v>48006917</v>
                </pt>
                <pt idx="3">
                  <v>45714514</v>
                </pt>
                <pt idx="4">
                  <v>45233408</v>
                </pt>
                <pt idx="5">
                  <v>47175537</v>
                </pt>
                <pt idx="6">
                  <v>47127781.24989639</v>
                </pt>
                <pt idx="7">
                  <v>47800292.8000848</v>
                </pt>
                <pt idx="8">
                  <v>48777120.4142472</v>
                </pt>
                <pt idx="9">
                  <v>46952373</v>
                </pt>
                <pt idx="10">
                  <v>51413032</v>
                </pt>
              </numCache>
            </numRef>
          </val>
        </ser>
        <ser>
          <idx val="1"/>
          <order val="1"/>
          <tx>
            <strRef>
              <f>'Yearly Electricity Reformatted'!$C$1</f>
              <strCache>
                <ptCount val="1"/>
                <pt idx="0">
                  <v>Main Chiller Plant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Reformatted'!$C$3:$C$13</f>
              <numCache>
                <formatCode>#,##0</formatCode>
                <ptCount val="11"/>
                <pt idx="1">
                  <v>16770100</v>
                </pt>
                <pt idx="2">
                  <v>16665790</v>
                </pt>
                <pt idx="3">
                  <v>16384824</v>
                </pt>
                <pt idx="4">
                  <v>17377146</v>
                </pt>
                <pt idx="5">
                  <v>14469480</v>
                </pt>
                <pt idx="6">
                  <v>16098298.75010362</v>
                </pt>
                <pt idx="7">
                  <v>16113173.1999152</v>
                </pt>
                <pt idx="8">
                  <v>16935746.5857528</v>
                </pt>
                <pt idx="9">
                  <v>17672272</v>
                </pt>
                <pt idx="10">
                  <v>17987598</v>
                </pt>
              </numCache>
            </numRef>
          </val>
        </ser>
        <ser>
          <idx val="2"/>
          <order val="2"/>
          <tx>
            <strRef>
              <f>'Yearly Electricity Reformatted'!$D$1</f>
              <strCache>
                <ptCount val="1"/>
                <pt idx="0">
                  <v>LSK Chiller Plant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Reformatted'!$D$3:$D$13</f>
              <numCache>
                <formatCode>#,##0</formatCode>
                <ptCount val="11"/>
                <pt idx="1">
                  <v>1700914</v>
                </pt>
                <pt idx="2">
                  <v>1730081</v>
                </pt>
                <pt idx="3">
                  <v>1804895</v>
                </pt>
                <pt idx="4">
                  <v>1782046</v>
                </pt>
                <pt idx="5">
                  <v>1734286</v>
                </pt>
                <pt idx="6">
                  <v>1731267</v>
                </pt>
                <pt idx="7">
                  <v>1606903</v>
                </pt>
                <pt idx="8">
                  <v>1632560</v>
                </pt>
                <pt idx="9">
                  <v>1497696</v>
                </pt>
                <pt idx="10">
                  <v>1344476</v>
                </pt>
              </numCache>
            </numRef>
          </val>
        </ser>
        <ser>
          <idx val="3"/>
          <order val="3"/>
          <tx>
            <strRef>
              <f>'Yearly Electricity Reformatted'!$E$1</f>
              <strCache>
                <ptCount val="1"/>
                <pt idx="0">
                  <v>Cheng Yu Tung Building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Reformatted'!$E$3:$E$13</f>
              <numCache>
                <formatCode>#,##0</formatCode>
                <ptCount val="11"/>
                <pt idx="1">
                  <v>3645309</v>
                </pt>
                <pt idx="2">
                  <v>5024155</v>
                </pt>
                <pt idx="3">
                  <v>5097362</v>
                </pt>
                <pt idx="4">
                  <v>5130335</v>
                </pt>
                <pt idx="5">
                  <v>4687192</v>
                </pt>
                <pt idx="6">
                  <v>4563321</v>
                </pt>
                <pt idx="7">
                  <v>4504535</v>
                </pt>
                <pt idx="8">
                  <v>4412027</v>
                </pt>
                <pt idx="9">
                  <v>4746630</v>
                </pt>
                <pt idx="10">
                  <v>4931340</v>
                </pt>
              </numCache>
            </numRef>
          </val>
        </ser>
        <ser>
          <idx val="4"/>
          <order val="4"/>
          <tx>
            <strRef>
              <f>'Yearly Electricity Reformatted'!$F$1</f>
              <strCache>
                <ptCount val="1"/>
                <pt idx="0">
                  <v>LSK Building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Reformatted'!$F$3:$F$13</f>
              <numCache>
                <formatCode>#,##0</formatCode>
                <ptCount val="11"/>
                <pt idx="0">
                  <v>5600308</v>
                </pt>
                <pt idx="1">
                  <v>3131115</v>
                </pt>
                <pt idx="2">
                  <v>3213275</v>
                </pt>
                <pt idx="3">
                  <v>3326876</v>
                </pt>
                <pt idx="4">
                  <v>3145915</v>
                </pt>
                <pt idx="5">
                  <v>2809718</v>
                </pt>
                <pt idx="6">
                  <v>2719509</v>
                </pt>
                <pt idx="7">
                  <v>2688466</v>
                </pt>
                <pt idx="8">
                  <v>2699255</v>
                </pt>
                <pt idx="9">
                  <v>2713600</v>
                </pt>
                <pt idx="10">
                  <v>2904600</v>
                </pt>
              </numCache>
            </numRef>
          </val>
        </ser>
        <ser>
          <idx val="5"/>
          <order val="5"/>
          <tx>
            <strRef>
              <f>'Yearly Electricity Reformatted'!$G$1</f>
              <strCache>
                <ptCount val="1"/>
                <pt idx="0">
                  <v>IAS Building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Reformatted'!$G$3:$G$13</f>
              <numCache>
                <formatCode>#,##0</formatCode>
                <ptCount val="11"/>
                <pt idx="1">
                  <v>2552993</v>
                </pt>
                <pt idx="2">
                  <v>2598423</v>
                </pt>
                <pt idx="3">
                  <v>2668682</v>
                </pt>
                <pt idx="4">
                  <v>681596</v>
                </pt>
                <pt idx="5">
                  <v>645509</v>
                </pt>
                <pt idx="6">
                  <v>706462</v>
                </pt>
                <pt idx="7">
                  <v>625243</v>
                </pt>
                <pt idx="8">
                  <v>654339</v>
                </pt>
                <pt idx="9">
                  <v>588506</v>
                </pt>
                <pt idx="10">
                  <v>597167</v>
                </pt>
              </numCache>
            </numRef>
          </val>
        </ser>
        <ser>
          <idx val="6"/>
          <order val="6"/>
          <tx>
            <strRef>
              <f>'Yearly Electricity Reformatted'!$J$1</f>
              <strCache>
                <ptCount val="1"/>
                <pt idx="0">
                  <v>Innovation Building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Reformatted'!$J$3:$J$13</f>
              <numCache>
                <formatCode>#,##0</formatCode>
                <ptCount val="11"/>
                <pt idx="10">
                  <v>191396</v>
                </pt>
              </numCache>
            </numRef>
          </val>
        </ser>
        <ser>
          <idx val="7"/>
          <order val="7"/>
          <tx>
            <strRef>
              <f>'Yearly Electricity Reformatted'!$K$1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Reformatted'!$K$3:$K$13</f>
              <numCache>
                <formatCode>#,##0</formatCode>
                <ptCount val="11"/>
                <pt idx="1">
                  <v>1485087</v>
                </pt>
                <pt idx="2">
                  <v>1687180</v>
                </pt>
                <pt idx="3">
                  <v>1903435</v>
                </pt>
                <pt idx="4">
                  <v>1649404</v>
                </pt>
                <pt idx="5">
                  <v>1315160</v>
                </pt>
                <pt idx="6">
                  <v>1012439</v>
                </pt>
                <pt idx="7">
                  <v>1013635</v>
                </pt>
                <pt idx="8">
                  <v>1222009</v>
                </pt>
                <pt idx="9">
                  <v>1461410</v>
                </pt>
                <pt idx="10">
                  <v>1386485</v>
                </pt>
              </numCache>
            </numRef>
          </val>
        </ser>
        <ser>
          <idx val="8"/>
          <order val="8"/>
          <tx>
            <strRef>
              <f>'Yearly Electricity Reformatted'!$L$1</f>
              <strCache>
                <ptCount val="1"/>
                <pt idx="0">
                  <v>Staff Quarter Common Area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Reformatted'!$L$3:$L$13</f>
              <numCache>
                <formatCode>#,##0</formatCode>
                <ptCount val="11"/>
                <pt idx="0">
                  <v>1858865</v>
                </pt>
                <pt idx="1">
                  <v>1698200</v>
                </pt>
                <pt idx="2">
                  <v>1234776</v>
                </pt>
                <pt idx="3">
                  <v>2016215</v>
                </pt>
                <pt idx="4">
                  <v>913798</v>
                </pt>
                <pt idx="5">
                  <v>870935</v>
                </pt>
                <pt idx="6">
                  <v>915556</v>
                </pt>
                <pt idx="7">
                  <v>876124</v>
                </pt>
                <pt idx="8">
                  <v>861699</v>
                </pt>
                <pt idx="9">
                  <v>909181</v>
                </pt>
                <pt idx="10">
                  <v>818470</v>
                </pt>
              </numCache>
            </numRef>
          </val>
        </ser>
        <ser>
          <idx val="9"/>
          <order val="9"/>
          <tx>
            <strRef>
              <f>'Yearly Electricity Reformatted'!$M$1</f>
              <strCache>
                <ptCount val="1"/>
                <pt idx="0">
                  <v>Student Housing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Reformatted'!$M$3:$M$13</f>
              <numCache>
                <formatCode>#,##0</formatCode>
                <ptCount val="11"/>
                <pt idx="0">
                  <v>9972879</v>
                </pt>
                <pt idx="1">
                  <v>7357743</v>
                </pt>
                <pt idx="2">
                  <v>7229580</v>
                </pt>
                <pt idx="3">
                  <v>6776467</v>
                </pt>
                <pt idx="4">
                  <v>6477491</v>
                </pt>
                <pt idx="5">
                  <v>5611932</v>
                </pt>
                <pt idx="6">
                  <v>7235988</v>
                </pt>
                <pt idx="7">
                  <v>8034434</v>
                </pt>
                <pt idx="8">
                  <v>10037977</v>
                </pt>
                <pt idx="9">
                  <v>12953638</v>
                </pt>
                <pt idx="10">
                  <v>13667138</v>
                </pt>
              </numCache>
            </numRef>
          </val>
        </ser>
        <ser>
          <idx val="10"/>
          <order val="10"/>
          <tx>
            <strRef>
              <f>'Yearly Electricity Reformatted'!$N$1</f>
              <strCache>
                <ptCount val="1"/>
                <pt idx="0">
                  <v>Staff Quarters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Reformatted'!$N$3:$N$13</f>
              <numCache>
                <formatCode>#,##0</formatCode>
                <ptCount val="11"/>
                <pt idx="0">
                  <v>4661493</v>
                </pt>
                <pt idx="1">
                  <v>4436843</v>
                </pt>
                <pt idx="2">
                  <v>3439106</v>
                </pt>
                <pt idx="3">
                  <v>4000347</v>
                </pt>
                <pt idx="4">
                  <v>3939463</v>
                </pt>
                <pt idx="5">
                  <v>4707939</v>
                </pt>
                <pt idx="6">
                  <v>4931331</v>
                </pt>
                <pt idx="7">
                  <v>4653391</v>
                </pt>
                <pt idx="8">
                  <v>4585511</v>
                </pt>
                <pt idx="9">
                  <v>4891328</v>
                </pt>
                <pt idx="10">
                  <v>5118600</v>
                </pt>
              </numCache>
            </numRef>
          </val>
        </ser>
        <ser>
          <idx val="11"/>
          <order val="11"/>
          <tx>
            <strRef>
              <f>'Yearly Electricity Reformatted'!$O$1</f>
              <strCache>
                <ptCount val="1"/>
                <pt idx="0">
                  <v>Commercial Outlets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'Yearly Electricity Reformatted'!$A$3:$A$13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Electricity Reformatted'!$O$3:$O$13</f>
              <numCache>
                <formatCode>#,##0</formatCode>
                <ptCount val="11"/>
                <pt idx="0">
                  <v>3418093</v>
                </pt>
                <pt idx="1">
                  <v>3558064</v>
                </pt>
                <pt idx="2">
                  <v>3657075</v>
                </pt>
                <pt idx="3">
                  <v>3272833</v>
                </pt>
                <pt idx="4">
                  <v>3855492</v>
                </pt>
                <pt idx="5">
                  <v>3325556</v>
                </pt>
                <pt idx="6">
                  <v>3263145</v>
                </pt>
                <pt idx="7">
                  <v>3480083</v>
                </pt>
                <pt idx="8">
                  <v>4058505</v>
                </pt>
                <pt idx="9">
                  <v>4291088</v>
                </pt>
                <pt idx="10">
                  <v>4697943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GHG Emissions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tx>
            <v>Refrigerant and Others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1'!$A$5:$A$7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1'!$AB$5:$AB$7</f>
              <numCache>
                <formatCode>#,##0.0000</formatCode>
                <ptCount val="3"/>
                <pt idx="0">
                  <v>111.9956</v>
                </pt>
                <pt idx="1">
                  <v>1311.08844</v>
                </pt>
                <pt idx="2">
                  <v>79.26356</v>
                </pt>
              </numCache>
            </numRef>
          </val>
        </ser>
        <ser>
          <idx val="1"/>
          <order val="1"/>
          <tx>
            <v>Stationary Combustion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1'!$A$5:$A$7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1'!$F$5:$F$7</f>
              <numCache>
                <formatCode>#,##0.0000</formatCode>
                <ptCount val="3"/>
                <pt idx="0">
                  <v>1059.342096932823</v>
                </pt>
                <pt idx="1">
                  <v>1122.31130870011</v>
                </pt>
                <pt idx="2">
                  <v>1085.364912757876</v>
                </pt>
              </numCache>
            </numRef>
          </val>
        </ser>
        <ser>
          <idx val="2"/>
          <order val="2"/>
          <tx>
            <v>Mobile Combustion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1'!$A$5:$A$7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1'!$S$5:$S$7</f>
              <numCache>
                <formatCode>#,##0.0000</formatCode>
                <ptCount val="3"/>
                <pt idx="0">
                  <v>78.37164407069</v>
                </pt>
                <pt idx="1">
                  <v>64.32226803277</v>
                </pt>
                <pt idx="2">
                  <v>56.45760842548999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2 GHG Emissions Breakdown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GB"/>
        </a:p>
      </txPr>
    </title>
    <plotArea>
      <layout/>
      <areaChart>
        <grouping val="stacked"/>
        <varyColors val="0"/>
        <ser>
          <idx val="0"/>
          <order val="0"/>
          <tx>
            <v>Main Academic Buildings and Others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2'!$B$3:$B$5</f>
              <numCache>
                <formatCode>#,##0.00</formatCode>
                <ptCount val="3"/>
                <pt idx="0">
                  <v>19445.5091466533</v>
                </pt>
                <pt idx="1">
                  <v>19710.8217852</v>
                </pt>
                <pt idx="2">
                  <v>21226.737186</v>
                </pt>
              </numCache>
            </numRef>
          </val>
        </ser>
        <ser>
          <idx val="1"/>
          <order val="1"/>
          <tx>
            <v>Main Chiller Plant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2'!$C$3:$C$5</f>
              <numCache>
                <formatCode>#,##0.00</formatCode>
                <ptCount val="3"/>
                <pt idx="0">
                  <v>6604.941383346696</v>
                </pt>
                <pt idx="1">
                  <v>6884.8404378</v>
                </pt>
                <pt idx="2">
                  <v>6835.286974000001</v>
                </pt>
              </numCache>
            </numRef>
          </val>
        </ser>
        <ser>
          <idx val="2"/>
          <order val="2"/>
          <tx>
            <v>LSK Chiller Plant</v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2'!$D$3:$D$5</f>
              <numCache>
                <formatCode>#,##0.00</formatCode>
                <ptCount val="3"/>
                <pt idx="0">
                  <v>636.6984</v>
                </pt>
                <pt idx="1">
                  <v>584.10144</v>
                </pt>
                <pt idx="2">
                  <v>510.90088</v>
                </pt>
              </numCache>
            </numRef>
          </val>
        </ser>
        <ser>
          <idx val="3"/>
          <order val="3"/>
          <tx>
            <v>Cheng Yu Tung Building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2'!$E$3:$E$5</f>
              <numCache>
                <formatCode>#,##0.00</formatCode>
                <ptCount val="3"/>
                <pt idx="0">
                  <v>1720.69053</v>
                </pt>
                <pt idx="1">
                  <v>1851.1857</v>
                </pt>
                <pt idx="2">
                  <v>1873.9092</v>
                </pt>
              </numCache>
            </numRef>
          </val>
        </ser>
        <ser>
          <idx val="4"/>
          <order val="4"/>
          <tx>
            <v>LSK Building</v>
          </tx>
          <spPr>
            <a:solidFill xmlns:a="http://schemas.openxmlformats.org/drawingml/2006/main">
              <a:schemeClr val="accent5">
                <a:lumMod val="60000"/>
                <a:lumOff val="4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2'!$F$3:$F$5</f>
              <numCache>
                <formatCode>#,##0.00</formatCode>
                <ptCount val="3"/>
                <pt idx="0">
                  <v>1052.70945</v>
                </pt>
                <pt idx="1">
                  <v>1058.304</v>
                </pt>
                <pt idx="2">
                  <v>1103.748</v>
                </pt>
              </numCache>
            </numRef>
          </val>
        </ser>
        <ser>
          <idx val="5"/>
          <order val="5"/>
          <tx>
            <v>IAS Building</v>
          </tx>
          <spPr>
            <a:solidFill xmlns:a="http://schemas.openxmlformats.org/drawingml/2006/main">
              <a:srgbClr val="B8E68E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2'!$G$3:$G$5</f>
              <numCache>
                <formatCode>#,##0.00</formatCode>
                <ptCount val="3"/>
                <pt idx="0">
                  <v>255.19221</v>
                </pt>
                <pt idx="1">
                  <v>229.51734</v>
                </pt>
                <pt idx="2">
                  <v>226.92346</v>
                </pt>
              </numCache>
            </numRef>
          </val>
        </ser>
        <ser>
          <idx val="6"/>
          <order val="6"/>
          <tx>
            <v>Innovation Building</v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2'!$H$3:$H$5</f>
              <numCache>
                <formatCode>#,##0.00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7"/>
          <tx>
            <v>Conference Lodge</v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2'!$I$3:$I$5</f>
              <numCache>
                <formatCode>#,##0.00</formatCode>
                <ptCount val="3"/>
                <pt idx="0">
                  <v>476.58351</v>
                </pt>
                <pt idx="1">
                  <v>576.76827</v>
                </pt>
                <pt idx="2">
                  <v>526.8643000000001</v>
                </pt>
              </numCache>
            </numRef>
          </val>
        </ser>
        <ser>
          <idx val="8"/>
          <order val="8"/>
          <tx>
            <v>Staff Quarter Common Area</v>
          </tx>
          <spPr>
            <a:solidFill xmlns:a="http://schemas.openxmlformats.org/drawingml/2006/main">
              <a:srgbClr val="BAFFF3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2'!$J$3:$J$5</f>
              <numCache>
                <formatCode>#,##0.00</formatCode>
                <ptCount val="3"/>
                <pt idx="2">
                  <v>311.0186</v>
                </pt>
              </numCache>
            </numRef>
          </val>
        </ser>
        <ser>
          <idx val="9"/>
          <order val="9"/>
          <tx>
            <v>Student Housing</v>
          </tx>
          <spPr>
            <a:solidFill xmlns:a="http://schemas.openxmlformats.org/drawingml/2006/main">
              <a:schemeClr val="accent6">
                <a:lumMod val="60000"/>
                <a:lumOff val="4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2'!$K$3:$K$5</f>
              <numCache>
                <formatCode>#,##0.00</formatCode>
                <ptCount val="3"/>
                <pt idx="0">
                  <v>3070.12095</v>
                </pt>
                <pt idx="1">
                  <v>3239.96166</v>
                </pt>
                <pt idx="2">
                  <v>3644.79128</v>
                </pt>
              </numCache>
            </numRef>
          </val>
        </ser>
        <ser>
          <idx val="10"/>
          <order val="10"/>
          <tx>
            <v>Staff Quarters &amp; Commercial Outlet</v>
          </tx>
          <spPr>
            <a:solidFill xmlns:a="http://schemas.openxmlformats.org/drawingml/2006/main">
              <a:schemeClr val="accent2">
                <a:lumMod val="60000"/>
                <a:lumOff val="4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2'!$L$3:$L$5</f>
              <numCache>
                <formatCode>#,##0.00</formatCode>
                <ptCount val="3"/>
                <pt idx="0">
                  <v>3371.16624</v>
                </pt>
                <pt idx="1">
                  <v>3581.14224</v>
                </pt>
                <pt idx="2">
                  <v>3730.28634</v>
                </pt>
              </numCache>
            </numRef>
          </val>
        </ser>
        <ser>
          <idx val="11"/>
          <order val="11"/>
          <tx>
            <v>Towngas</v>
          </tx>
          <spPr>
            <a:solidFill xmlns:a="http://schemas.openxmlformats.org/drawingml/2006/main">
              <a:srgbClr val="FF0000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'Scope 2'!$A$3:$A$5</f>
              <strCache>
                <ptCount val="3"/>
                <pt idx="0">
                  <v>2022-23</v>
                </pt>
                <pt idx="1">
                  <v>2023-24</v>
                </pt>
                <pt idx="2">
                  <v>2024-25</v>
                </pt>
              </strCache>
            </strRef>
          </cat>
          <val>
            <numRef>
              <f>'Scope 2'!$P$3:$P$5</f>
              <numCache>
                <formatCode>#,##0.00</formatCode>
                <ptCount val="3"/>
                <pt idx="0">
                  <v>237.2273074917202</v>
                </pt>
                <pt idx="1">
                  <v>251.69472</v>
                </pt>
                <pt idx="2">
                  <v>231.5468754359546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Campus GFA &amp; Capita Growth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'Yearly GHG (mCO2)'!$G$1</f>
              <strCache>
                <ptCount val="1"/>
                <pt idx="0">
                  <v>Capita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'Yearly GHG (mCO2)'!$A$2:$A$16</f>
              <strCache>
                <ptCount val="15"/>
                <pt idx="0">
                  <v>2010/11</v>
                </pt>
                <pt idx="1">
                  <v>2011/12</v>
                </pt>
                <pt idx="2">
                  <v>2012/13</v>
                </pt>
                <pt idx="3">
                  <v xml:space="preserve">2013/14 </v>
                </pt>
                <pt idx="4">
                  <v>2014/15</v>
                </pt>
                <pt idx="5">
                  <v>2015/16</v>
                </pt>
                <pt idx="6">
                  <v>2016/17</v>
                </pt>
                <pt idx="7">
                  <v>2017/18</v>
                </pt>
                <pt idx="8">
                  <v>2018/19</v>
                </pt>
                <pt idx="9">
                  <v>2019/20</v>
                </pt>
                <pt idx="10">
                  <v>2020/21</v>
                </pt>
                <pt idx="11">
                  <v>2021/22</v>
                </pt>
                <pt idx="12">
                  <v>2022/23</v>
                </pt>
                <pt idx="13">
                  <v>2023/24</v>
                </pt>
                <pt idx="14">
                  <v>2024/25</v>
                </pt>
              </strCache>
            </strRef>
          </cat>
          <val>
            <numRef>
              <f>'Yearly GHG (mCO2)'!$G$2:$G$16</f>
              <numCache>
                <formatCode>#,##0.0</formatCode>
                <ptCount val="15"/>
                <pt idx="0">
                  <v>12358.5</v>
                </pt>
                <pt idx="1">
                  <v>12836.5</v>
                </pt>
                <pt idx="2">
                  <v>15176</v>
                </pt>
                <pt idx="3">
                  <formatCode>#,##0.00</formatCode>
                  <v>15828.5</v>
                </pt>
                <pt idx="4">
                  <formatCode>#,##0.00</formatCode>
                  <v>16340</v>
                </pt>
                <pt idx="5">
                  <formatCode>#,##0.00</formatCode>
                  <v>16621</v>
                </pt>
                <pt idx="6">
                  <formatCode>#,##0.00</formatCode>
                  <v>17299.5</v>
                </pt>
                <pt idx="7">
                  <formatCode>#,##0.00</formatCode>
                  <v>17923.5</v>
                </pt>
                <pt idx="8">
                  <formatCode>#,##0.00</formatCode>
                  <v>18508.5</v>
                </pt>
                <pt idx="9">
                  <formatCode>#,##0.00</formatCode>
                  <v>17679</v>
                </pt>
                <pt idx="10">
                  <formatCode>#,##0.00</formatCode>
                  <v>19717</v>
                </pt>
                <pt idx="11">
                  <formatCode>#,##0.00</formatCode>
                  <v>20543</v>
                </pt>
                <pt idx="12">
                  <formatCode>#,##0.00</formatCode>
                  <v>21497</v>
                </pt>
                <pt idx="13">
                  <formatCode>#,##0.00</formatCode>
                  <v>22169</v>
                </pt>
                <pt idx="14">
                  <formatCode>#,##0.00</formatCode>
                  <v>23877</v>
                </pt>
              </numCache>
            </numRef>
          </val>
          <smooth val="0"/>
        </ser>
        <ser>
          <idx val="1"/>
          <order val="1"/>
          <tx>
            <strRef>
              <f>'Yearly GHG (mCO2)'!$H$1</f>
              <strCache>
                <ptCount val="1"/>
                <pt idx="0">
                  <v>GFA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'Yearly GHG (mCO2)'!$A$2:$A$16</f>
              <strCache>
                <ptCount val="15"/>
                <pt idx="0">
                  <v>2010/11</v>
                </pt>
                <pt idx="1">
                  <v>2011/12</v>
                </pt>
                <pt idx="2">
                  <v>2012/13</v>
                </pt>
                <pt idx="3">
                  <v xml:space="preserve">2013/14 </v>
                </pt>
                <pt idx="4">
                  <v>2014/15</v>
                </pt>
                <pt idx="5">
                  <v>2015/16</v>
                </pt>
                <pt idx="6">
                  <v>2016/17</v>
                </pt>
                <pt idx="7">
                  <v>2017/18</v>
                </pt>
                <pt idx="8">
                  <v>2018/19</v>
                </pt>
                <pt idx="9">
                  <v>2019/20</v>
                </pt>
                <pt idx="10">
                  <v>2020/21</v>
                </pt>
                <pt idx="11">
                  <v>2021/22</v>
                </pt>
                <pt idx="12">
                  <v>2022/23</v>
                </pt>
                <pt idx="13">
                  <v>2023/24</v>
                </pt>
                <pt idx="14">
                  <v>2024/25</v>
                </pt>
              </strCache>
            </strRef>
          </cat>
          <val>
            <numRef>
              <f>'Yearly GHG (mCO2)'!$H$2:$H$16</f>
              <numCache>
                <formatCode>#,##0.00</formatCode>
                <ptCount val="15"/>
                <pt idx="0">
                  <v>396061.6880000001</v>
                </pt>
                <pt idx="1">
                  <v>396150.5080000001</v>
                </pt>
                <pt idx="2">
                  <v>397633.3460000001</v>
                </pt>
                <pt idx="3">
                  <v>451064.3520000001</v>
                </pt>
                <pt idx="4">
                  <v>473560.6680000002</v>
                </pt>
                <pt idx="5">
                  <v>480093.4920000002</v>
                </pt>
                <pt idx="6">
                  <v>508000</v>
                </pt>
                <pt idx="7">
                  <v>512620</v>
                </pt>
                <pt idx="8">
                  <v>515105.139</v>
                </pt>
                <pt idx="9">
                  <v>515105.139</v>
                </pt>
                <pt idx="10">
                  <v>563595</v>
                </pt>
                <pt idx="11">
                  <v>578007.25</v>
                </pt>
                <pt idx="12">
                  <v>578007</v>
                </pt>
                <pt idx="13">
                  <v>587292</v>
                </pt>
                <pt idx="14">
                  <v>587292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27461383"/>
        <axId val="1327463431"/>
      </lineChart>
      <catAx>
        <axId val="13274613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7463431"/>
        <crosses val="autoZero"/>
        <auto val="1"/>
        <lblAlgn val="ctr"/>
        <lblOffset val="100"/>
        <noMultiLvlLbl val="0"/>
      </catAx>
      <valAx>
        <axId val="13274634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74613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and Scope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Emissions Trend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GB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Scope 1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'Yearly GHG (mCO2)'!$A$6:$A$16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GHG (mCO2)'!$B$6:$B$16</f>
              <numCache>
                <formatCode>#,##0.00</formatCode>
                <ptCount val="11"/>
                <pt idx="0">
                  <v>1405.200312029305</v>
                </pt>
                <pt idx="1">
                  <v>1563.620535487638</v>
                </pt>
                <pt idx="2">
                  <v>1337.060926905997</v>
                </pt>
                <pt idx="3">
                  <v>1148.481087761474</v>
                </pt>
                <pt idx="4">
                  <v>1227.695594864362</v>
                </pt>
                <pt idx="5">
                  <v>971.2459436582179</v>
                </pt>
                <pt idx="6">
                  <v>1017.807687277492</v>
                </pt>
                <pt idx="7">
                  <v>1046.650922770445</v>
                </pt>
                <pt idx="8">
                  <v>1142.889332686397</v>
                </pt>
                <pt idx="9">
                  <v>2497.72</v>
                </pt>
                <pt idx="10">
                  <v>1221.086081183366</v>
                </pt>
              </numCache>
            </numRef>
          </val>
        </ser>
        <ser>
          <idx val="1"/>
          <order val="1"/>
          <tx>
            <v>Scope 2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'Yearly GHG (mCO2)'!$A$6:$A$16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GHG (mCO2)'!$C$6:$C$16</f>
              <numCache>
                <formatCode>#,##0.00</formatCode>
                <ptCount val="11"/>
                <pt idx="0">
                  <v>59828.18675362357</v>
                </pt>
                <pt idx="1">
                  <v>52060.2214656149</v>
                </pt>
                <pt idx="2">
                  <v>51318.43947370734</v>
                </pt>
                <pt idx="3">
                  <v>47664.45691265413</v>
                </pt>
                <pt idx="4">
                  <v>46254.13003972482</v>
                </pt>
                <pt idx="5">
                  <v>43879.02350700001</v>
                </pt>
                <pt idx="6">
                  <v>32886.46149444466</v>
                </pt>
                <pt idx="7">
                  <v>35205.52275914906</v>
                </pt>
                <pt idx="8">
                  <v>36870.8391274917</v>
                </pt>
                <pt idx="9">
                  <v>37968.34</v>
                </pt>
                <pt idx="10">
                  <v>40222.01347543595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34661887"/>
        <axId val="444349311"/>
      </barChart>
      <lineChart>
        <grouping val="standard"/>
        <varyColors val="0"/>
        <ser>
          <idx val="2"/>
          <order val="2"/>
          <tx>
            <v>Scope 1 &amp; 2 GHG per capita</v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'Yearly GHG (mCO2)'!$A$6:$A$16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GHG (mCO2)'!$I$6:$I$16</f>
              <numCache>
                <formatCode>#,##0.00</formatCode>
                <ptCount val="11"/>
                <pt idx="0">
                  <v>3.747453308791485</v>
                </pt>
                <pt idx="1">
                  <v>3.226270501239549</v>
                </pt>
                <pt idx="2">
                  <v>3.043758513287282</v>
                </pt>
                <pt idx="3">
                  <v>2.72340435743106</v>
                </pt>
                <pt idx="4">
                  <v>2.565406469167635</v>
                </pt>
                <pt idx="5">
                  <v>2.53692343744885</v>
                </pt>
                <pt idx="6">
                  <v>1.71954502113517</v>
                </pt>
                <pt idx="7">
                  <v>1.764697156302366</v>
                </pt>
                <pt idx="8">
                  <v>1.768327136818072</v>
                </pt>
                <pt idx="9">
                  <v>1.825344399837611</v>
                </pt>
                <pt idx="10">
                  <v>1.735691232425318</v>
                </pt>
              </numCache>
            </numRef>
          </val>
          <smooth val="0"/>
        </ser>
        <ser>
          <idx val="3"/>
          <order val="3"/>
          <tx>
            <v>Scope 1 &amp; 2 GHG per GFA</v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'Yearly GHG (mCO2)'!$A$6:$A$16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GHG (mCO2)'!$J$6:$J$16</f>
              <numCache>
                <formatCode>#,##0.00</formatCode>
                <ptCount val="11"/>
                <pt idx="0">
                  <v>1.293042078943365</v>
                </pt>
                <pt idx="1">
                  <v>1.116945821900508</v>
                </pt>
                <pt idx="2">
                  <v>1.036525598437271</v>
                </pt>
                <pt idx="3">
                  <v>0.9522246108309391</v>
                </pt>
                <pt idx="4">
                  <v>0.9217890104293675</v>
                </pt>
                <pt idx="5">
                  <v>0.8707012618380852</v>
                </pt>
                <pt idx="6">
                  <v>0.6015715040360924</v>
                </pt>
                <pt idx="7">
                  <v>0.6271923696790915</v>
                </pt>
                <pt idx="8">
                  <v>0.6576689981294015</v>
                </pt>
                <pt idx="9">
                  <v>0.6890279452129434</v>
                </pt>
                <pt idx="10">
                  <v>0.7056642957271564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44336319"/>
        <axId val="444339903"/>
      </lineChart>
      <catAx>
        <axId val="43466188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44349311"/>
        <crosses val="autoZero"/>
        <auto val="1"/>
        <lblAlgn val="ctr"/>
        <lblOffset val="100"/>
        <noMultiLvlLbl val="0"/>
      </catAx>
      <valAx>
        <axId val="444349311"/>
        <scaling>
          <orientation val="minMax"/>
          <max val="625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</a:t>
                </a:r>
                <a:r>
                  <a:rPr lang="en-GB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CO2e</a:t>
                </a:r>
                <a:endParaRPr lang="en-GB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GB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34661887"/>
        <crosses val="autoZero"/>
        <crossBetween val="between"/>
      </valAx>
      <catAx>
        <axId val="444336319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44339903"/>
        <crosses val="autoZero"/>
        <auto val="1"/>
        <lblAlgn val="ctr"/>
        <lblOffset val="100"/>
        <noMultiLvlLbl val="0"/>
      </catAx>
      <valAx>
        <axId val="444339903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4433631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'Emission Factor (new)'!$E$59</f>
              <strCache>
                <ptCount val="1"/>
                <pt idx="0">
                  <v>Electricity (Pre-Baseline)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'Emission Factor (new)'!$F$58:$O$58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 (new)'!$F$59:$O$59</f>
              <numCache>
                <formatCode>General</formatCode>
                <ptCount val="10"/>
                <pt idx="0">
                  <v>0.54</v>
                </pt>
                <pt idx="1">
                  <v>0.59</v>
                </pt>
                <pt idx="2">
                  <v>0.58</v>
                </pt>
                <pt idx="3">
                  <v>0.63</v>
                </pt>
              </numCache>
            </numRef>
          </val>
        </ser>
        <ser>
          <idx val="1"/>
          <order val="1"/>
          <tx>
            <strRef>
              <f>'Emission Factor (new)'!$E$61</f>
              <strCache>
                <ptCount val="1"/>
                <pt idx="0">
                  <v>Electricity Performance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'Emission Factor (new)'!$F$58:$O$58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 (new)'!$F$61:$O$61</f>
              <numCache>
                <formatCode>General</formatCode>
                <ptCount val="10"/>
                <pt idx="4">
                  <v>0.64</v>
                </pt>
                <pt idx="5">
                  <v>0.54</v>
                </pt>
                <pt idx="6">
                  <v>0.54</v>
                </pt>
                <pt idx="7">
                  <v>0.51</v>
                </pt>
                <pt idx="8">
                  <v>0.51</v>
                </pt>
                <pt idx="9">
                  <v>0.51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73012160"/>
        <axId val="973013888"/>
      </barChart>
      <lineChart>
        <grouping val="standard"/>
        <varyColors val="0"/>
        <ser>
          <idx val="2"/>
          <order val="2"/>
          <tx>
            <strRef>
              <f>'Emission Factor (new)'!$E$60</f>
              <strCache>
                <ptCount val="1"/>
                <pt idx="0">
                  <v>Towngas (Pre-Baseline)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Factor (new)'!$F$58:$O$58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 (new)'!$F$60:$O$60</f>
              <numCache>
                <formatCode>General</formatCode>
                <ptCount val="10"/>
                <pt idx="0">
                  <v>0.62</v>
                </pt>
                <pt idx="1">
                  <v>0.618</v>
                </pt>
                <pt idx="2">
                  <v>0.61</v>
                </pt>
                <pt idx="3">
                  <v>0.62</v>
                </pt>
                <pt idx="4">
                  <v>0.6</v>
                </pt>
              </numCache>
            </numRef>
          </val>
          <smooth val="0"/>
        </ser>
        <ser>
          <idx val="3"/>
          <order val="3"/>
          <tx>
            <strRef>
              <f>'Emission Factor (new)'!$E$62</f>
              <strCache>
                <ptCount val="1"/>
                <pt idx="0">
                  <v>Towngas Performance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Factor (new)'!$F$58:$O$58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 (new)'!$F$62:$O$62</f>
              <numCache>
                <formatCode>General</formatCode>
                <ptCount val="10"/>
                <pt idx="4">
                  <v>0.6</v>
                </pt>
                <pt idx="5">
                  <v>0.605</v>
                </pt>
                <pt idx="6">
                  <v>0.599</v>
                </pt>
                <pt idx="7">
                  <v>0.592</v>
                </pt>
                <pt idx="8">
                  <v>0.5639999999999999</v>
                </pt>
                <pt idx="9">
                  <v>0.5639999999999999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3035472"/>
        <axId val="973033744"/>
      </lineChart>
      <catAx>
        <axId val="973012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13888"/>
        <crosses val="autoZero"/>
        <auto val="1"/>
        <lblAlgn val="ctr"/>
        <lblOffset val="100"/>
        <noMultiLvlLbl val="0"/>
      </catAx>
      <valAx>
        <axId val="973013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12160"/>
        <crosses val="autoZero"/>
        <crossBetween val="between"/>
      </valAx>
      <catAx>
        <axId val="9730354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973033744"/>
        <crosses val="autoZero"/>
        <auto val="1"/>
        <lblAlgn val="ctr"/>
        <lblOffset val="100"/>
        <noMultiLvlLbl val="0"/>
      </catAx>
      <valAx>
        <axId val="973033744"/>
        <scaling>
          <orientation val="minMax"/>
          <max val="0.63"/>
          <min val="0.53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35472"/>
        <crosses val="max"/>
        <crossBetween val="between"/>
        <majorUnit val="0.01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'Emission Factor'!$E$59</f>
              <strCache>
                <ptCount val="1"/>
                <pt idx="0">
                  <v>Electricity (Pre-Baseline)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'Emission Factor'!$F$58:$O$58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Factor'!$F$59:$O$59</f>
              <numCache>
                <formatCode>General</formatCode>
                <ptCount val="10"/>
                <pt idx="0">
                  <v>0.54</v>
                </pt>
                <pt idx="1">
                  <v>0.59</v>
                </pt>
                <pt idx="2">
                  <v>0.58</v>
                </pt>
                <pt idx="3">
                  <v>0.63</v>
                </pt>
              </numCache>
            </numRef>
          </val>
        </ser>
        <ser>
          <idx val="1"/>
          <order val="1"/>
          <tx>
            <strRef>
              <f>'Emission Factor'!$E$61</f>
              <strCache>
                <ptCount val="1"/>
                <pt idx="0">
                  <v>Electricity Performance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'Emission Factor'!$F$58:$O$58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Factor'!$F$61:$O$61</f>
              <numCache>
                <formatCode>General</formatCode>
                <ptCount val="10"/>
                <pt idx="4">
                  <v>0.64</v>
                </pt>
                <pt idx="5">
                  <v>0.54</v>
                </pt>
                <pt idx="6">
                  <v>0.54</v>
                </pt>
                <pt idx="7">
                  <v>0.51</v>
                </pt>
                <pt idx="8">
                  <v>0.51</v>
                </pt>
                <pt idx="9">
                  <v>0.51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73012160"/>
        <axId val="973013888"/>
      </barChart>
      <lineChart>
        <grouping val="standard"/>
        <varyColors val="0"/>
        <ser>
          <idx val="2"/>
          <order val="2"/>
          <tx>
            <strRef>
              <f>'Emission Factor'!$E$60</f>
              <strCache>
                <ptCount val="1"/>
                <pt idx="0">
                  <v>Towngas (Pre-Baseline)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Factor'!$F$58:$O$58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Factor'!$F$60:$O$60</f>
              <numCache>
                <formatCode>General</formatCode>
                <ptCount val="10"/>
                <pt idx="0">
                  <v>0.62</v>
                </pt>
                <pt idx="1">
                  <v>0.618</v>
                </pt>
                <pt idx="2">
                  <v>0.61</v>
                </pt>
                <pt idx="3">
                  <v>0.62</v>
                </pt>
                <pt idx="4">
                  <v>0.6</v>
                </pt>
              </numCache>
            </numRef>
          </val>
          <smooth val="0"/>
        </ser>
        <ser>
          <idx val="3"/>
          <order val="3"/>
          <tx>
            <strRef>
              <f>'Emission Factor'!$E$62</f>
              <strCache>
                <ptCount val="1"/>
                <pt idx="0">
                  <v>Towngas Performance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Factor'!$F$58:$O$58</f>
              <numCache>
                <formatCode>General</formatCode>
                <ptCount val="10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</numCache>
            </numRef>
          </cat>
          <val>
            <numRef>
              <f>'Emission Factor'!$F$62:$O$62</f>
              <numCache>
                <formatCode>General</formatCode>
                <ptCount val="10"/>
                <pt idx="4">
                  <v>0.6</v>
                </pt>
                <pt idx="5">
                  <v>0.605</v>
                </pt>
                <pt idx="6">
                  <v>0.599</v>
                </pt>
                <pt idx="7">
                  <v>0.592</v>
                </pt>
                <pt idx="8">
                  <v>0.5639999999999999</v>
                </pt>
                <pt idx="9">
                  <v>0.5639999999999999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3035472"/>
        <axId val="973033744"/>
      </lineChart>
      <catAx>
        <axId val="973012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13888"/>
        <crosses val="autoZero"/>
        <auto val="1"/>
        <lblAlgn val="ctr"/>
        <lblOffset val="100"/>
        <noMultiLvlLbl val="0"/>
      </catAx>
      <valAx>
        <axId val="973013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12160"/>
        <crosses val="autoZero"/>
        <crossBetween val="between"/>
      </valAx>
      <catAx>
        <axId val="9730354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973033744"/>
        <crosses val="autoZero"/>
        <auto val="1"/>
        <lblAlgn val="ctr"/>
        <lblOffset val="100"/>
        <noMultiLvlLbl val="0"/>
      </catAx>
      <valAx>
        <axId val="973033744"/>
        <scaling>
          <orientation val="minMax"/>
          <max val="0.63"/>
          <min val="0.53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73035472"/>
        <crosses val="max"/>
        <crossBetween val="between"/>
        <majorUnit val="0.01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(Water)'!$N$16:$N$26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Dec 2024 Rolling 12 months</v>
                </pt>
              </strCache>
            </strRef>
          </cat>
          <val>
            <numRef>
              <f>'Annual Report (Water)'!$O$16:$O$26</f>
              <numCache>
                <formatCode>#,##0</formatCode>
                <ptCount val="11"/>
                <pt idx="0">
                  <v>516007.784</v>
                </pt>
                <pt idx="1">
                  <v>419818.956</v>
                </pt>
                <pt idx="2">
                  <v>426360.0556</v>
                </pt>
                <pt idx="3">
                  <v>398367.45288</v>
                </pt>
                <pt idx="4">
                  <v>395898.65664</v>
                </pt>
                <pt idx="5">
                  <v>342669.108</v>
                </pt>
                <pt idx="6">
                  <v>336162</v>
                </pt>
                <pt idx="7">
                  <v>377686.654</v>
                </pt>
                <pt idx="8">
                  <v>470431.67</v>
                </pt>
                <pt idx="9">
                  <v>463486</v>
                </pt>
                <pt idx="10">
                  <v>441256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0156080"/>
        <axId val="150155600"/>
      </barChart>
      <catAx>
        <axId val="1501560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155600"/>
        <crosses val="autoZero"/>
        <auto val="1"/>
        <lblAlgn val="ctr"/>
        <lblOffset val="100"/>
        <noMultiLvlLbl val="0"/>
      </catAx>
      <valAx>
        <axId val="1501556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marL="0" marR="0" lvl="0" indent="0" algn="ctr" defTabSz="914400" rtl="0" eaLnBrk="1" fontAlgn="auto" latinLnBrk="0" hangingPunct="1">
                  <lnSpc>
                    <spcPct val="100000"/>
                  </lnSpc>
                  <spcBef>
                    <spcPts val="0"/>
                  </spcBef>
                  <spcAft>
                    <spcPts val="0"/>
                  </spcAft>
                  <tabLst/>
                  <a:defRPr sz="1000" b="0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  <a:buClrTx/>
                  <a:buSzTx/>
                  <a:buFontTx/>
                  <a:buNone/>
                </a:pPr>
                <a:r>
                  <a:rPr lang="en-GB" sz="1000" b="0" i="0" strike="noStrike" kern="1200" baseline="0" dirty="0">
                    <a:solidFill>
                      <a:prstClr val="black"/>
                    </a:solidFill>
                  </a:rPr>
                  <a:t>Potable Water Consumption (m3)</a:t>
                </a:r>
              </a:p>
              <a:p xmlns:a="http://schemas.openxmlformats.org/drawingml/2006/main">
                <a:pPr marL="0" marR="0" lvl="0" indent="0" algn="ctr" defTabSz="914400" rtl="0" eaLnBrk="1" fontAlgn="auto" latinLnBrk="0" hangingPunct="1">
                  <lnSpc>
                    <spcPct val="100000"/>
                  </lnSpc>
                  <spcBef>
                    <spcPts val="0"/>
                  </spcBef>
                  <spcAft>
                    <spcPts val="0"/>
                  </spcAft>
                  <tabLst/>
                  <a:defRPr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defRPr>
                  <a:buClrTx/>
                  <a:buSzTx/>
                  <a:buFontTx/>
                  <a:buNone/>
                </a:pPr>
                <a:r>
                  <a:t/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 marL="0" marR="0" lvl="0" indent="0" algn="ctr" defTabSz="914400" rtl="0" eaLnBrk="1" fontAlgn="auto" latinLnBrk="0" hangingPunct="1">
                <lnSpc>
                  <spcPct val="100000"/>
                </lnSpc>
                <spcBef>
                  <spcPts val="0"/>
                </spcBef>
                <spcAft>
                  <spcPts val="0"/>
                </spcAft>
                <tabLst/>
                <a:defRPr sz="1000" b="0" i="0" strike="noStrike" kern="1200" baseline="0">
                  <a:solidFill>
                    <a:sysClr val="windowText" lastClr="000000">
                      <a:lumOff val="35000"/>
                      <a:lumMod val="65000"/>
                    </a:sysClr>
                  </a:solidFill>
                  <a:latin typeface="+mn-lt"/>
                  <a:ea typeface="+mn-ea"/>
                  <a:cs typeface="+mn-cs"/>
                </a:defRPr>
                <a:buClrTx/>
                <a:buSzTx/>
                <a:buFontTx/>
                <a:buNone/>
              </a:pPr>
              <a:r>
                <a:t/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1560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Yearly Water Consumption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'Annual Report (Water)'!$F$2</f>
              <strCache>
                <ptCount val="1"/>
                <pt idx="0">
                  <v>Student Housing</v>
                </pt>
              </strCache>
            </strRef>
          </tx>
          <spPr>
            <a:solidFill xmlns:a="http://schemas.openxmlformats.org/drawingml/2006/main">
              <a:srgbClr val="956D9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(Water)'!$F$3:$F$13</f>
              <numCache>
                <formatCode>#,##0</formatCode>
                <ptCount val="11"/>
                <pt idx="0">
                  <v>7484</v>
                </pt>
                <pt idx="1">
                  <v>117734</v>
                </pt>
                <pt idx="2">
                  <v>114980</v>
                </pt>
                <pt idx="3">
                  <v>108941</v>
                </pt>
                <pt idx="4">
                  <v>103073</v>
                </pt>
                <pt idx="5">
                  <v>66051</v>
                </pt>
                <pt idx="6">
                  <v>59072</v>
                </pt>
                <pt idx="7">
                  <v>87311</v>
                </pt>
                <pt idx="8">
                  <v>115671</v>
                </pt>
                <pt idx="9">
                  <v>107801</v>
                </pt>
                <pt idx="10">
                  <v>101607</v>
                </pt>
              </numCache>
            </numRef>
          </val>
        </ser>
        <ser>
          <idx val="1"/>
          <order val="1"/>
          <tx>
            <strRef>
              <f>'Annual Report (Water)'!$I$2</f>
              <strCache>
                <ptCount val="1"/>
                <pt idx="0">
                  <v xml:space="preserve">Staff Quarters </v>
                </pt>
              </strCache>
            </strRef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(Water)'!$I$3:$I$13</f>
              <numCache>
                <formatCode>#,##0</formatCode>
                <ptCount val="11"/>
                <pt idx="0">
                  <v>61598.78400000001</v>
                </pt>
                <pt idx="1">
                  <v>68814.95600000001</v>
                </pt>
                <pt idx="2">
                  <v>69931.05559999999</v>
                </pt>
                <pt idx="3">
                  <v>53724.45288000001</v>
                </pt>
                <pt idx="4">
                  <v>54959.65663999999</v>
                </pt>
                <pt idx="5">
                  <v>53434.10799999999</v>
                </pt>
                <pt idx="6">
                  <v>54429</v>
                </pt>
                <pt idx="7">
                  <v>55371.65400000001</v>
                </pt>
                <pt idx="8">
                  <v>53901.666</v>
                </pt>
                <pt idx="9">
                  <v>59195</v>
                </pt>
                <pt idx="10">
                  <v>56316.8268</v>
                </pt>
              </numCache>
            </numRef>
          </val>
        </ser>
        <ser>
          <idx val="2"/>
          <order val="2"/>
          <tx>
            <strRef>
              <f>'Annual Report (Water)'!$G$2</f>
              <strCache>
                <ptCount val="1"/>
                <pt idx="0">
                  <v>Public facilities in campus</v>
                </pt>
              </strCache>
            </strRef>
          </tx>
          <spPr>
            <a:solidFill xmlns:a="http://schemas.openxmlformats.org/drawingml/2006/main">
              <a:srgbClr val="FFEB4E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(Water)'!$G$3:$G$13</f>
              <numCache>
                <formatCode>#,##0</formatCode>
                <ptCount val="11"/>
                <pt idx="0">
                  <v>116140</v>
                </pt>
                <pt idx="1">
                  <v>6611</v>
                </pt>
                <pt idx="2">
                  <v>7503</v>
                </pt>
                <pt idx="3">
                  <v>7341</v>
                </pt>
                <pt idx="4">
                  <v>6187</v>
                </pt>
                <pt idx="5">
                  <v>20850</v>
                </pt>
                <pt idx="6">
                  <v>15359</v>
                </pt>
                <pt idx="7">
                  <v>10548</v>
                </pt>
                <pt idx="8">
                  <v>9005</v>
                </pt>
                <pt idx="9">
                  <v>8563</v>
                </pt>
                <pt idx="10">
                  <v>8963</v>
                </pt>
              </numCache>
            </numRef>
          </val>
        </ser>
        <ser>
          <idx val="3"/>
          <order val="3"/>
          <tx>
            <strRef>
              <f>'Annual Report (Water)'!$B$2</f>
              <strCache>
                <ptCount val="1"/>
                <pt idx="0">
                  <v>Main Academic Buildings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(Water)'!$B$3:$B$13</f>
              <numCache>
                <formatCode>#,##0</formatCode>
                <ptCount val="11"/>
                <pt idx="0">
                  <v>90262</v>
                </pt>
                <pt idx="1">
                  <v>97307</v>
                </pt>
                <pt idx="2">
                  <v>87033</v>
                </pt>
                <pt idx="3">
                  <v>83776</v>
                </pt>
                <pt idx="4">
                  <v>83643</v>
                </pt>
                <pt idx="5">
                  <v>74165</v>
                </pt>
                <pt idx="6">
                  <v>81810</v>
                </pt>
                <pt idx="7">
                  <v>85216</v>
                </pt>
                <pt idx="8">
                  <v>145694</v>
                </pt>
                <pt idx="9">
                  <v>133507</v>
                </pt>
                <pt idx="10">
                  <v>166053</v>
                </pt>
              </numCache>
            </numRef>
          </val>
        </ser>
        <ser>
          <idx val="4"/>
          <order val="4"/>
          <tx>
            <strRef>
              <f>'Annual Report (Water)'!$D$2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(Water)'!$D$3:$D$13</f>
              <numCache>
                <formatCode>#,##0</formatCode>
                <ptCount val="11"/>
                <pt idx="0">
                  <v>124383</v>
                </pt>
                <pt idx="1">
                  <v>2424</v>
                </pt>
                <pt idx="2">
                  <v>6762</v>
                </pt>
                <pt idx="3">
                  <v>25843</v>
                </pt>
                <pt idx="4">
                  <v>25305</v>
                </pt>
                <pt idx="5">
                  <v>21793</v>
                </pt>
                <pt idx="6">
                  <v>21744</v>
                </pt>
                <pt idx="7">
                  <v>16319</v>
                </pt>
                <pt idx="8">
                  <v>21086</v>
                </pt>
                <pt idx="9">
                  <v>29197</v>
                </pt>
                <pt idx="10">
                  <v>14415</v>
                </pt>
              </numCache>
            </numRef>
          </val>
        </ser>
        <ser>
          <idx val="5"/>
          <order val="5"/>
          <tx>
            <strRef>
              <f>'Annual Report (Water)'!$E$2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(Water)'!$E$3:$E$13</f>
              <numCache>
                <formatCode>#,##0</formatCode>
                <ptCount val="11"/>
                <pt idx="0">
                  <v>0</v>
                </pt>
                <pt idx="1">
                  <v>1727</v>
                </pt>
                <pt idx="2">
                  <v>1608</v>
                </pt>
                <pt idx="3">
                  <v>1862</v>
                </pt>
                <pt idx="4">
                  <v>2127</v>
                </pt>
                <pt idx="5">
                  <v>2569</v>
                </pt>
                <pt idx="6">
                  <v>1645</v>
                </pt>
                <pt idx="7">
                  <v>914</v>
                </pt>
                <pt idx="8">
                  <v>843</v>
                </pt>
                <pt idx="9">
                  <v>4976</v>
                </pt>
                <pt idx="10">
                  <v>1842</v>
                </pt>
              </numCache>
            </numRef>
          </val>
        </ser>
        <ser>
          <idx val="6"/>
          <order val="6"/>
          <tx>
            <strRef>
              <f>'Annual Report (Water)'!$C$2</f>
              <strCache>
                <ptCount val="1"/>
                <pt idx="0">
                  <v>Cheng Yu Tung Building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(Water)'!$C$3:$C$13</f>
              <numCache>
                <formatCode>#,##0</formatCode>
                <ptCount val="11"/>
                <pt idx="0">
                  <v>0</v>
                </pt>
                <pt idx="1">
                  <v>7383</v>
                </pt>
                <pt idx="2">
                  <v>13328</v>
                </pt>
                <pt idx="3">
                  <v>22095</v>
                </pt>
                <pt idx="4">
                  <v>18381</v>
                </pt>
                <pt idx="5">
                  <v>13180</v>
                </pt>
                <pt idx="6">
                  <v>15361</v>
                </pt>
                <pt idx="7">
                  <v>15114</v>
                </pt>
                <pt idx="8">
                  <v>16633</v>
                </pt>
                <pt idx="9">
                  <v>11706</v>
                </pt>
                <pt idx="10">
                  <v>15227</v>
                </pt>
              </numCache>
            </numRef>
          </val>
        </ser>
        <ser>
          <idx val="7"/>
          <order val="7"/>
          <tx>
            <strRef>
              <f>'Annual Report (Water)'!$H$2</f>
              <strCache>
                <ptCount val="1"/>
                <pt idx="0">
                  <v>Canteens and Commercial</v>
                </pt>
              </strCache>
            </strRef>
          </tx>
          <spPr>
            <a:solidFill xmlns:a="http://schemas.openxmlformats.org/drawingml/2006/main">
              <a:schemeClr val="accent1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(Water)'!$H$3:$H$13</f>
              <numCache>
                <formatCode>#,##0</formatCode>
                <ptCount val="11"/>
                <pt idx="0">
                  <v>116140</v>
                </pt>
                <pt idx="1">
                  <v>117818</v>
                </pt>
                <pt idx="2">
                  <v>125215</v>
                </pt>
                <pt idx="3">
                  <v>94785</v>
                </pt>
                <pt idx="4">
                  <v>102223</v>
                </pt>
                <pt idx="5">
                  <v>90627</v>
                </pt>
                <pt idx="6">
                  <v>86742</v>
                </pt>
                <pt idx="7">
                  <v>85163</v>
                </pt>
                <pt idx="8">
                  <v>107598</v>
                </pt>
                <pt idx="9">
                  <v>108541</v>
                </pt>
                <pt idx="10">
                  <v>119568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417458367"/>
        <axId val="1277637759"/>
      </barChart>
      <lineChart>
        <grouping val="standard"/>
        <varyColors val="0"/>
        <ser>
          <idx val="8"/>
          <order val="8"/>
          <tx>
            <strRef>
              <f>'Annual Report (Water)'!$K$2</f>
              <strCache>
                <ptCount val="1"/>
                <pt idx="0">
                  <v>Total Water Consumption per capita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</a:ln>
            </spPr>
          </marker>
          <dLbls>
            <spPr>
              <a:solidFill xmlns:a="http://schemas.openxmlformats.org/drawingml/2006/main">
                <a:schemeClr val="bg1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(Water)'!$A$3:$A$13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(Water)'!$K$3:$K$13</f>
              <numCache>
                <formatCode>#,##0.0</formatCode>
                <ptCount val="11"/>
                <pt idx="0">
                  <v>31.57942374541004</v>
                </pt>
                <pt idx="1">
                  <v>25.25834522591902</v>
                </pt>
                <pt idx="2">
                  <v>24.64580222549785</v>
                </pt>
                <pt idx="3">
                  <v>22.22598559879488</v>
                </pt>
                <pt idx="4">
                  <v>21.39009950239079</v>
                </pt>
                <pt idx="5">
                  <v>19.38283319192262</v>
                </pt>
                <pt idx="6">
                  <v>17.04934827813562</v>
                </pt>
                <pt idx="7">
                  <v>17.32739395414496</v>
                </pt>
                <pt idx="8">
                  <v>21.88359612969251</v>
                </pt>
                <pt idx="9">
                  <v>20.90694212639271</v>
                </pt>
                <pt idx="10">
                  <v>20.27021094777401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3901311"/>
        <axId val="1443521279"/>
      </lineChart>
      <catAx>
        <axId val="14174583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277637759"/>
        <crosses val="autoZero"/>
        <auto val="1"/>
        <lblAlgn val="ctr"/>
        <lblOffset val="100"/>
        <noMultiLvlLbl val="0"/>
      </catAx>
      <valAx>
        <axId val="1277637759"/>
        <scaling>
          <orientation val="minMax"/>
          <max val="55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417458367"/>
        <crosses val="autoZero"/>
        <crossBetween val="between"/>
        <majorUnit val="50000"/>
      </valAx>
      <catAx>
        <axId val="118390131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443521279"/>
        <crosses val="autoZero"/>
        <auto val="1"/>
        <lblAlgn val="ctr"/>
        <lblOffset val="100"/>
        <noMultiLvlLbl val="0"/>
      </catAx>
      <valAx>
        <axId val="1443521279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m3/capita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#,##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18390131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Jul 23 - Dec 23 Potable Water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'Half-Year Report (Water)'!$B$2</f>
              <strCache>
                <ptCount val="1"/>
                <pt idx="0">
                  <v>Main Academic Buildings + Public Facilities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(Water)'!$B$3:$B$8</f>
              <numCache>
                <formatCode>General</formatCode>
                <ptCount val="6"/>
                <pt idx="0">
                  <formatCode>#,##0</formatCode>
                  <v>15525</v>
                </pt>
                <pt idx="1">
                  <v>13190</v>
                </pt>
                <pt idx="2">
                  <v>9180</v>
                </pt>
                <pt idx="3">
                  <v>11141</v>
                </pt>
                <pt idx="4">
                  <v>7139</v>
                </pt>
                <pt idx="5">
                  <v>8690</v>
                </pt>
              </numCache>
            </numRef>
          </val>
        </ser>
        <ser>
          <idx val="1"/>
          <order val="1"/>
          <tx>
            <strRef>
              <f>'Half-Year Report (Water)'!$C$2</f>
              <strCache>
                <ptCount val="1"/>
                <pt idx="0">
                  <v>Cheng Yu Tung Building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(Water)'!$C$3:$C$8</f>
              <numCache>
                <formatCode>General</formatCode>
                <ptCount val="6"/>
                <pt idx="0">
                  <v>1122</v>
                </pt>
                <pt idx="1">
                  <v>870</v>
                </pt>
                <pt idx="2">
                  <v>817</v>
                </pt>
                <pt idx="3">
                  <v>1366</v>
                </pt>
                <pt idx="4">
                  <v>1155</v>
                </pt>
                <pt idx="5">
                  <v>1086</v>
                </pt>
              </numCache>
            </numRef>
          </val>
        </ser>
        <ser>
          <idx val="2"/>
          <order val="2"/>
          <tx>
            <strRef>
              <f>'Half-Year Report (Water)'!$D$2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(Water)'!$D$3:$D$8</f>
              <numCache>
                <formatCode>General</formatCode>
                <ptCount val="6"/>
                <pt idx="0">
                  <v>2675</v>
                </pt>
                <pt idx="1">
                  <v>2587</v>
                </pt>
                <pt idx="2">
                  <v>6279</v>
                </pt>
                <pt idx="3">
                  <v>4385</v>
                </pt>
                <pt idx="4">
                  <v>5099</v>
                </pt>
                <pt idx="5">
                  <v>1891</v>
                </pt>
              </numCache>
            </numRef>
          </val>
        </ser>
        <ser>
          <idx val="3"/>
          <order val="3"/>
          <tx>
            <strRef>
              <f>'Half-Year Report (Water)'!$E$2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(Water)'!$E$3:$E$8</f>
              <numCache>
                <formatCode>General</formatCode>
                <ptCount val="6"/>
                <pt idx="0">
                  <v>123</v>
                </pt>
                <pt idx="1">
                  <v>201</v>
                </pt>
                <pt idx="2">
                  <v>1297</v>
                </pt>
                <pt idx="3">
                  <v>740</v>
                </pt>
                <pt idx="4">
                  <v>1127</v>
                </pt>
                <pt idx="5">
                  <v>146</v>
                </pt>
              </numCache>
            </numRef>
          </val>
        </ser>
        <ser>
          <idx val="4"/>
          <order val="4"/>
          <tx>
            <strRef>
              <f>'Half-Year Report (Water)'!$F$2</f>
              <strCache>
                <ptCount val="1"/>
                <pt idx="0">
                  <v>Student Housing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(Water)'!$F$3:$F$8</f>
              <numCache>
                <formatCode>General</formatCode>
                <ptCount val="6"/>
                <pt idx="0">
                  <v>5054</v>
                </pt>
                <pt idx="1">
                  <v>3906</v>
                </pt>
                <pt idx="2">
                  <v>11143</v>
                </pt>
                <pt idx="3">
                  <v>12101</v>
                </pt>
                <pt idx="4">
                  <v>12345</v>
                </pt>
                <pt idx="5">
                  <v>12811</v>
                </pt>
              </numCache>
            </numRef>
          </val>
        </ser>
        <ser>
          <idx val="5"/>
          <order val="5"/>
          <tx>
            <strRef>
              <f>'Half-Year Report (Water)'!$G$2</f>
              <strCache>
                <ptCount val="1"/>
                <pt idx="0">
                  <v>Canteens and Commercial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(Water)'!$G$3:$G$8</f>
              <numCache>
                <formatCode>General</formatCode>
                <ptCount val="6"/>
                <pt idx="0">
                  <v>8918</v>
                </pt>
                <pt idx="1">
                  <v>8003</v>
                </pt>
                <pt idx="2">
                  <v>10310</v>
                </pt>
                <pt idx="3">
                  <v>11555</v>
                </pt>
                <pt idx="4">
                  <v>9609</v>
                </pt>
                <pt idx="5">
                  <v>9607</v>
                </pt>
              </numCache>
            </numRef>
          </val>
        </ser>
        <ser>
          <idx val="6"/>
          <order val="6"/>
          <tx>
            <strRef>
              <f>'Half-Year Report (Water)'!$H$2</f>
              <strCache>
                <ptCount val="1"/>
                <pt idx="0">
                  <v xml:space="preserve">Staff Quarters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(Water)'!$A$3:$A$8</f>
              <numCache>
                <formatCode>mmm\-yy</formatCode>
                <ptCount val="6"/>
                <pt idx="0">
                  <v>45108</v>
                </pt>
                <pt idx="1">
                  <v>45139</v>
                </pt>
                <pt idx="2">
                  <v>45170</v>
                </pt>
                <pt idx="3">
                  <v>45200</v>
                </pt>
                <pt idx="4">
                  <v>45231</v>
                </pt>
                <pt idx="5">
                  <v>45261</v>
                </pt>
              </numCache>
            </numRef>
          </cat>
          <val>
            <numRef>
              <f>'Half-Year Report (Water)'!$H$3:$H$8</f>
              <numCache>
                <formatCode>General</formatCode>
                <ptCount val="6"/>
                <pt idx="0">
                  <v>5033</v>
                </pt>
                <pt idx="1">
                  <v>5033</v>
                </pt>
                <pt idx="2">
                  <v>4870</v>
                </pt>
                <pt idx="3">
                  <v>5010</v>
                </pt>
                <pt idx="4">
                  <v>4848</v>
                </pt>
                <pt idx="5">
                  <v>5010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10312096"/>
        <axId val="410340832"/>
      </barChart>
      <dateAx>
        <axId val="410312096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10340832"/>
        <crosses val="autoZero"/>
        <lblOffset val="100"/>
        <baseTimeUnit val="months"/>
      </dateAx>
      <valAx>
        <axId val="410340832"/>
        <scaling>
          <orientation val="minMax"/>
          <max val="5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103120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Jan 24 -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Jun 24 Potable Water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GB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'Half-Year Report (Water)'!$B$30</f>
              <strCache>
                <ptCount val="1"/>
                <pt idx="0">
                  <v>Main Academic Buildings + Public Facilities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(Water)'!$B$31:$B$36</f>
              <numCache>
                <formatCode>General</formatCode>
                <ptCount val="6"/>
                <pt idx="0">
                  <formatCode>#,##0</formatCode>
                  <v>5770</v>
                </pt>
                <pt idx="1">
                  <v>8413</v>
                </pt>
                <pt idx="2">
                  <v>10100</v>
                </pt>
                <pt idx="3">
                  <v>15117</v>
                </pt>
                <pt idx="4">
                  <v>14227</v>
                </pt>
                <pt idx="5">
                  <v>15015</v>
                </pt>
              </numCache>
            </numRef>
          </val>
        </ser>
        <ser>
          <idx val="1"/>
          <order val="1"/>
          <tx>
            <strRef>
              <f>'Half-Year Report (Water)'!$C$30</f>
              <strCache>
                <ptCount val="1"/>
                <pt idx="0">
                  <v>Cheng Yu Tung Building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(Water)'!$C$31:$C$36</f>
              <numCache>
                <formatCode>General</formatCode>
                <ptCount val="6"/>
                <pt idx="0">
                  <v>1150</v>
                </pt>
                <pt idx="1">
                  <v>752</v>
                </pt>
                <pt idx="2">
                  <v>908</v>
                </pt>
                <pt idx="3">
                  <v>890</v>
                </pt>
                <pt idx="4">
                  <v>852</v>
                </pt>
                <pt idx="5">
                  <v>738</v>
                </pt>
              </numCache>
            </numRef>
          </val>
        </ser>
        <ser>
          <idx val="2"/>
          <order val="2"/>
          <tx>
            <strRef>
              <f>'Half-Year Report (Water)'!$D$30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(Water)'!$D$31:$D$36</f>
              <numCache>
                <formatCode>General</formatCode>
                <ptCount val="6"/>
                <pt idx="0">
                  <v>1617</v>
                </pt>
                <pt idx="1">
                  <v>602</v>
                </pt>
                <pt idx="2">
                  <v>640</v>
                </pt>
                <pt idx="3">
                  <v>1150</v>
                </pt>
                <pt idx="4">
                  <v>1062</v>
                </pt>
                <pt idx="5">
                  <v>1210</v>
                </pt>
              </numCache>
            </numRef>
          </val>
        </ser>
        <ser>
          <idx val="3"/>
          <order val="3"/>
          <tx>
            <strRef>
              <f>'Half-Year Report (Water)'!$E$30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(Water)'!$E$31:$E$36</f>
              <numCache>
                <formatCode>General</formatCode>
                <ptCount val="6"/>
                <pt idx="0">
                  <v>205</v>
                </pt>
                <pt idx="1">
                  <v>485</v>
                </pt>
                <pt idx="2">
                  <v>218</v>
                </pt>
                <pt idx="3">
                  <v>131</v>
                </pt>
                <pt idx="4">
                  <v>173</v>
                </pt>
                <pt idx="5">
                  <v>130</v>
                </pt>
              </numCache>
            </numRef>
          </val>
        </ser>
        <ser>
          <idx val="4"/>
          <order val="4"/>
          <tx>
            <strRef>
              <f>'Half-Year Report (Water)'!$F$30</f>
              <strCache>
                <ptCount val="1"/>
                <pt idx="0">
                  <v>Student Housing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(Water)'!$F$31:$F$36</f>
              <numCache>
                <formatCode>General</formatCode>
                <ptCount val="6"/>
                <pt idx="0">
                  <v>5012</v>
                </pt>
                <pt idx="1">
                  <v>8652</v>
                </pt>
                <pt idx="2">
                  <v>10837</v>
                </pt>
                <pt idx="3">
                  <v>10675</v>
                </pt>
                <pt idx="4">
                  <v>10554</v>
                </pt>
                <pt idx="5">
                  <v>4711</v>
                </pt>
              </numCache>
            </numRef>
          </val>
        </ser>
        <ser>
          <idx val="5"/>
          <order val="5"/>
          <tx>
            <strRef>
              <f>'Half-Year Report (Water)'!$G$30</f>
              <strCache>
                <ptCount val="1"/>
                <pt idx="0">
                  <v>Canteens and Commercial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(Water)'!$G$31:$G$36</f>
              <numCache>
                <formatCode>General</formatCode>
                <ptCount val="6"/>
                <pt idx="0">
                  <v>7282</v>
                </pt>
                <pt idx="1">
                  <v>7959</v>
                </pt>
                <pt idx="2">
                  <v>8977</v>
                </pt>
                <pt idx="3">
                  <v>9445</v>
                </pt>
                <pt idx="4">
                  <v>9380</v>
                </pt>
                <pt idx="5">
                  <v>7496</v>
                </pt>
              </numCache>
            </numRef>
          </val>
        </ser>
        <ser>
          <idx val="6"/>
          <order val="6"/>
          <tx>
            <strRef>
              <f>'Half-Year Report (Water)'!$H$30</f>
              <strCache>
                <ptCount val="1"/>
                <pt idx="0">
                  <v xml:space="preserve">Staff Quarters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'Half-Year Report (Water)'!$A$31:$A$36</f>
              <numCache>
                <formatCode>mmm\-yy</formatCode>
                <ptCount val="6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  <pt idx="5">
                  <v>45444</v>
                </pt>
              </numCache>
            </numRef>
          </cat>
          <val>
            <numRef>
              <f>'Half-Year Report (Water)'!$H$31:$H$36</f>
              <numCache>
                <formatCode>General</formatCode>
                <ptCount val="6"/>
                <pt idx="0">
                  <v>4988</v>
                </pt>
                <pt idx="1">
                  <v>4687</v>
                </pt>
                <pt idx="2">
                  <v>5010</v>
                </pt>
                <pt idx="3">
                  <v>4848</v>
                </pt>
                <pt idx="4">
                  <v>5010</v>
                </pt>
                <pt idx="5">
                  <v>4848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10410976"/>
        <axId val="410412688"/>
      </barChart>
      <dateAx>
        <axId val="410410976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10412688"/>
        <crosses val="autoZero"/>
        <lblOffset val="100"/>
        <baseTimeUnit val="months"/>
      </dateAx>
      <valAx>
        <axId val="4104126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4104109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'Monthly Potable (Overview)'!$J$1</f>
              <strCache>
                <ptCount val="1"/>
                <pt idx="0">
                  <v>HKUST Total (m3)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'Monthly Potable (Overview)'!$A$65:$A$76</f>
              <numCache>
                <formatCode>mmm\-yy</formatCode>
                <ptCount val="12"/>
                <pt idx="0">
                  <v>45200</v>
                </pt>
                <pt idx="1">
                  <v>45231</v>
                </pt>
                <pt idx="2">
                  <v>45261</v>
                </pt>
                <pt idx="3">
                  <v>45292</v>
                </pt>
                <pt idx="4">
                  <v>45323</v>
                </pt>
                <pt idx="5">
                  <v>45352</v>
                </pt>
                <pt idx="6">
                  <v>45383</v>
                </pt>
                <pt idx="7">
                  <v>45413</v>
                </pt>
                <pt idx="8">
                  <v>45444</v>
                </pt>
                <pt idx="9">
                  <v>45474</v>
                </pt>
                <pt idx="10">
                  <v>45505</v>
                </pt>
                <pt idx="11">
                  <v>45536</v>
                </pt>
              </numCache>
            </numRef>
          </cat>
          <val>
            <numRef>
              <f>'Monthly Potable (Overview)'!$J$65:$J$76</f>
              <numCache>
                <formatCode>#,##0</formatCode>
                <ptCount val="12"/>
                <pt idx="0">
                  <v>46931</v>
                </pt>
                <pt idx="1">
                  <v>42223</v>
                </pt>
                <pt idx="2">
                  <v>40055</v>
                </pt>
                <pt idx="3">
                  <v>26743</v>
                </pt>
                <pt idx="4">
                  <v>32137</v>
                </pt>
                <pt idx="5">
                  <v>37258</v>
                </pt>
                <pt idx="6">
                  <v>42927</v>
                </pt>
                <pt idx="7">
                  <v>41853</v>
                </pt>
                <pt idx="8">
                  <v>34786</v>
                </pt>
                <pt idx="9">
                  <v>40469.74848</v>
                </pt>
                <pt idx="10">
                  <v>37566.9824</v>
                </pt>
                <pt idx="11">
                  <v>46261.9824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4702383"/>
        <axId val="114734063"/>
      </barChart>
      <dateAx>
        <axId val="114702383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734063"/>
        <crosses val="autoZero"/>
        <lblOffset val="100"/>
        <baseTimeUnit val="months"/>
      </dateAx>
      <valAx>
        <axId val="1147340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strike="noStrike" kern="1200" baseline="0" dirty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rPr>
                  <a:t>Potable Water Consumption (m3)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70238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'Yearly Potable (Overview)'!$J$1</f>
              <strCache>
                <ptCount val="1"/>
                <pt idx="0">
                  <v>Total (m3)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'Yearly Potable (Overview)'!$A$3:$A$13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'Yearly Potable (Overview)'!$J$3:$J$13</f>
              <numCache>
                <formatCode>#,##0.00</formatCode>
                <ptCount val="11"/>
                <pt idx="0">
                  <v>516007.784</v>
                </pt>
                <pt idx="1">
                  <v>419818.956</v>
                </pt>
                <pt idx="2">
                  <v>426360.0556</v>
                </pt>
                <pt idx="3">
                  <v>398367.45288</v>
                </pt>
                <pt idx="4">
                  <v>395898.65664</v>
                </pt>
                <pt idx="5">
                  <v>342669.108</v>
                </pt>
                <pt idx="6">
                  <v>336162</v>
                </pt>
                <pt idx="7">
                  <v>355956.654</v>
                </pt>
                <pt idx="8">
                  <v>470431.666</v>
                </pt>
                <pt idx="9">
                  <v>463486</v>
                </pt>
                <pt idx="10">
                  <v>483991.8268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44858191"/>
        <axId val="934793711"/>
      </barChart>
      <catAx>
        <axId val="14448581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34793711"/>
        <crosses val="autoZero"/>
        <auto val="1"/>
        <lblAlgn val="ctr"/>
        <lblOffset val="100"/>
        <noMultiLvlLbl val="0"/>
      </catAx>
      <valAx>
        <axId val="9347937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strike="noStrike" kern="1200" baseline="0" dirty="0">
                    <a:solidFill>
                      <a:schemeClr val="tx1"/>
                    </a:solidFill>
                  </a:rPr>
                  <a:t>Potable Water Consumption (m3)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4485819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plotArea>
      <layout/>
      <areaChart>
        <grouping val="stacked"/>
        <varyColors val="0"/>
        <ser>
          <idx val="0"/>
          <order val="0"/>
          <tx>
            <strRef>
              <f>'Category Water Data'!$B$1</f>
              <strCache>
                <ptCount val="1"/>
                <pt idx="0">
                  <v>Main Academic Building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Data'!$B$49:$B$73</f>
              <numCache>
                <formatCode>General</formatCode>
                <ptCount val="25"/>
                <pt idx="0">
                  <v>3696</v>
                </pt>
                <pt idx="1">
                  <v>3343</v>
                </pt>
                <pt idx="2">
                  <v>2963</v>
                </pt>
                <pt idx="3">
                  <v>2804</v>
                </pt>
                <pt idx="4">
                  <v>2897</v>
                </pt>
                <pt idx="5">
                  <v>3124</v>
                </pt>
                <pt idx="6">
                  <v>3028</v>
                </pt>
                <pt idx="7">
                  <v>3089</v>
                </pt>
                <pt idx="8">
                  <v>2720</v>
                </pt>
                <pt idx="9">
                  <v>2681</v>
                </pt>
                <pt idx="10">
                  <v>3153</v>
                </pt>
                <pt idx="11">
                  <v>2927</v>
                </pt>
                <pt idx="12">
                  <v>2965</v>
                </pt>
                <pt idx="13">
                  <v>3839</v>
                </pt>
                <pt idx="14">
                  <v>3619</v>
                </pt>
                <pt idx="15">
                  <v>3183</v>
                </pt>
                <pt idx="16">
                  <v>2905</v>
                </pt>
                <pt idx="17">
                  <v>3318</v>
                </pt>
                <pt idx="18">
                  <v>3034</v>
                </pt>
                <pt idx="19">
                  <v>3224</v>
                </pt>
                <pt idx="20">
                  <v>3111</v>
                </pt>
                <pt idx="21">
                  <v>2478</v>
                </pt>
                <pt idx="22">
                  <v>3919</v>
                </pt>
                <pt idx="23">
                  <v>3569</v>
                </pt>
                <pt idx="24">
                  <v>2810</v>
                </pt>
              </numCache>
            </numRef>
          </val>
        </ser>
        <ser>
          <idx val="1"/>
          <order val="1"/>
          <tx>
            <strRef>
              <f>'Category Water Data'!$C$1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Data'!$C$49:$C$73</f>
              <numCache>
                <formatCode>General</formatCode>
                <ptCount val="25"/>
                <pt idx="0">
                  <v>282</v>
                </pt>
                <pt idx="1">
                  <v>504</v>
                </pt>
                <pt idx="2">
                  <v>225</v>
                </pt>
                <pt idx="3">
                  <v>258</v>
                </pt>
                <pt idx="4">
                  <v>207</v>
                </pt>
                <pt idx="5">
                  <v>299</v>
                </pt>
                <pt idx="6">
                  <v>260</v>
                </pt>
                <pt idx="7">
                  <v>267</v>
                </pt>
                <pt idx="8">
                  <v>316</v>
                </pt>
                <pt idx="9">
                  <v>351</v>
                </pt>
                <pt idx="10">
                  <v>416</v>
                </pt>
                <pt idx="11">
                  <v>459</v>
                </pt>
                <pt idx="12">
                  <v>3361</v>
                </pt>
                <pt idx="13">
                  <v>2351</v>
                </pt>
                <pt idx="14">
                  <v>3727</v>
                </pt>
                <pt idx="15">
                  <v>471</v>
                </pt>
                <pt idx="16">
                  <v>477</v>
                </pt>
                <pt idx="17">
                  <v>342</v>
                </pt>
                <pt idx="18">
                  <v>422</v>
                </pt>
                <pt idx="19">
                  <v>352</v>
                </pt>
                <pt idx="20">
                  <v>323</v>
                </pt>
                <pt idx="21">
                  <v>476</v>
                </pt>
                <pt idx="22">
                  <v>267</v>
                </pt>
                <pt idx="23">
                  <v>321</v>
                </pt>
                <pt idx="24">
                  <v>369</v>
                </pt>
              </numCache>
            </numRef>
          </val>
        </ser>
        <ser>
          <idx val="2"/>
          <order val="2"/>
          <tx>
            <strRef>
              <f>'Category Water Data'!$D$1</f>
              <strCache>
                <ptCount val="1"/>
                <pt idx="0">
                  <v>CYT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Data'!$D$49:$D$73</f>
              <numCache>
                <formatCode>General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679</v>
                </pt>
                <pt idx="18">
                  <v>904</v>
                </pt>
                <pt idx="19">
                  <v>918</v>
                </pt>
                <pt idx="20">
                  <v>820</v>
                </pt>
                <pt idx="21">
                  <v>719</v>
                </pt>
                <pt idx="22">
                  <v>1007</v>
                </pt>
                <pt idx="23">
                  <v>893</v>
                </pt>
                <pt idx="24">
                  <v>1170</v>
                </pt>
              </numCache>
            </numRef>
          </val>
        </ser>
        <ser>
          <idx val="3"/>
          <order val="3"/>
          <tx>
            <strRef>
              <f>'Category Water Data'!$E$1</f>
              <strCache>
                <ptCount val="1"/>
                <pt idx="0">
                  <v>Wind Tunnel (AAF)</v>
                </pt>
              </strCache>
            </strRef>
          </tx>
          <spPr>
            <a:solidFill xmlns:a="http://schemas.openxmlformats.org/drawingml/2006/main">
              <a:srgbClr val="F8B6FF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Data'!$E$49:$E$73</f>
              <numCache>
                <formatCode>General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2</v>
                </pt>
                <pt idx="18">
                  <v>7</v>
                </pt>
                <pt idx="19">
                  <v>4</v>
                </pt>
                <pt idx="20">
                  <v>3</v>
                </pt>
                <pt idx="21">
                  <v>4</v>
                </pt>
                <pt idx="22">
                  <v>3</v>
                </pt>
                <pt idx="23">
                  <v>3</v>
                </pt>
                <pt idx="24">
                  <v>3</v>
                </pt>
              </numCache>
            </numRef>
          </val>
        </ser>
        <ser>
          <idx val="4"/>
          <order val="4"/>
          <tx>
            <strRef>
              <f>'Category Water Data'!$F$1</f>
              <strCache>
                <ptCount val="1"/>
                <pt idx="0">
                  <v>Student Halls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Data'!$F$49:$F$73</f>
              <numCache>
                <formatCode>General</formatCode>
                <ptCount val="25"/>
                <pt idx="0">
                  <v>10359</v>
                </pt>
                <pt idx="1">
                  <v>12245</v>
                </pt>
                <pt idx="2">
                  <v>12598.4</v>
                </pt>
                <pt idx="3">
                  <v>11845.8</v>
                </pt>
                <pt idx="4">
                  <v>6617</v>
                </pt>
                <pt idx="5">
                  <v>10997</v>
                </pt>
                <pt idx="6">
                  <v>12505</v>
                </pt>
                <pt idx="7">
                  <v>11259</v>
                </pt>
                <pt idx="8">
                  <v>10377</v>
                </pt>
                <pt idx="9">
                  <v>6477</v>
                </pt>
                <pt idx="10">
                  <v>5100</v>
                </pt>
                <pt idx="11">
                  <v>3959</v>
                </pt>
                <pt idx="12">
                  <v>11426</v>
                </pt>
                <pt idx="13">
                  <v>12644</v>
                </pt>
                <pt idx="14">
                  <v>12986</v>
                </pt>
                <pt idx="15">
                  <v>13339</v>
                </pt>
                <pt idx="16">
                  <v>5194</v>
                </pt>
                <pt idx="17">
                  <v>9691</v>
                </pt>
                <pt idx="18">
                  <v>12320</v>
                </pt>
                <pt idx="19">
                  <v>11674</v>
                </pt>
                <pt idx="20">
                  <v>11515</v>
                </pt>
                <pt idx="21">
                  <v>5013</v>
                </pt>
                <pt idx="22">
                  <v>3992</v>
                </pt>
                <pt idx="23">
                  <v>3298</v>
                </pt>
                <pt idx="24">
                  <v>8846</v>
                </pt>
              </numCache>
            </numRef>
          </val>
        </ser>
        <ser>
          <idx val="5"/>
          <order val="5"/>
          <tx>
            <strRef>
              <f>'Category Water Data'!$G$1</f>
              <strCache>
                <ptCount val="1"/>
                <pt idx="0">
                  <v>Cooling Towers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Data'!$G$49:$G$73</f>
              <numCache>
                <formatCode>General</formatCode>
                <ptCount val="25"/>
                <pt idx="0">
                  <v>10871</v>
                </pt>
                <pt idx="1">
                  <v>8876</v>
                </pt>
                <pt idx="2">
                  <v>7673</v>
                </pt>
                <pt idx="3">
                  <v>1121</v>
                </pt>
                <pt idx="4">
                  <v>1093</v>
                </pt>
                <pt idx="5">
                  <v>1727</v>
                </pt>
                <pt idx="6">
                  <v>3550</v>
                </pt>
                <pt idx="7">
                  <v>5861</v>
                </pt>
                <pt idx="8">
                  <v>9229</v>
                </pt>
                <pt idx="9">
                  <v>11403</v>
                </pt>
                <pt idx="10">
                  <v>12405</v>
                </pt>
                <pt idx="11">
                  <v>11967</v>
                </pt>
                <pt idx="12">
                  <v>11433</v>
                </pt>
                <pt idx="13">
                  <v>9030</v>
                </pt>
                <pt idx="14">
                  <v>5627</v>
                </pt>
                <pt idx="15">
                  <v>2879</v>
                </pt>
                <pt idx="16">
                  <v>1638</v>
                </pt>
                <pt idx="17">
                  <v>1841</v>
                </pt>
                <pt idx="18">
                  <v>3651</v>
                </pt>
                <pt idx="19">
                  <v>8941</v>
                </pt>
                <pt idx="20">
                  <v>8326</v>
                </pt>
                <pt idx="21">
                  <v>10011</v>
                </pt>
                <pt idx="22">
                  <v>12425</v>
                </pt>
                <pt idx="23">
                  <v>11169</v>
                </pt>
                <pt idx="24">
                  <v>11492</v>
                </pt>
              </numCache>
            </numRef>
          </val>
        </ser>
        <ser>
          <idx val="6"/>
          <order val="6"/>
          <tx>
            <strRef>
              <f>'Category Water Data'!$H$1</f>
              <strCache>
                <ptCount val="1"/>
                <pt idx="0">
                  <v xml:space="preserve">Sport Facilicites 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Data'!$H$49:$H$73</f>
              <numCache>
                <formatCode>General</formatCode>
                <ptCount val="25"/>
                <pt idx="0">
                  <v>299</v>
                </pt>
                <pt idx="1">
                  <v>4263</v>
                </pt>
                <pt idx="2">
                  <v>554</v>
                </pt>
                <pt idx="3">
                  <v>186</v>
                </pt>
                <pt idx="4">
                  <v>142</v>
                </pt>
                <pt idx="5">
                  <v>213</v>
                </pt>
                <pt idx="6">
                  <v>227</v>
                </pt>
                <pt idx="7">
                  <v>631</v>
                </pt>
                <pt idx="8">
                  <v>353</v>
                </pt>
                <pt idx="9">
                  <v>298</v>
                </pt>
                <pt idx="10">
                  <v>455</v>
                </pt>
                <pt idx="11">
                  <v>354</v>
                </pt>
                <pt idx="12">
                  <v>459</v>
                </pt>
                <pt idx="13">
                  <v>460</v>
                </pt>
                <pt idx="14">
                  <v>417</v>
                </pt>
                <pt idx="15">
                  <v>297</v>
                </pt>
                <pt idx="16">
                  <v>187</v>
                </pt>
                <pt idx="17">
                  <v>279</v>
                </pt>
                <pt idx="18">
                  <v>293</v>
                </pt>
                <pt idx="19">
                  <v>390</v>
                </pt>
                <pt idx="20">
                  <v>281</v>
                </pt>
                <pt idx="21">
                  <v>401</v>
                </pt>
                <pt idx="22">
                  <v>507</v>
                </pt>
                <pt idx="23">
                  <v>489</v>
                </pt>
                <pt idx="24">
                  <v>583</v>
                </pt>
              </numCache>
            </numRef>
          </val>
        </ser>
        <ser>
          <idx val="7"/>
          <order val="7"/>
          <tx>
            <strRef>
              <f>'Category Water Data'!$I$1</f>
              <strCache>
                <ptCount val="1"/>
                <pt idx="0">
                  <v>Catering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Data'!$I$49:$I$73</f>
              <numCache>
                <formatCode>General</formatCode>
                <ptCount val="25"/>
                <pt idx="0">
                  <v>9027</v>
                </pt>
                <pt idx="1">
                  <v>9727</v>
                </pt>
                <pt idx="2">
                  <v>8831</v>
                </pt>
                <pt idx="3">
                  <v>7473</v>
                </pt>
                <pt idx="4">
                  <v>6773</v>
                </pt>
                <pt idx="5">
                  <v>7785</v>
                </pt>
                <pt idx="6">
                  <v>8745</v>
                </pt>
                <pt idx="7">
                  <v>9934</v>
                </pt>
                <pt idx="8">
                  <v>8056</v>
                </pt>
                <pt idx="9">
                  <v>7276</v>
                </pt>
                <pt idx="10">
                  <v>7936</v>
                </pt>
                <pt idx="11">
                  <v>7064</v>
                </pt>
                <pt idx="12">
                  <v>9199</v>
                </pt>
                <pt idx="13">
                  <v>10293</v>
                </pt>
                <pt idx="14">
                  <v>8459</v>
                </pt>
                <pt idx="15">
                  <v>8462</v>
                </pt>
                <pt idx="16">
                  <v>6337</v>
                </pt>
                <pt idx="17">
                  <v>7923</v>
                </pt>
                <pt idx="18">
                  <v>8934</v>
                </pt>
                <pt idx="19">
                  <v>9400</v>
                </pt>
                <pt idx="20">
                  <v>9337</v>
                </pt>
                <pt idx="21">
                  <v>7464</v>
                </pt>
                <pt idx="22">
                  <v>8909</v>
                </pt>
                <pt idx="23">
                  <v>9012</v>
                </pt>
                <pt idx="24">
                  <v>11817</v>
                </pt>
              </numCache>
            </numRef>
          </val>
        </ser>
        <ser>
          <idx val="8"/>
          <order val="8"/>
          <tx>
            <strRef>
              <f>'Category Water Data'!$J$1</f>
              <strCache>
                <ptCount val="1"/>
                <pt idx="0">
                  <v>Commercial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Data'!$J$49:$J$73</f>
              <numCache>
                <formatCode>General</formatCode>
                <ptCount val="25"/>
                <pt idx="0">
                  <v>40</v>
                </pt>
                <pt idx="1">
                  <v>40</v>
                </pt>
                <pt idx="2">
                  <v>49</v>
                </pt>
                <pt idx="3">
                  <v>39</v>
                </pt>
                <pt idx="4">
                  <v>40</v>
                </pt>
                <pt idx="5">
                  <v>38</v>
                </pt>
                <pt idx="6">
                  <v>34</v>
                </pt>
                <pt idx="7">
                  <v>38</v>
                </pt>
                <pt idx="8">
                  <v>32</v>
                </pt>
                <pt idx="9">
                  <v>28</v>
                </pt>
                <pt idx="10">
                  <v>28</v>
                </pt>
                <pt idx="11">
                  <v>26</v>
                </pt>
                <pt idx="12">
                  <v>30</v>
                </pt>
                <pt idx="13">
                  <v>33</v>
                </pt>
                <pt idx="14">
                  <v>33</v>
                </pt>
                <pt idx="15">
                  <v>33</v>
                </pt>
                <pt idx="16">
                  <v>28</v>
                </pt>
                <pt idx="17">
                  <v>36</v>
                </pt>
                <pt idx="18">
                  <v>43</v>
                </pt>
                <pt idx="19">
                  <v>45</v>
                </pt>
                <pt idx="20">
                  <v>43</v>
                </pt>
                <pt idx="21">
                  <v>32</v>
                </pt>
                <pt idx="22">
                  <v>31</v>
                </pt>
                <pt idx="23">
                  <v>31</v>
                </pt>
                <pt idx="24">
                  <v>35</v>
                </pt>
              </numCache>
            </numRef>
          </val>
        </ser>
        <ser>
          <idx val="9"/>
          <order val="9"/>
          <tx>
            <strRef>
              <f>'Category Water Data'!$K$1</f>
              <strCache>
                <ptCount val="1"/>
                <pt idx="0">
                  <v>Cleaning Water and Irrigation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Data'!$K$49:$K$73</f>
              <numCache>
                <formatCode>General</formatCode>
                <ptCount val="25"/>
                <pt idx="0">
                  <v>1789</v>
                </pt>
                <pt idx="1">
                  <v>1317</v>
                </pt>
                <pt idx="2">
                  <v>3612</v>
                </pt>
                <pt idx="3">
                  <v>2506</v>
                </pt>
                <pt idx="4">
                  <v>2966</v>
                </pt>
                <pt idx="5">
                  <v>2419</v>
                </pt>
                <pt idx="6">
                  <v>2685</v>
                </pt>
                <pt idx="7">
                  <v>2326</v>
                </pt>
                <pt idx="8">
                  <v>2163</v>
                </pt>
                <pt idx="9">
                  <v>2191</v>
                </pt>
                <pt idx="10">
                  <v>1929</v>
                </pt>
                <pt idx="11">
                  <v>934</v>
                </pt>
                <pt idx="12">
                  <v>788</v>
                </pt>
                <pt idx="13">
                  <v>1323</v>
                </pt>
                <pt idx="14">
                  <v>1743</v>
                </pt>
                <pt idx="15">
                  <v>1977</v>
                </pt>
                <pt idx="16">
                  <v>1632</v>
                </pt>
                <pt idx="17">
                  <v>2204</v>
                </pt>
                <pt idx="18">
                  <v>2498</v>
                </pt>
                <pt idx="19">
                  <v>2603</v>
                </pt>
                <pt idx="20">
                  <v>1609</v>
                </pt>
                <pt idx="21">
                  <v>1494</v>
                </pt>
                <pt idx="22">
                  <v>1583</v>
                </pt>
                <pt idx="23">
                  <v>1458</v>
                </pt>
                <pt idx="24">
                  <v>2478</v>
                </pt>
              </numCache>
            </numRef>
          </val>
        </ser>
        <ser>
          <idx val="10"/>
          <order val="10"/>
          <tx>
            <strRef>
              <f>'Category Water Data'!$L$1</f>
              <strCache>
                <ptCount val="1"/>
                <pt idx="0">
                  <v>Lab Building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Data'!$L$49:$L$73</f>
              <numCache>
                <formatCode>General</formatCode>
                <ptCount val="25"/>
                <pt idx="0">
                  <v>3170</v>
                </pt>
                <pt idx="1">
                  <v>3167</v>
                </pt>
                <pt idx="2">
                  <v>3119</v>
                </pt>
                <pt idx="3">
                  <v>2856</v>
                </pt>
                <pt idx="4">
                  <v>2984</v>
                </pt>
                <pt idx="5">
                  <v>2680</v>
                </pt>
                <pt idx="6">
                  <v>3095</v>
                </pt>
                <pt idx="7">
                  <v>3287</v>
                </pt>
                <pt idx="8">
                  <v>3086</v>
                </pt>
                <pt idx="9">
                  <v>3015</v>
                </pt>
                <pt idx="10">
                  <v>3033</v>
                </pt>
                <pt idx="11">
                  <v>2162</v>
                </pt>
                <pt idx="12">
                  <v>3324</v>
                </pt>
                <pt idx="13">
                  <v>3561</v>
                </pt>
                <pt idx="14">
                  <v>3102</v>
                </pt>
                <pt idx="15">
                  <v>3864</v>
                </pt>
                <pt idx="16">
                  <v>3068</v>
                </pt>
                <pt idx="17">
                  <v>2668</v>
                </pt>
                <pt idx="18">
                  <v>2970</v>
                </pt>
                <pt idx="19">
                  <v>3007</v>
                </pt>
                <pt idx="20">
                  <v>2882</v>
                </pt>
                <pt idx="21">
                  <v>2709</v>
                </pt>
                <pt idx="22">
                  <v>3419</v>
                </pt>
                <pt idx="23">
                  <v>3098</v>
                </pt>
                <pt idx="24">
                  <v>2960</v>
                </pt>
              </numCache>
            </numRef>
          </val>
        </ser>
        <ser>
          <idx val="11"/>
          <order val="11"/>
          <tx>
            <strRef>
              <f>'Category Water Data'!$M$1</f>
              <strCache>
                <ptCount val="1"/>
                <pt idx="0">
                  <v>Shaw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'Category Water Data'!$A$49:$A$73</f>
              <numCache>
                <formatCode>mmm\-yy</formatCode>
                <ptCount val="25"/>
                <pt idx="0">
                  <v>44805</v>
                </pt>
                <pt idx="1">
                  <v>44835</v>
                </pt>
                <pt idx="2">
                  <v>44866</v>
                </pt>
                <pt idx="3">
                  <v>44896</v>
                </pt>
                <pt idx="4">
                  <v>44927</v>
                </pt>
                <pt idx="5">
                  <v>44958</v>
                </pt>
                <pt idx="6">
                  <v>44986</v>
                </pt>
                <pt idx="7">
                  <v>45017</v>
                </pt>
                <pt idx="8">
                  <v>45047</v>
                </pt>
                <pt idx="9">
                  <v>45078</v>
                </pt>
                <pt idx="10">
                  <v>45108</v>
                </pt>
                <pt idx="11">
                  <v>45139</v>
                </pt>
                <pt idx="12">
                  <v>45170</v>
                </pt>
                <pt idx="13">
                  <v>45200</v>
                </pt>
                <pt idx="14">
                  <v>45231</v>
                </pt>
                <pt idx="15">
                  <v>45261</v>
                </pt>
                <pt idx="16">
                  <v>45292</v>
                </pt>
                <pt idx="17">
                  <v>45323</v>
                </pt>
                <pt idx="18">
                  <v>45352</v>
                </pt>
                <pt idx="19">
                  <v>45383</v>
                </pt>
                <pt idx="20">
                  <v>45413</v>
                </pt>
                <pt idx="21">
                  <v>45444</v>
                </pt>
                <pt idx="22">
                  <v>45474</v>
                </pt>
                <pt idx="23">
                  <v>45505</v>
                </pt>
                <pt idx="24">
                  <v>45536</v>
                </pt>
              </numCache>
            </numRef>
          </cat>
          <val>
            <numRef>
              <f>'Category Water Data'!$M$49:$M$73</f>
              <numCache>
                <formatCode>General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14</v>
                </pt>
                <pt idx="18">
                  <v>24</v>
                </pt>
                <pt idx="19">
                  <v>25</v>
                </pt>
                <pt idx="20">
                  <v>20</v>
                </pt>
                <pt idx="21">
                  <v>11</v>
                </pt>
                <pt idx="22">
                  <v>12</v>
                </pt>
                <pt idx="23">
                  <v>14</v>
                </pt>
                <pt idx="24">
                  <v>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Waste and Recycling Generation (kg)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'Annual Report (Waste)'!$L$1</f>
              <strCache>
                <ptCount val="1"/>
                <pt idx="0">
                  <v xml:space="preserve">Landfill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(Waste)'!$L$2:$L$11</f>
              <numCache>
                <formatCode>#,##0</formatCode>
                <ptCount val="10"/>
                <pt idx="0">
                  <v>3322000</v>
                </pt>
                <pt idx="1">
                  <v>3187000</v>
                </pt>
                <pt idx="2">
                  <v>2961000</v>
                </pt>
                <pt idx="3">
                  <v>2902000</v>
                </pt>
                <pt idx="4">
                  <v>2323000</v>
                </pt>
                <pt idx="5">
                  <v>1790000</v>
                </pt>
                <pt idx="6">
                  <v>1440000</v>
                </pt>
                <pt idx="7">
                  <v>1575000</v>
                </pt>
                <pt idx="8">
                  <v>1828310</v>
                </pt>
                <pt idx="9">
                  <v>1752328.6</v>
                </pt>
              </numCache>
            </numRef>
          </val>
        </ser>
        <ser>
          <idx val="1"/>
          <order val="1"/>
          <tx>
            <strRef>
              <f>'Annual Report (Waste)'!$K$1</f>
              <strCache>
                <ptCount val="1"/>
                <pt idx="0">
                  <v>Other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(Waste)'!$K$2:$K$11</f>
              <numCache>
                <formatCode>#,##0.00</formatCode>
                <ptCount val="10"/>
                <pt idx="0">
                  <v>5568.660999999993</v>
                </pt>
                <pt idx="1">
                  <v>6179.601999999999</v>
                </pt>
                <pt idx="2">
                  <v>8734.442999999912</v>
                </pt>
                <pt idx="3">
                  <v>8559.494000000064</v>
                </pt>
                <pt idx="4">
                  <v>6606.660000000033</v>
                </pt>
                <pt idx="5">
                  <v>3948.445000000065</v>
                </pt>
                <pt idx="6">
                  <v>4471.929</v>
                </pt>
                <pt idx="7">
                  <v>5233.868</v>
                </pt>
                <pt idx="8">
                  <v>15289</v>
                </pt>
                <pt idx="9">
                  <v>16662.4</v>
                </pt>
              </numCache>
            </numRef>
          </val>
        </ser>
        <ser>
          <idx val="2"/>
          <order val="2"/>
          <tx>
            <strRef>
              <f>'Annual Report (Waste)'!$J$1</f>
              <strCache>
                <ptCount val="1"/>
                <pt idx="0">
                  <v>Electrical Appliances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(Waste)'!$J$2:$J$11</f>
              <numCache>
                <formatCode>#,##0</formatCode>
                <ptCount val="10"/>
                <pt idx="0">
                  <v>10000</v>
                </pt>
                <pt idx="1">
                  <v>18400</v>
                </pt>
                <pt idx="2">
                  <v>28600</v>
                </pt>
                <pt idx="3">
                  <v>16200</v>
                </pt>
                <pt idx="4">
                  <v>4456</v>
                </pt>
                <pt idx="5">
                  <v>4373</v>
                </pt>
                <pt idx="6">
                  <v>4627</v>
                </pt>
                <pt idx="7">
                  <v>5621</v>
                </pt>
                <pt idx="8">
                  <v>3882</v>
                </pt>
                <pt idx="9">
                  <v>7093.1</v>
                </pt>
              </numCache>
            </numRef>
          </val>
        </ser>
        <ser>
          <idx val="3"/>
          <order val="3"/>
          <tx>
            <strRef>
              <f>'Annual Report (Waste)'!$I$1</f>
              <strCache>
                <ptCount val="1"/>
                <pt idx="0">
                  <v>Wood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(Waste)'!$I$2:$I$11</f>
              <numCache>
                <formatCode>#,##0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47870</v>
                </pt>
                <pt idx="4">
                  <v>91500</v>
                </pt>
                <pt idx="5">
                  <v>156900</v>
                </pt>
                <pt idx="6">
                  <v>156100</v>
                </pt>
                <pt idx="7">
                  <v>125058</v>
                </pt>
                <pt idx="8">
                  <v>162000</v>
                </pt>
                <pt idx="9">
                  <v>183000</v>
                </pt>
              </numCache>
            </numRef>
          </val>
        </ser>
        <ser>
          <idx val="4"/>
          <order val="4"/>
          <tx>
            <strRef>
              <f>'Annual Report (Waste)'!$H$1</f>
              <strCache>
                <ptCount val="1"/>
                <pt idx="0">
                  <v>Landscape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(Waste)'!$H$2:$H$11</f>
              <numCache>
                <formatCode>#,##0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21000</v>
                </pt>
                <pt idx="4">
                  <v>145000</v>
                </pt>
                <pt idx="5">
                  <v>210000</v>
                </pt>
                <pt idx="6">
                  <v>230500</v>
                </pt>
                <pt idx="7">
                  <v>343000</v>
                </pt>
                <pt idx="8">
                  <v>318500</v>
                </pt>
                <pt idx="9">
                  <v>177062</v>
                </pt>
              </numCache>
            </numRef>
          </val>
        </ser>
        <ser>
          <idx val="5"/>
          <order val="5"/>
          <tx>
            <strRef>
              <f>'Annual Report (Waste)'!$G$1</f>
              <strCache>
                <ptCount val="1"/>
                <pt idx="0">
                  <v>Animal Bedding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(Waste)'!$G$2:$G$11</f>
              <numCache>
                <formatCode>#,##0</formatCode>
                <ptCount val="10"/>
                <pt idx="0">
                  <v>0</v>
                </pt>
                <pt idx="1">
                  <v>0</v>
                </pt>
                <pt idx="2">
                  <v>128.5</v>
                </pt>
                <pt idx="3">
                  <v>0</v>
                </pt>
                <pt idx="4">
                  <v>46080</v>
                </pt>
                <pt idx="5">
                  <v>75520</v>
                </pt>
                <pt idx="6">
                  <v>59200</v>
                </pt>
                <pt idx="7">
                  <v>78400</v>
                </pt>
                <pt idx="8">
                  <v>80000</v>
                </pt>
                <pt idx="9">
                  <v>135941</v>
                </pt>
              </numCache>
            </numRef>
          </val>
        </ser>
        <ser>
          <idx val="6"/>
          <order val="6"/>
          <tx>
            <strRef>
              <f>'Annual Report (Waste)'!$F$1</f>
              <strCache>
                <ptCount val="1"/>
                <pt idx="0">
                  <v>Food Waste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(Waste)'!$F$2:$F$11</f>
              <numCache>
                <formatCode>#,##0.0</formatCode>
                <ptCount val="10"/>
                <pt idx="0">
                  <v>2851</v>
                </pt>
                <pt idx="1">
                  <v>7846.000000000001</v>
                </pt>
                <pt idx="2">
                  <v>185918</v>
                </pt>
                <pt idx="3">
                  <v>304749.9999999999</v>
                </pt>
                <pt idx="4">
                  <v>304621.45</v>
                </pt>
                <pt idx="5">
                  <v>268845.5</v>
                </pt>
                <pt idx="6">
                  <v>392921</v>
                </pt>
                <pt idx="7">
                  <v>389824</v>
                </pt>
                <pt idx="8">
                  <v>431763.1</v>
                </pt>
                <pt idx="9">
                  <v>409447.3</v>
                </pt>
              </numCache>
            </numRef>
          </val>
        </ser>
        <ser>
          <idx val="7"/>
          <order val="7"/>
          <tx>
            <strRef>
              <f>'Annual Report (Waste)'!$E$1</f>
              <strCache>
                <ptCount val="1"/>
                <pt idx="0">
                  <v>Glass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(Waste)'!$E$2:$E$11</f>
              <numCache>
                <formatCode>#,##0</formatCode>
                <ptCount val="10"/>
                <pt idx="0">
                  <v>11567</v>
                </pt>
                <pt idx="1">
                  <v>20945</v>
                </pt>
                <pt idx="2">
                  <v>22872</v>
                </pt>
                <pt idx="3">
                  <v>24517.99999999999</v>
                </pt>
                <pt idx="4">
                  <v>18298</v>
                </pt>
                <pt idx="5">
                  <v>12691</v>
                </pt>
                <pt idx="6">
                  <v>8395</v>
                </pt>
                <pt idx="7">
                  <v>6526</v>
                </pt>
                <pt idx="8">
                  <v>7874</v>
                </pt>
                <pt idx="9">
                  <v>8057</v>
                </pt>
              </numCache>
            </numRef>
          </val>
        </ser>
        <ser>
          <idx val="8"/>
          <order val="8"/>
          <tx>
            <strRef>
              <f>'Annual Report (Waste)'!$D$1</f>
              <strCache>
                <ptCount val="1"/>
                <pt idx="0">
                  <v>Plastic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(Waste)'!$D$2:$D$11</f>
              <numCache>
                <formatCode>#,##0.00</formatCode>
                <ptCount val="10"/>
                <pt idx="0">
                  <v>4940</v>
                </pt>
                <pt idx="1">
                  <v>5530</v>
                </pt>
                <pt idx="2">
                  <v>21117</v>
                </pt>
                <pt idx="3">
                  <v>11869.7</v>
                </pt>
                <pt idx="4">
                  <v>10285.75</v>
                </pt>
                <pt idx="5">
                  <v>5562.75</v>
                </pt>
                <pt idx="6">
                  <v>6493</v>
                </pt>
                <pt idx="7">
                  <v>4504</v>
                </pt>
                <pt idx="8">
                  <v>3534.4</v>
                </pt>
                <pt idx="9">
                  <v>4561.150000000001</v>
                </pt>
              </numCache>
            </numRef>
          </val>
        </ser>
        <ser>
          <idx val="9"/>
          <order val="9"/>
          <tx>
            <strRef>
              <f>'Annual Report (Waste)'!$C$1</f>
              <strCache>
                <ptCount val="1"/>
                <pt idx="0">
                  <v>Metal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(Waste)'!$C$2:$C$11</f>
              <numCache>
                <formatCode>#,##0</formatCode>
                <ptCount val="10"/>
                <pt idx="0">
                  <v>2370</v>
                </pt>
                <pt idx="1">
                  <v>2020</v>
                </pt>
                <pt idx="2">
                  <v>2990</v>
                </pt>
                <pt idx="3">
                  <v>2850</v>
                </pt>
                <pt idx="4">
                  <v>2300</v>
                </pt>
                <pt idx="5">
                  <v>7251</v>
                </pt>
                <pt idx="6">
                  <v>10127</v>
                </pt>
                <pt idx="7">
                  <v>8474</v>
                </pt>
                <pt idx="8">
                  <v>10957</v>
                </pt>
                <pt idx="9">
                  <v>8584</v>
                </pt>
              </numCache>
            </numRef>
          </val>
        </ser>
        <ser>
          <idx val="10"/>
          <order val="10"/>
          <tx>
            <strRef>
              <f>'Annual Report (Waste)'!$B$1</f>
              <strCache>
                <ptCount val="1"/>
                <pt idx="0">
                  <v>Paper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(Waste)'!$A$2:$A$11</f>
              <strCache>
                <ptCount val="10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</strCache>
            </strRef>
          </cat>
          <val>
            <numRef>
              <f>'Annual Report (Waste)'!$B$2:$B$11</f>
              <numCache>
                <formatCode>#,##0.00</formatCode>
                <ptCount val="10"/>
                <pt idx="0">
                  <v>76830</v>
                </pt>
                <pt idx="1">
                  <v>73386.84999800001</v>
                </pt>
                <pt idx="2">
                  <v>126070.099999</v>
                </pt>
                <pt idx="3">
                  <v>128138.75</v>
                </pt>
                <pt idx="4">
                  <v>116432</v>
                </pt>
                <pt idx="5">
                  <v>152149.6</v>
                </pt>
                <pt idx="6">
                  <v>158697</v>
                </pt>
                <pt idx="7">
                  <v>153272</v>
                </pt>
                <pt idx="8">
                  <v>134937</v>
                </pt>
                <pt idx="9">
                  <v>148677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1808918256"/>
        <axId val="1789430864"/>
      </barChart>
      <catAx>
        <axId val="1808918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789430864"/>
        <crosses val="autoZero"/>
        <auto val="1"/>
        <lblAlgn val="ctr"/>
        <lblOffset val="100"/>
        <noMultiLvlLbl val="0"/>
      </catAx>
      <valAx>
        <axId val="1789430864"/>
        <scaling>
          <orientation val="minMax"/>
          <max val="35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808918256"/>
        <crosses val="autoZero"/>
        <crossBetween val="between"/>
        <dispUnits>
          <builtInUnit val="millions"/>
          <dispUnitsLbl>
            <tx>
              <rich>
                <a:bodyPr xmlns:a="http://schemas.openxmlformats.org/drawingml/2006/main" rot="-540000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 xml:space="preserve"> KG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rich>
            </tx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GB"/>
              </a:p>
            </txPr>
          </dispUnitsLbl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and Recycling Generation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'Annual Report (Waste)'!$L$1</f>
              <strCache>
                <ptCount val="1"/>
                <pt idx="0">
                  <v xml:space="preserve">Landfill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(Waste)'!$L$2:$L$12</f>
              <numCache>
                <formatCode>#,##0</formatCode>
                <ptCount val="11"/>
                <pt idx="0">
                  <v>3322000</v>
                </pt>
                <pt idx="1">
                  <v>3187000</v>
                </pt>
                <pt idx="2">
                  <v>2961000</v>
                </pt>
                <pt idx="3">
                  <v>2902000</v>
                </pt>
                <pt idx="4">
                  <v>2323000</v>
                </pt>
                <pt idx="5">
                  <v>1790000</v>
                </pt>
                <pt idx="6">
                  <v>1440000</v>
                </pt>
                <pt idx="7">
                  <v>1575000</v>
                </pt>
                <pt idx="8">
                  <v>1828310</v>
                </pt>
                <pt idx="9">
                  <v>1752328.6</v>
                </pt>
                <pt idx="10">
                  <v>1793997.6</v>
                </pt>
              </numCache>
            </numRef>
          </val>
        </ser>
        <ser>
          <idx val="1"/>
          <order val="1"/>
          <tx>
            <strRef>
              <f>'Annual Report (Waste)'!$K$1</f>
              <strCache>
                <ptCount val="1"/>
                <pt idx="0">
                  <v>Other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(Waste)'!$K$2:$K$12</f>
              <numCache>
                <formatCode>#,##0.00</formatCode>
                <ptCount val="11"/>
                <pt idx="0">
                  <v>5568.660999999993</v>
                </pt>
                <pt idx="1">
                  <v>6179.601999999999</v>
                </pt>
                <pt idx="2">
                  <v>8734.442999999912</v>
                </pt>
                <pt idx="3">
                  <v>8559.494000000064</v>
                </pt>
                <pt idx="4">
                  <v>6606.660000000033</v>
                </pt>
                <pt idx="5">
                  <v>3948.445000000065</v>
                </pt>
                <pt idx="6">
                  <v>4471.929</v>
                </pt>
                <pt idx="7">
                  <v>5233.868</v>
                </pt>
                <pt idx="8">
                  <v>15289</v>
                </pt>
                <pt idx="9">
                  <v>16662.4</v>
                </pt>
                <pt idx="10">
                  <v>15243.6</v>
                </pt>
              </numCache>
            </numRef>
          </val>
        </ser>
        <ser>
          <idx val="2"/>
          <order val="2"/>
          <tx>
            <strRef>
              <f>'Annual Report (Waste)'!$J$1</f>
              <strCache>
                <ptCount val="1"/>
                <pt idx="0">
                  <v>Electrical Appliances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(Waste)'!$J$2:$J$12</f>
              <numCache>
                <formatCode>#,##0</formatCode>
                <ptCount val="11"/>
                <pt idx="0">
                  <v>10000</v>
                </pt>
                <pt idx="1">
                  <v>18400</v>
                </pt>
                <pt idx="2">
                  <v>28600</v>
                </pt>
                <pt idx="3">
                  <v>16200</v>
                </pt>
                <pt idx="4">
                  <v>4456</v>
                </pt>
                <pt idx="5">
                  <v>4373</v>
                </pt>
                <pt idx="6">
                  <v>4627</v>
                </pt>
                <pt idx="7">
                  <v>5621</v>
                </pt>
                <pt idx="8">
                  <v>3882</v>
                </pt>
                <pt idx="9">
                  <v>7093.1</v>
                </pt>
                <pt idx="10">
                  <v>8654.5</v>
                </pt>
              </numCache>
            </numRef>
          </val>
        </ser>
        <ser>
          <idx val="3"/>
          <order val="3"/>
          <tx>
            <strRef>
              <f>'Annual Report (Waste)'!$I$1</f>
              <strCache>
                <ptCount val="1"/>
                <pt idx="0">
                  <v>Wood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(Waste)'!$I$2:$I$12</f>
              <numCache>
                <formatCode>#,##0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47870</v>
                </pt>
                <pt idx="4">
                  <v>91500</v>
                </pt>
                <pt idx="5">
                  <v>156900</v>
                </pt>
                <pt idx="6">
                  <v>156100</v>
                </pt>
                <pt idx="7">
                  <v>125058</v>
                </pt>
                <pt idx="8">
                  <v>162000</v>
                </pt>
                <pt idx="9">
                  <v>183000</v>
                </pt>
                <pt idx="10">
                  <v>189000</v>
                </pt>
              </numCache>
            </numRef>
          </val>
        </ser>
        <ser>
          <idx val="4"/>
          <order val="4"/>
          <tx>
            <strRef>
              <f>'Annual Report (Waste)'!$H$1</f>
              <strCache>
                <ptCount val="1"/>
                <pt idx="0">
                  <v>Landscape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(Waste)'!$H$2:$H$12</f>
              <numCache>
                <formatCode>#,##0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21000</v>
                </pt>
                <pt idx="4">
                  <v>145000</v>
                </pt>
                <pt idx="5">
                  <v>210000</v>
                </pt>
                <pt idx="6">
                  <v>230500</v>
                </pt>
                <pt idx="7">
                  <v>343000</v>
                </pt>
                <pt idx="8">
                  <v>318500</v>
                </pt>
                <pt idx="9">
                  <v>177062</v>
                </pt>
                <pt idx="10">
                  <v>163926</v>
                </pt>
              </numCache>
            </numRef>
          </val>
        </ser>
        <ser>
          <idx val="5"/>
          <order val="5"/>
          <tx>
            <strRef>
              <f>'Annual Report (Waste)'!$G$1</f>
              <strCache>
                <ptCount val="1"/>
                <pt idx="0">
                  <v>Animal Bedding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(Waste)'!$G$2:$G$12</f>
              <numCache>
                <formatCode>#,##0</formatCode>
                <ptCount val="11"/>
                <pt idx="0">
                  <v>0</v>
                </pt>
                <pt idx="1">
                  <v>0</v>
                </pt>
                <pt idx="2">
                  <v>128.5</v>
                </pt>
                <pt idx="3">
                  <v>0</v>
                </pt>
                <pt idx="4">
                  <v>46080</v>
                </pt>
                <pt idx="5">
                  <v>75520</v>
                </pt>
                <pt idx="6">
                  <v>59200</v>
                </pt>
                <pt idx="7">
                  <v>78400</v>
                </pt>
                <pt idx="8">
                  <v>80000</v>
                </pt>
                <pt idx="9">
                  <v>135941</v>
                </pt>
                <pt idx="10">
                  <v>74338</v>
                </pt>
              </numCache>
            </numRef>
          </val>
        </ser>
        <ser>
          <idx val="6"/>
          <order val="6"/>
          <tx>
            <strRef>
              <f>'Annual Report (Waste)'!$F$1</f>
              <strCache>
                <ptCount val="1"/>
                <pt idx="0">
                  <v>Food Waste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(Waste)'!$F$2:$F$12</f>
              <numCache>
                <formatCode>#,##0.0</formatCode>
                <ptCount val="11"/>
                <pt idx="0">
                  <v>2851</v>
                </pt>
                <pt idx="1">
                  <v>7846.000000000001</v>
                </pt>
                <pt idx="2">
                  <v>185918</v>
                </pt>
                <pt idx="3">
                  <v>304749.9999999999</v>
                </pt>
                <pt idx="4">
                  <v>304621.45</v>
                </pt>
                <pt idx="5">
                  <v>268845.5</v>
                </pt>
                <pt idx="6">
                  <v>392921</v>
                </pt>
                <pt idx="7">
                  <v>389824</v>
                </pt>
                <pt idx="8">
                  <v>431763.1</v>
                </pt>
                <pt idx="9">
                  <v>409447.3</v>
                </pt>
                <pt idx="10">
                  <v>502530.9</v>
                </pt>
              </numCache>
            </numRef>
          </val>
        </ser>
        <ser>
          <idx val="7"/>
          <order val="7"/>
          <tx>
            <strRef>
              <f>'Annual Report (Waste)'!$E$1</f>
              <strCache>
                <ptCount val="1"/>
                <pt idx="0">
                  <v>Glass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(Waste)'!$E$2:$E$12</f>
              <numCache>
                <formatCode>#,##0</formatCode>
                <ptCount val="11"/>
                <pt idx="0">
                  <v>11567</v>
                </pt>
                <pt idx="1">
                  <v>20945</v>
                </pt>
                <pt idx="2">
                  <v>22872</v>
                </pt>
                <pt idx="3">
                  <v>24517.99999999999</v>
                </pt>
                <pt idx="4">
                  <v>18298</v>
                </pt>
                <pt idx="5">
                  <v>12691</v>
                </pt>
                <pt idx="6">
                  <v>8395</v>
                </pt>
                <pt idx="7">
                  <v>6526</v>
                </pt>
                <pt idx="8">
                  <v>7874</v>
                </pt>
                <pt idx="9">
                  <v>8057</v>
                </pt>
                <pt idx="10">
                  <v>6040.8</v>
                </pt>
              </numCache>
            </numRef>
          </val>
        </ser>
        <ser>
          <idx val="8"/>
          <order val="8"/>
          <tx>
            <strRef>
              <f>'Annual Report (Waste)'!$D$1</f>
              <strCache>
                <ptCount val="1"/>
                <pt idx="0">
                  <v>Plastic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(Waste)'!$D$2:$D$12</f>
              <numCache>
                <formatCode>#,##0.00</formatCode>
                <ptCount val="11"/>
                <pt idx="0">
                  <v>4940</v>
                </pt>
                <pt idx="1">
                  <v>5530</v>
                </pt>
                <pt idx="2">
                  <v>21117</v>
                </pt>
                <pt idx="3">
                  <v>11869.7</v>
                </pt>
                <pt idx="4">
                  <v>10285.75</v>
                </pt>
                <pt idx="5">
                  <v>5562.75</v>
                </pt>
                <pt idx="6">
                  <v>6493</v>
                </pt>
                <pt idx="7">
                  <v>4504</v>
                </pt>
                <pt idx="8">
                  <v>3534.4</v>
                </pt>
                <pt idx="9">
                  <v>4561.150000000001</v>
                </pt>
                <pt idx="10">
                  <v>5551</v>
                </pt>
              </numCache>
            </numRef>
          </val>
        </ser>
        <ser>
          <idx val="9"/>
          <order val="9"/>
          <tx>
            <strRef>
              <f>'Annual Report (Waste)'!$C$1</f>
              <strCache>
                <ptCount val="1"/>
                <pt idx="0">
                  <v>Metal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(Waste)'!$C$2:$C$12</f>
              <numCache>
                <formatCode>#,##0</formatCode>
                <ptCount val="11"/>
                <pt idx="0">
                  <v>2370</v>
                </pt>
                <pt idx="1">
                  <v>2020</v>
                </pt>
                <pt idx="2">
                  <v>2990</v>
                </pt>
                <pt idx="3">
                  <v>2850</v>
                </pt>
                <pt idx="4">
                  <v>2300</v>
                </pt>
                <pt idx="5">
                  <v>7251</v>
                </pt>
                <pt idx="6">
                  <v>10127</v>
                </pt>
                <pt idx="7">
                  <v>8474</v>
                </pt>
                <pt idx="8">
                  <v>10957</v>
                </pt>
                <pt idx="9">
                  <v>8584</v>
                </pt>
                <pt idx="10">
                  <v>10331</v>
                </pt>
              </numCache>
            </numRef>
          </val>
        </ser>
        <ser>
          <idx val="10"/>
          <order val="10"/>
          <tx>
            <strRef>
              <f>'Annual Report (Waste)'!$B$1</f>
              <strCache>
                <ptCount val="1"/>
                <pt idx="0">
                  <v>Paper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(Waste)'!$B$2:$B$12</f>
              <numCache>
                <formatCode>#,##0.00</formatCode>
                <ptCount val="11"/>
                <pt idx="0">
                  <v>76830</v>
                </pt>
                <pt idx="1">
                  <v>73386.84999800001</v>
                </pt>
                <pt idx="2">
                  <v>126070.099999</v>
                </pt>
                <pt idx="3">
                  <v>128138.75</v>
                </pt>
                <pt idx="4">
                  <v>116432</v>
                </pt>
                <pt idx="5">
                  <v>152149.6</v>
                </pt>
                <pt idx="6">
                  <v>158697</v>
                </pt>
                <pt idx="7">
                  <v>153272</v>
                </pt>
                <pt idx="8">
                  <v>134937</v>
                </pt>
                <pt idx="9">
                  <v>148677</v>
                </pt>
                <pt idx="10">
                  <v>159850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574443823"/>
        <axId val="877418496"/>
      </barChart>
      <lineChart>
        <grouping val="standard"/>
        <varyColors val="0"/>
        <ser>
          <idx val="11"/>
          <order val="0"/>
          <tx>
            <strRef>
              <f>'Annual Report (Waste)'!$P$1</f>
              <strCache>
                <ptCount val="1"/>
                <pt idx="0">
                  <v>Landfill per capita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</a:ln>
            </spPr>
          </marker>
          <dLbls>
            <spPr>
              <a:solidFill xmlns:a="http://schemas.openxmlformats.org/drawingml/2006/main">
                <a:schemeClr val="bg1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 Report (Waste)'!$A$2:$A$12</f>
              <strCache>
                <ptCount val="11"/>
                <pt idx="0">
                  <v>2014/15</v>
                </pt>
                <pt idx="1">
                  <v>2015/16</v>
                </pt>
                <pt idx="2">
                  <v>2016/17</v>
                </pt>
                <pt idx="3">
                  <v>2017/18</v>
                </pt>
                <pt idx="4">
                  <v>2018/19</v>
                </pt>
                <pt idx="5">
                  <v>2019/20</v>
                </pt>
                <pt idx="6">
                  <v>2020/21</v>
                </pt>
                <pt idx="7">
                  <v>2021/22</v>
                </pt>
                <pt idx="8">
                  <v>2022/23</v>
                </pt>
                <pt idx="9">
                  <v>2023/24</v>
                </pt>
                <pt idx="10">
                  <v>2024/25</v>
                </pt>
              </strCache>
            </strRef>
          </cat>
          <val>
            <numRef>
              <f>'Annual Report (Waste)'!$P$2:$P$12</f>
              <numCache>
                <formatCode>#,##0</formatCode>
                <ptCount val="11"/>
                <pt idx="0">
                  <v>203.3047735618115</v>
                </pt>
                <pt idx="1">
                  <v>191.7453823476325</v>
                </pt>
                <pt idx="2">
                  <v>171.1610162143415</v>
                </pt>
                <pt idx="3">
                  <v>161.9103411722041</v>
                </pt>
                <pt idx="4">
                  <v>125.5099008563633</v>
                </pt>
                <pt idx="5">
                  <v>101.2500707053566</v>
                </pt>
                <pt idx="6">
                  <v>73.03342293452351</v>
                </pt>
                <pt idx="7">
                  <v>76.66845154067079</v>
                </pt>
                <pt idx="8">
                  <v>85.04954179652975</v>
                </pt>
                <pt idx="9">
                  <v>79.04409761378501</v>
                </pt>
                <pt idx="10">
                  <v>75.13496670435985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7208015"/>
        <axId val="1917205119"/>
      </lineChart>
      <catAx>
        <axId val="5744438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877418496"/>
        <crosses val="autoZero"/>
        <auto val="1"/>
        <lblAlgn val="ctr"/>
        <lblOffset val="100"/>
        <noMultiLvlLbl val="0"/>
      </catAx>
      <valAx>
        <axId val="877418496"/>
        <scaling>
          <orientation val="minMax"/>
          <max val="375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Tonnes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574443823"/>
        <crosses val="autoZero"/>
        <crossBetween val="between"/>
        <dispUnits>
          <builtInUnit val="thousands"/>
        </dispUnits>
      </valAx>
      <catAx>
        <axId val="191720801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917205119"/>
        <crosses val="autoZero"/>
        <auto val="1"/>
        <lblAlgn val="ctr"/>
        <lblOffset val="100"/>
        <noMultiLvlLbl val="0"/>
      </catAx>
      <valAx>
        <axId val="1917205119"/>
        <scaling>
          <orientation val="minMax"/>
          <max val="225"/>
          <min val="0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Landfill Waste kg/capita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91720801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Average (formatted until Jun-24)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'Half-Year Report (Waste)'!$A$13:$A$130</f>
              <numCache>
                <formatCode>mmm\-yy</formatCode>
                <ptCount val="118"/>
                <pt idx="0">
                  <v>41791</v>
                </pt>
                <pt idx="1">
                  <v>41821</v>
                </pt>
                <pt idx="2">
                  <v>41852</v>
                </pt>
                <pt idx="3">
                  <v>41883</v>
                </pt>
                <pt idx="4">
                  <v>41913</v>
                </pt>
                <pt idx="5">
                  <v>41944</v>
                </pt>
                <pt idx="6">
                  <v>41974</v>
                </pt>
                <pt idx="7">
                  <v>42005</v>
                </pt>
                <pt idx="8">
                  <v>42036</v>
                </pt>
                <pt idx="9">
                  <v>42064</v>
                </pt>
                <pt idx="10">
                  <v>42095</v>
                </pt>
                <pt idx="11">
                  <v>42125</v>
                </pt>
                <pt idx="12">
                  <v>42156</v>
                </pt>
                <pt idx="13">
                  <v>42186</v>
                </pt>
                <pt idx="14">
                  <v>42217</v>
                </pt>
                <pt idx="15">
                  <v>42248</v>
                </pt>
                <pt idx="16">
                  <v>42278</v>
                </pt>
                <pt idx="17">
                  <v>42309</v>
                </pt>
                <pt idx="18">
                  <v>42339</v>
                </pt>
                <pt idx="19">
                  <v>42370</v>
                </pt>
                <pt idx="20">
                  <v>42401</v>
                </pt>
                <pt idx="21">
                  <v>42430</v>
                </pt>
                <pt idx="22">
                  <v>42461</v>
                </pt>
                <pt idx="23">
                  <v>42491</v>
                </pt>
                <pt idx="24">
                  <v>42522</v>
                </pt>
                <pt idx="25">
                  <v>42552</v>
                </pt>
                <pt idx="26">
                  <v>42583</v>
                </pt>
                <pt idx="27">
                  <v>42614</v>
                </pt>
                <pt idx="28">
                  <v>42644</v>
                </pt>
                <pt idx="29">
                  <v>42675</v>
                </pt>
                <pt idx="30">
                  <v>42705</v>
                </pt>
                <pt idx="31">
                  <v>42736</v>
                </pt>
                <pt idx="32">
                  <v>42767</v>
                </pt>
                <pt idx="33">
                  <v>42795</v>
                </pt>
                <pt idx="34">
                  <v>42826</v>
                </pt>
                <pt idx="35">
                  <v>42856</v>
                </pt>
                <pt idx="36">
                  <v>42887</v>
                </pt>
                <pt idx="37">
                  <v>42917</v>
                </pt>
                <pt idx="38">
                  <v>42948</v>
                </pt>
                <pt idx="39">
                  <v>42979</v>
                </pt>
                <pt idx="40">
                  <v>43009</v>
                </pt>
                <pt idx="41">
                  <v>43040</v>
                </pt>
                <pt idx="42">
                  <v>43070</v>
                </pt>
                <pt idx="43">
                  <v>43101</v>
                </pt>
                <pt idx="44">
                  <v>43132</v>
                </pt>
                <pt idx="45">
                  <v>43160</v>
                </pt>
                <pt idx="46">
                  <v>43191</v>
                </pt>
                <pt idx="47">
                  <v>43221</v>
                </pt>
                <pt idx="48">
                  <v>43252</v>
                </pt>
                <pt idx="49">
                  <v>43282</v>
                </pt>
                <pt idx="50">
                  <v>43313</v>
                </pt>
                <pt idx="51">
                  <v>43344</v>
                </pt>
                <pt idx="52">
                  <v>43374</v>
                </pt>
                <pt idx="53">
                  <v>43405</v>
                </pt>
                <pt idx="54">
                  <v>43435</v>
                </pt>
                <pt idx="55">
                  <v>43466</v>
                </pt>
                <pt idx="56">
                  <v>43497</v>
                </pt>
                <pt idx="57">
                  <v>43525</v>
                </pt>
                <pt idx="58">
                  <v>43556</v>
                </pt>
                <pt idx="59">
                  <v>43586</v>
                </pt>
                <pt idx="60">
                  <v>43617</v>
                </pt>
                <pt idx="61">
                  <v>43647</v>
                </pt>
                <pt idx="62">
                  <v>43678</v>
                </pt>
                <pt idx="63">
                  <v>43709</v>
                </pt>
                <pt idx="64">
                  <v>43739</v>
                </pt>
                <pt idx="65">
                  <v>43770</v>
                </pt>
                <pt idx="66">
                  <v>43800</v>
                </pt>
                <pt idx="67">
                  <v>43831</v>
                </pt>
                <pt idx="68">
                  <v>43862</v>
                </pt>
                <pt idx="69">
                  <v>43891</v>
                </pt>
                <pt idx="70">
                  <v>43922</v>
                </pt>
                <pt idx="71">
                  <v>43952</v>
                </pt>
                <pt idx="72">
                  <v>43983</v>
                </pt>
                <pt idx="73">
                  <v>44013</v>
                </pt>
                <pt idx="74">
                  <v>44044</v>
                </pt>
                <pt idx="75">
                  <v>44075</v>
                </pt>
                <pt idx="76">
                  <v>44105</v>
                </pt>
                <pt idx="77">
                  <v>44136</v>
                </pt>
                <pt idx="78">
                  <v>44166</v>
                </pt>
                <pt idx="79">
                  <v>44197</v>
                </pt>
                <pt idx="80">
                  <v>44228</v>
                </pt>
                <pt idx="81">
                  <v>44256</v>
                </pt>
                <pt idx="82">
                  <v>44287</v>
                </pt>
                <pt idx="83">
                  <v>44317</v>
                </pt>
                <pt idx="84">
                  <v>44348</v>
                </pt>
                <pt idx="85">
                  <v>44378</v>
                </pt>
                <pt idx="86">
                  <v>44409</v>
                </pt>
                <pt idx="87">
                  <v>44440</v>
                </pt>
                <pt idx="88">
                  <v>44470</v>
                </pt>
                <pt idx="89">
                  <v>44501</v>
                </pt>
                <pt idx="90">
                  <v>44531</v>
                </pt>
                <pt idx="91">
                  <v>44562</v>
                </pt>
                <pt idx="92">
                  <v>44593</v>
                </pt>
                <pt idx="93">
                  <v>44621</v>
                </pt>
                <pt idx="94">
                  <v>44652</v>
                </pt>
                <pt idx="95">
                  <v>44682</v>
                </pt>
                <pt idx="96">
                  <v>44713</v>
                </pt>
                <pt idx="97">
                  <v>44743</v>
                </pt>
                <pt idx="98">
                  <v>44774</v>
                </pt>
                <pt idx="99">
                  <v>44805</v>
                </pt>
                <pt idx="100">
                  <v>44835</v>
                </pt>
                <pt idx="101">
                  <v>44866</v>
                </pt>
                <pt idx="102">
                  <v>44896</v>
                </pt>
                <pt idx="103">
                  <v>44927</v>
                </pt>
                <pt idx="104">
                  <v>44958</v>
                </pt>
                <pt idx="105">
                  <v>44986</v>
                </pt>
                <pt idx="106">
                  <v>45017</v>
                </pt>
                <pt idx="107">
                  <v>45047</v>
                </pt>
                <pt idx="108">
                  <v>45078</v>
                </pt>
                <pt idx="109">
                  <v>45108</v>
                </pt>
                <pt idx="110">
                  <v>45139</v>
                </pt>
                <pt idx="111">
                  <v>45170</v>
                </pt>
                <pt idx="112">
                  <v>45200</v>
                </pt>
                <pt idx="113">
                  <v>45231</v>
                </pt>
                <pt idx="114">
                  <v>45261</v>
                </pt>
                <pt idx="115">
                  <v>45292</v>
                </pt>
                <pt idx="116">
                  <v>45323</v>
                </pt>
                <pt idx="117">
                  <v>45352</v>
                </pt>
              </numCache>
            </numRef>
          </cat>
          <val>
            <numRef>
              <f>'Half-Year Report (Waste)'!$F$13:$F$130</f>
              <numCache>
                <formatCode>#,##0.00</formatCode>
                <ptCount val="118"/>
                <pt idx="0">
                  <v>276791.6666666667</v>
                </pt>
                <pt idx="1">
                  <v>276791.6666666667</v>
                </pt>
                <pt idx="2">
                  <v>276791.6666666667</v>
                </pt>
                <pt idx="3">
                  <v>276791.6666666667</v>
                </pt>
                <pt idx="4">
                  <v>276791.6666666667</v>
                </pt>
                <pt idx="5">
                  <v>276791.6666666667</v>
                </pt>
                <pt idx="6">
                  <v>276791.6666666667</v>
                </pt>
                <pt idx="7">
                  <v>276791.6666666667</v>
                </pt>
                <pt idx="8">
                  <v>276791.6666666667</v>
                </pt>
                <pt idx="9">
                  <v>276791.6666666667</v>
                </pt>
                <pt idx="10">
                  <v>276791.6666666667</v>
                </pt>
                <pt idx="11">
                  <v>276791.6666666667</v>
                </pt>
                <pt idx="12">
                  <v>276791.6666666667</v>
                </pt>
                <pt idx="13">
                  <v>272565.8333333333</v>
                </pt>
                <pt idx="14">
                  <v>272519.1666666667</v>
                </pt>
                <pt idx="15">
                  <v>272509.1666666667</v>
                </pt>
                <pt idx="16">
                  <v>272417.5</v>
                </pt>
                <pt idx="17">
                  <v>272525</v>
                </pt>
                <pt idx="18">
                  <v>271340</v>
                </pt>
                <pt idx="19">
                  <v>270315</v>
                </pt>
                <pt idx="20">
                  <v>269123.3333333333</v>
                </pt>
                <pt idx="21">
                  <v>267555.8333333333</v>
                </pt>
                <pt idx="22">
                  <v>266480.8333333333</v>
                </pt>
                <pt idx="23">
                  <v>266245.8333333333</v>
                </pt>
                <pt idx="24">
                  <v>265604.1666666667</v>
                </pt>
                <pt idx="25">
                  <v>265546.6666666667</v>
                </pt>
                <pt idx="26">
                  <v>262866.6666666667</v>
                </pt>
                <pt idx="27">
                  <v>261930.8333333333</v>
                </pt>
                <pt idx="28">
                  <v>260089.1666666667</v>
                </pt>
                <pt idx="29">
                  <v>259119.1666666667</v>
                </pt>
                <pt idx="30">
                  <v>257413.3333333333</v>
                </pt>
                <pt idx="31">
                  <v>253891.6666666667</v>
                </pt>
                <pt idx="32">
                  <v>254188.3333333333</v>
                </pt>
                <pt idx="33">
                  <v>253178.3333333333</v>
                </pt>
                <pt idx="34">
                  <v>251170</v>
                </pt>
                <pt idx="35">
                  <v>247541.6666666667</v>
                </pt>
                <pt idx="36">
                  <v>246776.6666666667</v>
                </pt>
                <pt idx="37">
                  <v>246349.1666666667</v>
                </pt>
                <pt idx="38">
                  <v>246753.3333333333</v>
                </pt>
                <pt idx="39">
                  <v>246615</v>
                </pt>
                <pt idx="40">
                  <v>247643.3333333333</v>
                </pt>
                <pt idx="41">
                  <v>250098.3333333333</v>
                </pt>
                <pt idx="42">
                  <v>249228.3333333333</v>
                </pt>
                <pt idx="43">
                  <v>253544.1666666667</v>
                </pt>
                <pt idx="44">
                  <v>251625.8333333333</v>
                </pt>
                <pt idx="45">
                  <v>250420.8333333333</v>
                </pt>
                <pt idx="46">
                  <v>247664.1666666667</v>
                </pt>
                <pt idx="47">
                  <v>245491.6666666667</v>
                </pt>
                <pt idx="48">
                  <v>241889.1666666667</v>
                </pt>
                <pt idx="49">
                  <v>241063.3333333333</v>
                </pt>
                <pt idx="50">
                  <v>237046.6666666667</v>
                </pt>
                <pt idx="51">
                  <v>231776.6666666667</v>
                </pt>
                <pt idx="52">
                  <v>226315</v>
                </pt>
                <pt idx="53">
                  <v>221452.5</v>
                </pt>
                <pt idx="54">
                  <v>221217.5</v>
                </pt>
                <pt idx="55">
                  <v>212074.1885666667</v>
                </pt>
                <pt idx="56">
                  <v>206924.5154333333</v>
                </pt>
                <pt idx="57">
                  <v>201922.2773166666</v>
                </pt>
                <pt idx="58">
                  <v>197372.081025</v>
                </pt>
                <pt idx="59">
                  <v>195233.1956916667</v>
                </pt>
                <pt idx="60">
                  <v>193603.8910833333</v>
                </pt>
                <pt idx="61">
                  <v>190633.8910833333</v>
                </pt>
                <pt idx="62">
                  <v>190324.7244166667</v>
                </pt>
                <pt idx="63">
                  <v>190713.8910833333</v>
                </pt>
                <pt idx="64">
                  <v>189659.7244166667</v>
                </pt>
                <pt idx="65">
                  <v>183155.55775</v>
                </pt>
                <pt idx="66">
                  <v>177885.55775</v>
                </pt>
                <pt idx="67">
                  <v>173298.8691833333</v>
                </pt>
                <pt idx="68">
                  <v>167105.2089833333</v>
                </pt>
                <pt idx="69">
                  <v>160555.7804333333</v>
                </pt>
                <pt idx="70">
                  <v>156744.3100583333</v>
                </pt>
                <pt idx="71">
                  <v>153270.6953916667</v>
                </pt>
                <pt idx="72">
                  <v>149170</v>
                </pt>
                <pt idx="73">
                  <v>144584.1666666667</v>
                </pt>
                <pt idx="74">
                  <v>137998.3333333333</v>
                </pt>
                <pt idx="75">
                  <v>132040.8333333333</v>
                </pt>
                <pt idx="76">
                  <v>125823.3333333333</v>
                </pt>
                <pt idx="77">
                  <v>122945.8333333333</v>
                </pt>
                <pt idx="78">
                  <v>118033.3333333333</v>
                </pt>
                <pt idx="79">
                  <v>116975</v>
                </pt>
                <pt idx="80">
                  <v>118900.8333333333</v>
                </pt>
                <pt idx="81">
                  <v>121431.6666666667</v>
                </pt>
                <pt idx="82">
                  <v>123168.3333333333</v>
                </pt>
                <pt idx="83">
                  <v>122713.3333333333</v>
                </pt>
                <pt idx="84">
                  <v>119968.3333333333</v>
                </pt>
                <pt idx="85">
                  <v>119363.3333333333</v>
                </pt>
                <pt idx="86">
                  <v>120107.5</v>
                </pt>
                <pt idx="87">
                  <v>122154.1666666667</v>
                </pt>
                <pt idx="88">
                  <v>124248.3333333333</v>
                </pt>
                <pt idx="89">
                  <v>126217.5</v>
                </pt>
                <pt idx="90">
                  <v>128861.4166666667</v>
                </pt>
                <pt idx="91">
                  <v>132373.9166666667</v>
                </pt>
                <pt idx="92">
                  <v>132568.0833333333</v>
                </pt>
                <pt idx="93">
                  <v>131219.75</v>
                </pt>
                <pt idx="94">
                  <v>130074.75</v>
                </pt>
                <pt idx="95">
                  <v>129401.4166666667</v>
                </pt>
                <pt idx="96">
                  <v>131232.25</v>
                </pt>
                <pt idx="97">
                  <v>132573.9166666667</v>
                </pt>
                <pt idx="98">
                  <v>133438.9166666667</v>
                </pt>
                <pt idx="99">
                  <v>134994.75</v>
                </pt>
                <pt idx="100">
                  <v>137035.5833333333</v>
                </pt>
                <pt idx="101">
                  <v>138872.25</v>
                </pt>
                <pt idx="102">
                  <v>139735</v>
                </pt>
                <pt idx="103">
                  <v>138080</v>
                </pt>
                <pt idx="104">
                  <v>141554.1666666667</v>
                </pt>
                <pt idx="105">
                  <v>146355</v>
                </pt>
                <pt idx="106">
                  <v>149672.5</v>
                </pt>
                <pt idx="107">
                  <v>151605</v>
                </pt>
                <pt idx="108">
                  <v>152359.1666666667</v>
                </pt>
                <pt idx="109">
                  <v>152596.6666666667</v>
                </pt>
                <pt idx="110">
                  <v>153471.6666666667</v>
                </pt>
                <pt idx="111">
                  <v>152198.3333333333</v>
                </pt>
                <pt idx="112">
                  <v>150834.1666666667</v>
                </pt>
                <pt idx="113">
                  <v>150118.5</v>
                </pt>
                <pt idx="114">
                  <v>149674.1666666667</v>
                </pt>
                <pt idx="115">
                  <v>150189</v>
                </pt>
                <pt idx="116">
                  <v>147769.825</v>
                </pt>
                <pt idx="117">
                  <v>145424.8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Distribution (Jul23-Dec23)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(Waste)'!$N$2</f>
              <strCache>
                <ptCount val="1"/>
                <pt idx="0">
                  <v>Jul-23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(Waste)'!$O$2:$T$2</f>
              <numCache>
                <formatCode>#,##0</formatCode>
                <ptCount val="6"/>
                <pt idx="0">
                  <v>136680</v>
                </pt>
                <pt idx="1">
                  <v>10929.5</v>
                </pt>
                <pt idx="2">
                  <v>20515</v>
                </pt>
                <pt idx="3">
                  <v>1356</v>
                </pt>
                <pt idx="4">
                  <v>23296.5</v>
                </pt>
                <pt idx="5">
                  <v>21670</v>
                </pt>
              </numCache>
            </numRef>
          </val>
        </ser>
        <ser>
          <idx val="1"/>
          <order val="1"/>
          <tx>
            <strRef>
              <f>'Half-Year Report (Waste)'!$N$3</f>
              <strCache>
                <ptCount val="1"/>
                <pt idx="0">
                  <v>Aug-23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(Waste)'!$O$3:$T$3</f>
              <numCache>
                <formatCode>#,##0</formatCode>
                <ptCount val="6"/>
                <pt idx="0">
                  <v>153100</v>
                </pt>
                <pt idx="1">
                  <v>11012.9</v>
                </pt>
                <pt idx="2">
                  <v>16872</v>
                </pt>
                <pt idx="3">
                  <v>1702.1</v>
                </pt>
                <pt idx="4">
                  <v>28190.5</v>
                </pt>
                <pt idx="5">
                  <v>27270</v>
                </pt>
              </numCache>
            </numRef>
          </val>
        </ser>
        <ser>
          <idx val="2"/>
          <order val="2"/>
          <tx>
            <strRef>
              <f>'Half-Year Report (Waste)'!$N$4</f>
              <strCache>
                <ptCount val="1"/>
                <pt idx="0">
                  <v>Sep-23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(Waste)'!$O$4:$T$4</f>
              <numCache>
                <formatCode>#,##0</formatCode>
                <ptCount val="6"/>
                <pt idx="0">
                  <v>157880</v>
                </pt>
                <pt idx="1">
                  <v>11439.75</v>
                </pt>
                <pt idx="2">
                  <v>17001</v>
                </pt>
                <pt idx="3">
                  <v>802.6</v>
                </pt>
                <pt idx="4">
                  <v>30387</v>
                </pt>
                <pt idx="5">
                  <v>48985</v>
                </pt>
              </numCache>
            </numRef>
          </val>
        </ser>
        <ser>
          <idx val="3"/>
          <order val="3"/>
          <tx>
            <strRef>
              <f>'Half-Year Report (Waste)'!$N$5</f>
              <strCache>
                <ptCount val="1"/>
                <pt idx="0">
                  <v>Oct-23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(Waste)'!$O$5:$T$5</f>
              <numCache>
                <formatCode>#,##0</formatCode>
                <ptCount val="6"/>
                <pt idx="0">
                  <v>151690</v>
                </pt>
                <pt idx="1">
                  <v>11646.6</v>
                </pt>
                <pt idx="2">
                  <v>16333</v>
                </pt>
                <pt idx="3">
                  <v>2023.5</v>
                </pt>
                <pt idx="4">
                  <v>30156.5</v>
                </pt>
                <pt idx="5">
                  <v>30475</v>
                </pt>
              </numCache>
            </numRef>
          </val>
        </ser>
        <ser>
          <idx val="4"/>
          <order val="4"/>
          <tx>
            <strRef>
              <f>'Half-Year Report (Waste)'!$N$6</f>
              <strCache>
                <ptCount val="1"/>
                <pt idx="0">
                  <v>Nov-23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(Waste)'!$O$6:$T$6</f>
              <numCache>
                <formatCode>#,##0</formatCode>
                <ptCount val="6"/>
                <pt idx="0">
                  <v>158262</v>
                </pt>
                <pt idx="1">
                  <v>13879.6</v>
                </pt>
                <pt idx="2">
                  <v>13952</v>
                </pt>
                <pt idx="3">
                  <v>1929.7</v>
                </pt>
                <pt idx="4">
                  <v>42615.9</v>
                </pt>
                <pt idx="5">
                  <v>23750</v>
                </pt>
              </numCache>
            </numRef>
          </val>
        </ser>
        <ser>
          <idx val="5"/>
          <order val="5"/>
          <tx>
            <strRef>
              <f>'Half-Year Report (Waste)'!$N$7</f>
              <strCache>
                <ptCount val="1"/>
                <pt idx="0">
                  <v>Dec-23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(Waste)'!$O$7:$T$7</f>
              <numCache>
                <formatCode>#,##0</formatCode>
                <ptCount val="6"/>
                <pt idx="0">
                  <v>148708</v>
                </pt>
                <pt idx="1">
                  <v>13838.8</v>
                </pt>
                <pt idx="2">
                  <v>17142</v>
                </pt>
                <pt idx="3">
                  <v>2321</v>
                </pt>
                <pt idx="4">
                  <v>35693.3</v>
                </pt>
                <pt idx="5">
                  <v>27718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0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 Distribution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(Jan24-Jun24)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(Waste)'!$N$8</f>
              <strCache>
                <ptCount val="1"/>
                <pt idx="0">
                  <v>Jan-24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(Waste)'!$O$8:$T$8</f>
              <numCache>
                <formatCode>#,##0</formatCode>
                <ptCount val="6"/>
                <pt idx="0">
                  <v>130338</v>
                </pt>
                <pt idx="1">
                  <v>13922.8</v>
                </pt>
                <pt idx="2">
                  <v>19935</v>
                </pt>
                <pt idx="3">
                  <v>1494.5</v>
                </pt>
                <pt idx="4">
                  <v>29377.9</v>
                </pt>
                <pt idx="5">
                  <v>29300</v>
                </pt>
              </numCache>
            </numRef>
          </val>
        </ser>
        <ser>
          <idx val="1"/>
          <order val="1"/>
          <tx>
            <strRef>
              <f>'Half-Year Report (Waste)'!$N$9</f>
              <strCache>
                <ptCount val="1"/>
                <pt idx="0">
                  <v>Feb-24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(Waste)'!$O$9:$T$9</f>
              <numCache>
                <formatCode>#,##0</formatCode>
                <ptCount val="6"/>
                <pt idx="0">
                  <v>123019.9</v>
                </pt>
                <pt idx="1">
                  <v>13075.4</v>
                </pt>
                <pt idx="2">
                  <v>16318</v>
                </pt>
                <pt idx="3">
                  <v>1416.8</v>
                </pt>
                <pt idx="4">
                  <v>35652.6</v>
                </pt>
                <pt idx="5">
                  <v>21810</v>
                </pt>
              </numCache>
            </numRef>
          </val>
        </ser>
        <ser>
          <idx val="2"/>
          <order val="2"/>
          <tx>
            <strRef>
              <f>'Half-Year Report (Waste)'!$N$10</f>
              <strCache>
                <ptCount val="1"/>
                <pt idx="0">
                  <v>Mar-24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(Waste)'!$O$10:$T$10</f>
              <numCache>
                <formatCode>#,##0</formatCode>
                <ptCount val="6"/>
                <pt idx="0">
                  <v>141749.7</v>
                </pt>
                <pt idx="1">
                  <v>13876.8</v>
                </pt>
                <pt idx="2">
                  <v>16333</v>
                </pt>
                <pt idx="3">
                  <v>1745.6</v>
                </pt>
                <pt idx="4">
                  <v>43510.8</v>
                </pt>
                <pt idx="5">
                  <v>24205</v>
                </pt>
              </numCache>
            </numRef>
          </val>
        </ser>
        <ser>
          <idx val="3"/>
          <order val="3"/>
          <tx>
            <strRef>
              <f>'Half-Year Report (Waste)'!$N$11</f>
              <strCache>
                <ptCount val="1"/>
                <pt idx="0">
                  <v>Apr-24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(Waste)'!$O$11:$T$11</f>
              <numCache>
                <formatCode>#,##0</formatCode>
                <ptCount val="6"/>
                <pt idx="0">
                  <v>136279</v>
                </pt>
                <pt idx="1">
                  <v>13058.8</v>
                </pt>
                <pt idx="2">
                  <v>16539</v>
                </pt>
                <pt idx="3">
                  <v>1619.8</v>
                </pt>
                <pt idx="4">
                  <v>39601</v>
                </pt>
                <pt idx="5">
                  <v>19415</v>
                </pt>
              </numCache>
            </numRef>
          </val>
        </ser>
        <ser>
          <idx val="4"/>
          <order val="4"/>
          <tx>
            <strRef>
              <f>'Half-Year Report (Waste)'!$N$12</f>
              <strCache>
                <ptCount val="1"/>
                <pt idx="0">
                  <v>May-24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(Waste)'!$O$12:$T$12</f>
              <numCache>
                <formatCode>#,##0</formatCode>
                <ptCount val="6"/>
                <pt idx="0">
                  <v>168240</v>
                </pt>
                <pt idx="1">
                  <v>13974.2</v>
                </pt>
                <pt idx="2">
                  <v>13957</v>
                </pt>
                <pt idx="3">
                  <v>906.7</v>
                </pt>
                <pt idx="4">
                  <v>40905.3</v>
                </pt>
                <pt idx="5">
                  <v>19270</v>
                </pt>
              </numCache>
            </numRef>
          </val>
        </ser>
        <ser>
          <idx val="5"/>
          <order val="5"/>
          <tx>
            <strRef>
              <f>'Half-Year Report (Waste)'!$N$13</f>
              <strCache>
                <ptCount val="1"/>
                <pt idx="0">
                  <v>Jun-24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'Half-Year Report (Waste)'!$O$1:$T$1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'Half-Year Report (Waste)'!$O$13:$T$13</f>
              <numCache>
                <formatCode>#,##0</formatCode>
                <ptCount val="6"/>
                <pt idx="0">
                  <v>146382</v>
                </pt>
                <pt idx="1">
                  <v>13225</v>
                </pt>
                <pt idx="2">
                  <v>19687</v>
                </pt>
                <pt idx="3">
                  <v>1168.2</v>
                </pt>
                <pt idx="4">
                  <v>30060</v>
                </pt>
                <pt idx="5">
                  <v>19135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0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(Jul23-Dec23)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(Waste)'!$AG$2</f>
              <strCache>
                <ptCount val="1"/>
                <pt idx="0">
                  <v>Jul-23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(Waste)'!$AH$2:$AQ$2</f>
              <numCache>
                <formatCode>#,##0</formatCode>
                <ptCount val="10"/>
                <pt idx="0">
                  <v>10670</v>
                </pt>
                <pt idx="1">
                  <v>915</v>
                </pt>
                <pt idx="2">
                  <v>259.5</v>
                </pt>
                <pt idx="3">
                  <v>673</v>
                </pt>
                <pt idx="4">
                  <v>23296.5</v>
                </pt>
                <pt idx="5">
                  <v>7185</v>
                </pt>
                <pt idx="6">
                  <v>14485</v>
                </pt>
                <pt idx="7">
                  <v>18000</v>
                </pt>
                <pt idx="8">
                  <v>513</v>
                </pt>
                <pt idx="9">
                  <v>1770</v>
                </pt>
              </numCache>
            </numRef>
          </val>
        </ser>
        <ser>
          <idx val="1"/>
          <order val="1"/>
          <tx>
            <strRef>
              <f>'Half-Year Report (Waste)'!$AG$3</f>
              <strCache>
                <ptCount val="1"/>
                <pt idx="0">
                  <v>Aug-23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(Waste)'!$AH$3:$AQ$3</f>
              <numCache>
                <formatCode>#,##0</formatCode>
                <ptCount val="10"/>
                <pt idx="0">
                  <v>10732</v>
                </pt>
                <pt idx="1">
                  <v>872</v>
                </pt>
                <pt idx="2">
                  <v>280.9</v>
                </pt>
                <pt idx="3">
                  <v>996</v>
                </pt>
                <pt idx="4">
                  <v>28190.5</v>
                </pt>
                <pt idx="5">
                  <v>7200</v>
                </pt>
                <pt idx="6">
                  <v>20070</v>
                </pt>
                <pt idx="7">
                  <v>15000</v>
                </pt>
                <pt idx="8">
                  <v>435</v>
                </pt>
                <pt idx="9">
                  <v>1271.1</v>
                </pt>
              </numCache>
            </numRef>
          </val>
        </ser>
        <ser>
          <idx val="2"/>
          <order val="2"/>
          <tx>
            <strRef>
              <f>'Half-Year Report (Waste)'!$AG$4</f>
              <strCache>
                <ptCount val="1"/>
                <pt idx="0">
                  <v>Sep-23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(Waste)'!$AH$4:$AQ$4</f>
              <numCache>
                <formatCode>#,##0</formatCode>
                <ptCount val="10"/>
                <pt idx="0">
                  <v>11135</v>
                </pt>
                <pt idx="1">
                  <v>801</v>
                </pt>
                <pt idx="2">
                  <v>304.75</v>
                </pt>
                <pt idx="3">
                  <v>0</v>
                </pt>
                <pt idx="4">
                  <v>30387</v>
                </pt>
                <pt idx="5">
                  <v>11215</v>
                </pt>
                <pt idx="6">
                  <v>37770</v>
                </pt>
                <pt idx="7">
                  <v>15000</v>
                </pt>
                <pt idx="8">
                  <v>531</v>
                </pt>
                <pt idx="9">
                  <v>1471.6</v>
                </pt>
              </numCache>
            </numRef>
          </val>
        </ser>
        <ser>
          <idx val="3"/>
          <order val="3"/>
          <tx>
            <strRef>
              <f>'Half-Year Report (Waste)'!$AG$5</f>
              <strCache>
                <ptCount val="1"/>
                <pt idx="0">
                  <v>Oct-23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(Waste)'!$AH$5:$AQ$5</f>
              <numCache>
                <formatCode>#,##0</formatCode>
                <ptCount val="10"/>
                <pt idx="0">
                  <v>11304</v>
                </pt>
                <pt idx="1">
                  <v>733</v>
                </pt>
                <pt idx="2">
                  <v>342.6</v>
                </pt>
                <pt idx="3">
                  <v>1412</v>
                </pt>
                <pt idx="4">
                  <v>30156.5</v>
                </pt>
                <pt idx="5">
                  <v>9565</v>
                </pt>
                <pt idx="6">
                  <v>20910</v>
                </pt>
                <pt idx="7">
                  <v>15000</v>
                </pt>
                <pt idx="8">
                  <v>364.5</v>
                </pt>
                <pt idx="9">
                  <v>847</v>
                </pt>
              </numCache>
            </numRef>
          </val>
        </ser>
        <ser>
          <idx val="4"/>
          <order val="4"/>
          <tx>
            <strRef>
              <f>'Half-Year Report (Waste)'!$AG$6</f>
              <strCache>
                <ptCount val="1"/>
                <pt idx="0">
                  <v>Nov-23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(Waste)'!$AH$6:$AQ$6</f>
              <numCache>
                <formatCode>#,##0</formatCode>
                <ptCount val="10"/>
                <pt idx="0">
                  <v>13460</v>
                </pt>
                <pt idx="1">
                  <v>752</v>
                </pt>
                <pt idx="2">
                  <v>419.6</v>
                </pt>
                <pt idx="3">
                  <v>975</v>
                </pt>
                <pt idx="4">
                  <v>42615.9</v>
                </pt>
                <pt idx="5">
                  <v>7803</v>
                </pt>
                <pt idx="6">
                  <v>15947</v>
                </pt>
                <pt idx="7">
                  <v>12000</v>
                </pt>
                <pt idx="8">
                  <v>737.5</v>
                </pt>
                <pt idx="9">
                  <v>1417.2</v>
                </pt>
              </numCache>
            </numRef>
          </val>
        </ser>
        <ser>
          <idx val="5"/>
          <order val="5"/>
          <tx>
            <strRef>
              <f>'Half-Year Report (Waste)'!$AG$7</f>
              <strCache>
                <ptCount val="1"/>
                <pt idx="0">
                  <v>Dec-23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(Waste)'!$AH$7:$AQ$7</f>
              <numCache>
                <formatCode>#,##0</formatCode>
                <ptCount val="10"/>
                <pt idx="0">
                  <v>13442</v>
                </pt>
                <pt idx="1">
                  <v>342</v>
                </pt>
                <pt idx="2">
                  <v>396.8</v>
                </pt>
                <pt idx="3">
                  <v>856</v>
                </pt>
                <pt idx="4">
                  <v>35693.3</v>
                </pt>
                <pt idx="5">
                  <v>19833</v>
                </pt>
                <pt idx="6">
                  <v>7885</v>
                </pt>
                <pt idx="7">
                  <v>15000</v>
                </pt>
                <pt idx="8">
                  <v>1285</v>
                </pt>
                <pt idx="9">
                  <v>1980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(Jul23-Dec23)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(Waste)'!$AY$2</f>
              <strCache>
                <ptCount val="1"/>
                <pt idx="0">
                  <v>Jul-23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(Waste)'!$AZ$2:$BH$2</f>
              <numCache>
                <formatCode>General</formatCode>
                <ptCount val="9"/>
                <pt idx="0">
                  <v>7456</v>
                </pt>
                <pt idx="1">
                  <v>7333.6</v>
                </pt>
                <pt idx="2">
                  <v>1940.5</v>
                </pt>
                <pt idx="3">
                  <v>1322.5</v>
                </pt>
                <pt idx="4">
                  <v>427.5</v>
                </pt>
                <pt idx="5">
                  <v>1793.5</v>
                </pt>
                <pt idx="6">
                  <v>0</v>
                </pt>
                <pt idx="7">
                  <v>738.5</v>
                </pt>
                <pt idx="8">
                  <v>2284.4</v>
                </pt>
              </numCache>
            </numRef>
          </val>
        </ser>
        <ser>
          <idx val="1"/>
          <order val="1"/>
          <tx>
            <strRef>
              <f>'Half-Year Report (Waste)'!$AY$3</f>
              <strCache>
                <ptCount val="1"/>
                <pt idx="0">
                  <v>Aug-23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(Waste)'!$AZ$3:$BH$3</f>
              <numCache>
                <formatCode>General</formatCode>
                <ptCount val="9"/>
                <pt idx="0">
                  <v>10135</v>
                </pt>
                <pt idx="1">
                  <v>10227.8</v>
                </pt>
                <pt idx="2">
                  <v>1272</v>
                </pt>
                <pt idx="3">
                  <v>1102</v>
                </pt>
                <pt idx="4">
                  <v>456</v>
                </pt>
                <pt idx="5">
                  <v>2079</v>
                </pt>
                <pt idx="6">
                  <v>123</v>
                </pt>
                <pt idx="7">
                  <v>589.6</v>
                </pt>
                <pt idx="8">
                  <v>2206.1</v>
                </pt>
              </numCache>
            </numRef>
          </val>
        </ser>
        <ser>
          <idx val="2"/>
          <order val="2"/>
          <tx>
            <strRef>
              <f>'Half-Year Report (Waste)'!$AY$4</f>
              <strCache>
                <ptCount val="1"/>
                <pt idx="0">
                  <v>Sep-23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(Waste)'!$AZ$4:$BH$4</f>
              <numCache>
                <formatCode>General</formatCode>
                <ptCount val="9"/>
                <pt idx="0">
                  <v>10338</v>
                </pt>
                <pt idx="1">
                  <v>11338.2</v>
                </pt>
                <pt idx="2">
                  <v>464.9</v>
                </pt>
                <pt idx="3">
                  <v>1964.4</v>
                </pt>
                <pt idx="4">
                  <v>628</v>
                </pt>
                <pt idx="5">
                  <v>2438.7</v>
                </pt>
                <pt idx="6">
                  <v>525.9</v>
                </pt>
                <pt idx="7">
                  <v>530.6</v>
                </pt>
                <pt idx="8">
                  <v>2158.3</v>
                </pt>
              </numCache>
            </numRef>
          </val>
        </ser>
        <ser>
          <idx val="3"/>
          <order val="3"/>
          <tx>
            <strRef>
              <f>'Half-Year Report (Waste)'!$AY$5</f>
              <strCache>
                <ptCount val="1"/>
                <pt idx="0">
                  <v>Oct-23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(Waste)'!$AZ$5:$BH$5</f>
              <numCache>
                <formatCode>General</formatCode>
                <ptCount val="9"/>
                <pt idx="0">
                  <v>10324.6</v>
                </pt>
                <pt idx="1">
                  <v>10794.8</v>
                </pt>
                <pt idx="2">
                  <v>1523</v>
                </pt>
                <pt idx="3">
                  <v>1648.9</v>
                </pt>
                <pt idx="4">
                  <v>410.9</v>
                </pt>
                <pt idx="5">
                  <v>2014.9</v>
                </pt>
                <pt idx="6">
                  <v>476.8</v>
                </pt>
                <pt idx="7">
                  <v>564</v>
                </pt>
                <pt idx="8">
                  <v>2398.6</v>
                </pt>
              </numCache>
            </numRef>
          </val>
        </ser>
        <ser>
          <idx val="4"/>
          <order val="4"/>
          <tx>
            <strRef>
              <f>'Half-Year Report (Waste)'!$AY$6</f>
              <strCache>
                <ptCount val="1"/>
                <pt idx="0">
                  <v>Nov-23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(Waste)'!$AZ$6:$BH$6</f>
              <numCache>
                <formatCode>General</formatCode>
                <ptCount val="9"/>
                <pt idx="0">
                  <v>14389.8</v>
                </pt>
                <pt idx="1">
                  <v>17059.3</v>
                </pt>
                <pt idx="2">
                  <v>797.5</v>
                </pt>
                <pt idx="3">
                  <v>2422</v>
                </pt>
                <pt idx="4">
                  <v>545.8</v>
                </pt>
                <pt idx="5">
                  <v>3703.9</v>
                </pt>
                <pt idx="6">
                  <v>770.6</v>
                </pt>
                <pt idx="7">
                  <v>650.6</v>
                </pt>
                <pt idx="8">
                  <v>2276.4</v>
                </pt>
              </numCache>
            </numRef>
          </val>
        </ser>
        <ser>
          <idx val="5"/>
          <order val="5"/>
          <tx>
            <strRef>
              <f>'Half-Year Report (Waste)'!$AY$7</f>
              <strCache>
                <ptCount val="1"/>
                <pt idx="0">
                  <v>Dec-23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(Waste)'!$AZ$7:$BH$7</f>
              <numCache>
                <formatCode>General</formatCode>
                <ptCount val="9"/>
                <pt idx="0">
                  <v>13139.5</v>
                </pt>
                <pt idx="1">
                  <v>12822.3</v>
                </pt>
                <pt idx="2">
                  <v>714.5</v>
                </pt>
                <pt idx="3">
                  <v>1756.1</v>
                </pt>
                <pt idx="4">
                  <v>746.4</v>
                </pt>
                <pt idx="5">
                  <v>2987.4</v>
                </pt>
                <pt idx="6">
                  <v>490.1</v>
                </pt>
                <pt idx="7">
                  <v>796.8</v>
                </pt>
                <pt idx="8">
                  <v>2240.2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28033429415073"/>
          <y val="0.3049435563057137"/>
          <w val="0.3378779041508701"/>
          <h val="0.69505658940842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(Jan24-Jun24)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(Waste)'!$AY$8</f>
              <strCache>
                <ptCount val="1"/>
                <pt idx="0">
                  <v>Jan-24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(Waste)'!$AZ$8:$BH$8</f>
              <numCache>
                <formatCode>General</formatCode>
                <ptCount val="9"/>
                <pt idx="0">
                  <v>10440.2</v>
                </pt>
                <pt idx="1">
                  <v>10518.7</v>
                </pt>
                <pt idx="2">
                  <v>549.9</v>
                </pt>
                <pt idx="3">
                  <v>1402.4</v>
                </pt>
                <pt idx="4">
                  <v>413.5</v>
                </pt>
                <pt idx="5">
                  <v>2540.4</v>
                </pt>
                <pt idx="6">
                  <v>221.8</v>
                </pt>
                <pt idx="7">
                  <v>870.1</v>
                </pt>
                <pt idx="8">
                  <v>2420.9</v>
                </pt>
              </numCache>
            </numRef>
          </val>
        </ser>
        <ser>
          <idx val="1"/>
          <order val="1"/>
          <tx>
            <strRef>
              <f>'Half-Year Report (Waste)'!$AY$9</f>
              <strCache>
                <ptCount val="1"/>
                <pt idx="0">
                  <v>Feb-24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(Waste)'!$AZ$9:$BH$9</f>
              <numCache>
                <formatCode>General</formatCode>
                <ptCount val="9"/>
                <pt idx="0">
                  <v>13343</v>
                </pt>
                <pt idx="1">
                  <v>12271.5</v>
                </pt>
                <pt idx="2">
                  <v>372.5</v>
                </pt>
                <pt idx="3">
                  <v>2301.4</v>
                </pt>
                <pt idx="4">
                  <v>438.2</v>
                </pt>
                <pt idx="5">
                  <v>2848.4</v>
                </pt>
                <pt idx="6">
                  <v>612</v>
                </pt>
                <pt idx="7">
                  <v>790.2</v>
                </pt>
                <pt idx="8">
                  <v>2675.4</v>
                </pt>
              </numCache>
            </numRef>
          </val>
        </ser>
        <ser>
          <idx val="2"/>
          <order val="2"/>
          <tx>
            <strRef>
              <f>'Half-Year Report (Waste)'!$AY$10</f>
              <strCache>
                <ptCount val="1"/>
                <pt idx="0">
                  <v>Mar-24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(Waste)'!$AZ$10:$BH$10</f>
              <numCache>
                <formatCode>General</formatCode>
                <ptCount val="9"/>
                <pt idx="0">
                  <v>16211.6</v>
                </pt>
                <pt idx="1">
                  <v>15475.8</v>
                </pt>
                <pt idx="2">
                  <v>384.1</v>
                </pt>
                <pt idx="3">
                  <v>2645.1</v>
                </pt>
                <pt idx="4">
                  <v>504.3</v>
                </pt>
                <pt idx="5">
                  <v>3490.9</v>
                </pt>
                <pt idx="6">
                  <v>733.1</v>
                </pt>
                <pt idx="7">
                  <v>947</v>
                </pt>
                <pt idx="8">
                  <v>3118.9</v>
                </pt>
              </numCache>
            </numRef>
          </val>
        </ser>
        <ser>
          <idx val="3"/>
          <order val="3"/>
          <tx>
            <strRef>
              <f>'Half-Year Report (Waste)'!$AY$11</f>
              <strCache>
                <ptCount val="1"/>
                <pt idx="0">
                  <v>Apr-24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(Waste)'!$AZ$11:$BH$11</f>
              <numCache>
                <formatCode>General</formatCode>
                <ptCount val="9"/>
                <pt idx="0">
                  <v>14442.9</v>
                </pt>
                <pt idx="1">
                  <v>14528.1</v>
                </pt>
                <pt idx="2">
                  <v>462.4</v>
                </pt>
                <pt idx="3">
                  <v>2136.4</v>
                </pt>
                <pt idx="4">
                  <v>361.5</v>
                </pt>
                <pt idx="5">
                  <v>3084.1</v>
                </pt>
                <pt idx="6">
                  <v>601.2</v>
                </pt>
                <pt idx="7">
                  <v>744.9</v>
                </pt>
                <pt idx="8">
                  <v>3239.5</v>
                </pt>
              </numCache>
            </numRef>
          </val>
        </ser>
        <ser>
          <idx val="4"/>
          <order val="4"/>
          <tx>
            <strRef>
              <f>'Half-Year Report (Waste)'!$AY$12</f>
              <strCache>
                <ptCount val="1"/>
                <pt idx="0">
                  <v>May-24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(Waste)'!$AZ$12:$BH$12</f>
              <numCache>
                <formatCode>General</formatCode>
                <ptCount val="9"/>
                <pt idx="0">
                  <v>15427.9</v>
                </pt>
                <pt idx="1">
                  <v>14693.7</v>
                </pt>
                <pt idx="2">
                  <v>495.5</v>
                </pt>
                <pt idx="3">
                  <v>2215.9</v>
                </pt>
                <pt idx="4">
                  <v>576.4</v>
                </pt>
                <pt idx="5">
                  <v>2978.3</v>
                </pt>
                <pt idx="6">
                  <v>590</v>
                </pt>
                <pt idx="7">
                  <v>894</v>
                </pt>
                <pt idx="8">
                  <v>3033.6</v>
                </pt>
              </numCache>
            </numRef>
          </val>
        </ser>
        <ser>
          <idx val="5"/>
          <order val="5"/>
          <tx>
            <strRef>
              <f>'Half-Year Report (Waste)'!$AY$13</f>
              <strCache>
                <ptCount val="1"/>
                <pt idx="0">
                  <v>Jun-24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(Waste)'!$AZ$1:$BH$1</f>
              <strCache>
                <ptCount val="9"/>
                <pt idx="0">
                  <v>LG1 Canteen and China Garden</v>
                </pt>
                <pt idx="1">
                  <v>LG7 Canteen + McDonald's</v>
                </pt>
                <pt idx="2">
                  <v>LG7 Fusion</v>
                </pt>
                <pt idx="3">
                  <v>Courtyard (Lift 25)</v>
                </pt>
                <pt idx="4">
                  <v>UC Bistro (Tower C)</v>
                </pt>
                <pt idx="5">
                  <v>LSK Campus</v>
                </pt>
                <pt idx="6">
                  <v xml:space="preserve">UG Halls + Seafront Cafeteria </v>
                </pt>
                <pt idx="7">
                  <v>Conference Lodge</v>
                </pt>
                <pt idx="8">
                  <v>Staff Quarters (All)</v>
                </pt>
              </strCache>
            </strRef>
          </cat>
          <val>
            <numRef>
              <f>'Half-Year Report (Waste)'!$AZ$13:$BH$13</f>
              <numCache>
                <formatCode>General</formatCode>
                <ptCount val="9"/>
                <pt idx="0">
                  <v>11557.2</v>
                </pt>
                <pt idx="1">
                  <v>9417.700000000001</v>
                </pt>
                <pt idx="2">
                  <v>586</v>
                </pt>
                <pt idx="3">
                  <v>1702.6</v>
                </pt>
                <pt idx="4">
                  <v>503.8</v>
                </pt>
                <pt idx="5">
                  <v>2130.4</v>
                </pt>
                <pt idx="6">
                  <v>208.2</v>
                </pt>
                <pt idx="7">
                  <v>920</v>
                </pt>
                <pt idx="8">
                  <v>3034.1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351251505326541"/>
          <y val="0.3021469299299847"/>
          <w val="0.3402958777211672"/>
          <h val="0.503670126266268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(Jan24-Jun24)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'Half-Year Report (Waste)'!$AG$8</f>
              <strCache>
                <ptCount val="1"/>
                <pt idx="0">
                  <v>Jan-24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tx1">
                  <a:lumMod val="65000"/>
                  <a:lumOff val="35000"/>
                </a:schemeClr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(Waste)'!$AH$8:$AQ$8</f>
              <numCache>
                <formatCode>#,##0</formatCode>
                <ptCount val="10"/>
                <pt idx="0">
                  <v>13416</v>
                </pt>
                <pt idx="1">
                  <v>735</v>
                </pt>
                <pt idx="2">
                  <v>378.8</v>
                </pt>
                <pt idx="3">
                  <v>0</v>
                </pt>
                <pt idx="4">
                  <v>29377.9</v>
                </pt>
                <pt idx="5">
                  <v>21650</v>
                </pt>
                <pt idx="6">
                  <v>7650</v>
                </pt>
                <pt idx="7">
                  <v>18000</v>
                </pt>
                <pt idx="8">
                  <v>917.5</v>
                </pt>
                <pt idx="9">
                  <v>1905</v>
                </pt>
              </numCache>
            </numRef>
          </val>
        </ser>
        <ser>
          <idx val="1"/>
          <order val="1"/>
          <tx>
            <strRef>
              <f>'Half-Year Report (Waste)'!$AG$9</f>
              <strCache>
                <ptCount val="1"/>
                <pt idx="0">
                  <v>Feb-24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(Waste)'!$AH$9:$AQ$9</f>
              <numCache>
                <formatCode>#,##0</formatCode>
                <ptCount val="10"/>
                <pt idx="0">
                  <v>12589</v>
                </pt>
                <pt idx="1">
                  <v>318</v>
                </pt>
                <pt idx="2">
                  <v>371.4</v>
                </pt>
                <pt idx="3">
                  <v>698</v>
                </pt>
                <pt idx="4">
                  <v>35652.6</v>
                </pt>
                <pt idx="5">
                  <v>15470</v>
                </pt>
                <pt idx="6">
                  <v>6340</v>
                </pt>
                <pt idx="7">
                  <v>15000</v>
                </pt>
                <pt idx="8">
                  <v>353.1</v>
                </pt>
                <pt idx="9">
                  <v>1480.7</v>
                </pt>
              </numCache>
            </numRef>
          </val>
        </ser>
        <ser>
          <idx val="2"/>
          <order val="2"/>
          <tx>
            <strRef>
              <f>'Half-Year Report (Waste)'!$AG$10</f>
              <strCache>
                <ptCount val="1"/>
                <pt idx="0">
                  <v>Mar-24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(Waste)'!$AH$10:$AQ$10</f>
              <numCache>
                <formatCode>#,##0</formatCode>
                <ptCount val="10"/>
                <pt idx="0">
                  <v>13346</v>
                </pt>
                <pt idx="1">
                  <v>533</v>
                </pt>
                <pt idx="2">
                  <v>415.8</v>
                </pt>
                <pt idx="3">
                  <v>597</v>
                </pt>
                <pt idx="4">
                  <v>43510.8</v>
                </pt>
                <pt idx="5">
                  <v>17465</v>
                </pt>
                <pt idx="6">
                  <v>6740</v>
                </pt>
                <pt idx="7">
                  <v>15000</v>
                </pt>
                <pt idx="8">
                  <v>785</v>
                </pt>
                <pt idx="9">
                  <v>962.6</v>
                </pt>
              </numCache>
            </numRef>
          </val>
        </ser>
        <ser>
          <idx val="3"/>
          <order val="3"/>
          <tx>
            <strRef>
              <f>'Half-Year Report (Waste)'!$AG$11</f>
              <strCache>
                <ptCount val="1"/>
                <pt idx="0">
                  <v>Apr-24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(Waste)'!$AH$11:$AQ$11</f>
              <numCache>
                <formatCode>#,##0</formatCode>
                <ptCount val="10"/>
                <pt idx="0">
                  <v>12371</v>
                </pt>
                <pt idx="1">
                  <v>739</v>
                </pt>
                <pt idx="2">
                  <v>477.8</v>
                </pt>
                <pt idx="3">
                  <v>917</v>
                </pt>
                <pt idx="4">
                  <v>39601</v>
                </pt>
                <pt idx="5">
                  <v>6415</v>
                </pt>
                <pt idx="6">
                  <v>13000</v>
                </pt>
                <pt idx="7">
                  <v>15000</v>
                </pt>
                <pt idx="8">
                  <v>440</v>
                </pt>
                <pt idx="9">
                  <v>1272.8</v>
                </pt>
              </numCache>
            </numRef>
          </val>
        </ser>
        <ser>
          <idx val="4"/>
          <order val="4"/>
          <tx>
            <strRef>
              <f>'Half-Year Report (Waste)'!$AG$12</f>
              <strCache>
                <ptCount val="1"/>
                <pt idx="0">
                  <v>May-24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(Waste)'!$AH$12:$AQ$12</f>
              <numCache>
                <formatCode>#,##0</formatCode>
                <ptCount val="10"/>
                <pt idx="0">
                  <v>13434</v>
                </pt>
                <pt idx="1">
                  <v>757</v>
                </pt>
                <pt idx="2">
                  <v>466.2</v>
                </pt>
                <pt idx="3">
                  <v>321</v>
                </pt>
                <pt idx="4">
                  <v>40905.3</v>
                </pt>
                <pt idx="5">
                  <v>7575</v>
                </pt>
                <pt idx="6">
                  <v>11695</v>
                </pt>
                <pt idx="7">
                  <v>12000</v>
                </pt>
                <pt idx="8">
                  <v>359</v>
                </pt>
                <pt idx="9">
                  <v>1500.7</v>
                </pt>
              </numCache>
            </numRef>
          </val>
        </ser>
        <ser>
          <idx val="5"/>
          <order val="5"/>
          <tx>
            <strRef>
              <f>'Half-Year Report (Waste)'!$AG$13</f>
              <strCache>
                <ptCount val="1"/>
                <pt idx="0">
                  <v>Jun-24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'Half-Year Report (Waste)'!$AH$1:$AQ$1</f>
              <strCache>
                <ptCount val="10"/>
                <pt idx="0">
                  <v>Paper</v>
                </pt>
                <pt idx="1">
                  <v>Metal</v>
                </pt>
                <pt idx="2">
                  <v xml:space="preserve">Plastic </v>
                </pt>
                <pt idx="3">
                  <v>Glass</v>
                </pt>
                <pt idx="4">
                  <v>Food Waste</v>
                </pt>
                <pt idx="5">
                  <v>Animal Bedding</v>
                </pt>
                <pt idx="6">
                  <v>Landscape</v>
                </pt>
                <pt idx="7">
                  <v>Wood</v>
                </pt>
                <pt idx="8">
                  <v>Electrical Appliance</v>
                </pt>
                <pt idx="9">
                  <v xml:space="preserve">Other </v>
                </pt>
              </strCache>
            </strRef>
          </cat>
          <val>
            <numRef>
              <f>'Half-Year Report (Waste)'!$AH$13:$AQ$13</f>
              <numCache>
                <formatCode>#,##0</formatCode>
                <ptCount val="10"/>
                <pt idx="0">
                  <v>12778</v>
                </pt>
                <pt idx="1">
                  <v>1087</v>
                </pt>
                <pt idx="2">
                  <v>447</v>
                </pt>
                <pt idx="3">
                  <v>612</v>
                </pt>
                <pt idx="4">
                  <v>30060</v>
                </pt>
                <pt idx="5">
                  <v>4565</v>
                </pt>
                <pt idx="6">
                  <v>14570</v>
                </pt>
                <pt idx="7">
                  <v>18000</v>
                </pt>
                <pt idx="8">
                  <v>372.5</v>
                </pt>
                <pt idx="9">
                  <v>783.7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 i="0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 Average of Waste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2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(KG)'!$AG$5:$AG$14</f>
              <numCache>
                <formatCode>_(* #,##0_);_(* \(#,##0\);_(* "-"??_);_(@_)</formatCode>
                <ptCount val="10"/>
              </numCache>
            </numRef>
          </cat>
          <val>
            <numRef>
              <f>'Raw Data (KG)'!$AJ$5:$AJ$14</f>
              <numCache>
                <formatCode>_(* #,##0_);_(* \(#,##0\);_(* "-"??_);_(@_)</formatCode>
                <ptCount val="10"/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>
                <a:lumMod val="40000"/>
                <a:lumOff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(KG)'!$AG$5:$AG$14</f>
              <numCache>
                <formatCode>_(* #,##0_);_(* \(#,##0\);_(* "-"??_);_(@_)</formatCode>
                <ptCount val="10"/>
              </numCache>
            </numRef>
          </cat>
          <val>
            <numRef>
              <f>'Raw Data (KG)'!$AI$5:$AI$14</f>
              <numCache>
                <formatCode>_(* #,##0_);_(* \(#,##0\);_(* "-"??_);_(@_)</formatCode>
                <ptCount val="1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Waste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Data (KG)'!$B$1</f>
              <strCache>
                <ptCount val="1"/>
                <pt idx="0">
                  <v xml:space="preserve"> Trash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(KG)'!$B$2:$B$130</f>
              <numCache>
                <formatCode>_(* #,##0_);_(* \(#,##0\);_(* "-"??_);_(@_)</formatCode>
                <ptCount val="129"/>
                <pt idx="0">
                  <v>282100</v>
                </pt>
                <pt idx="1">
                  <v>282100</v>
                </pt>
                <pt idx="2">
                  <v>273000.0000000001</v>
                </pt>
                <pt idx="3">
                  <v>282100</v>
                </pt>
                <pt idx="4">
                  <v>273000.0000000001</v>
                </pt>
                <pt idx="5">
                  <v>282100</v>
                </pt>
                <pt idx="6">
                  <v>282100</v>
                </pt>
                <pt idx="7">
                  <v>254800</v>
                </pt>
                <pt idx="8">
                  <v>282100</v>
                </pt>
                <pt idx="9">
                  <v>273000.0000000001</v>
                </pt>
                <pt idx="10">
                  <v>282100</v>
                </pt>
                <pt idx="11">
                  <v>273000.0000000001</v>
                </pt>
                <pt idx="12">
                  <v>282100</v>
                </pt>
                <pt idx="13">
                  <v>282100</v>
                </pt>
                <pt idx="14">
                  <v>273000.0000000001</v>
                </pt>
                <pt idx="15">
                  <v>282100</v>
                </pt>
                <pt idx="16">
                  <v>273000.0000000001</v>
                </pt>
                <pt idx="17">
                  <v>282100</v>
                </pt>
                <pt idx="18">
                  <v>282100</v>
                </pt>
                <pt idx="19">
                  <v>254800</v>
                </pt>
                <pt idx="20">
                  <v>282100</v>
                </pt>
                <pt idx="21">
                  <v>273000.0000000001</v>
                </pt>
                <pt idx="22">
                  <v>282100</v>
                </pt>
                <pt idx="23">
                  <v>273000.0000000001</v>
                </pt>
                <pt idx="24">
                  <v>231390</v>
                </pt>
                <pt idx="25">
                  <v>281540</v>
                </pt>
                <pt idx="26">
                  <v>272880</v>
                </pt>
                <pt idx="27">
                  <v>281000</v>
                </pt>
                <pt idx="28">
                  <v>274289.9999999999</v>
                </pt>
                <pt idx="29">
                  <v>267880</v>
                </pt>
                <pt idx="30">
                  <v>269800</v>
                </pt>
                <pt idx="31">
                  <v>240500</v>
                </pt>
                <pt idx="32">
                  <v>263290</v>
                </pt>
                <pt idx="33">
                  <v>260100</v>
                </pt>
                <pt idx="34">
                  <v>279280.0000000001</v>
                </pt>
                <pt idx="35">
                  <v>265300</v>
                </pt>
                <pt idx="36">
                  <v>230700</v>
                </pt>
                <pt idx="37">
                  <v>249380</v>
                </pt>
                <pt idx="38">
                  <v>261650</v>
                </pt>
                <pt idx="39">
                  <v>258900</v>
                </pt>
                <pt idx="40">
                  <v>262650</v>
                </pt>
                <pt idx="41">
                  <v>247410</v>
                </pt>
                <pt idx="42">
                  <v>186070</v>
                </pt>
                <pt idx="43">
                  <v>189900</v>
                </pt>
                <pt idx="44">
                  <v>218930</v>
                </pt>
                <pt idx="45">
                  <v>200140</v>
                </pt>
                <pt idx="46">
                  <v>194190</v>
                </pt>
                <pt idx="47">
                  <v>204680</v>
                </pt>
                <pt idx="48">
                  <v>180020</v>
                </pt>
                <pt idx="49">
                  <v>205980</v>
                </pt>
                <pt idx="50">
                  <v>204680</v>
                </pt>
                <pt idx="51">
                  <v>205980</v>
                </pt>
                <pt idx="52">
                  <v>227040</v>
                </pt>
                <pt idx="53">
                  <v>212210</v>
                </pt>
                <pt idx="54">
                  <v>214260</v>
                </pt>
                <pt idx="55">
                  <v>202080</v>
                </pt>
                <pt idx="56">
                  <v>195120</v>
                </pt>
                <pt idx="57">
                  <v>177650</v>
                </pt>
                <pt idx="58">
                  <v>172500</v>
                </pt>
                <pt idx="59">
                  <v>172790</v>
                </pt>
                <pt idx="60">
                  <v>181220</v>
                </pt>
                <pt idx="61">
                  <v>176530</v>
                </pt>
                <pt idx="62">
                  <v>173070</v>
                </pt>
                <pt idx="63">
                  <v>177500</v>
                </pt>
                <pt idx="64">
                  <v>208090</v>
                </pt>
                <pt idx="65">
                  <v>202560</v>
                </pt>
                <pt idx="66">
                  <v>145940.2628</v>
                </pt>
                <pt idx="67">
                  <v>138993.9224</v>
                </pt>
                <pt idx="68">
                  <v>162063.1426</v>
                </pt>
                <pt idx="69">
                  <v>134497.6445</v>
                </pt>
                <pt idx="70">
                  <v>155093.376</v>
                </pt>
                <pt idx="71">
                  <v>155588.3447</v>
                </pt>
                <pt idx="72">
                  <v>141020</v>
                </pt>
                <pt idx="73">
                  <v>150570</v>
                </pt>
                <pt idx="74">
                  <v>138430</v>
                </pt>
                <pt idx="75">
                  <v>133570</v>
                </pt>
                <pt idx="76">
                  <v>106670</v>
                </pt>
                <pt idx="77">
                  <v>114530</v>
                </pt>
                <pt idx="78">
                  <v>86780</v>
                </pt>
                <pt idx="79">
                  <v>68320</v>
                </pt>
                <pt idx="80">
                  <v>74000</v>
                </pt>
                <pt idx="81">
                  <v>77800</v>
                </pt>
                <pt idx="82">
                  <v>95690</v>
                </pt>
                <pt idx="83">
                  <v>100890</v>
                </pt>
                <pt idx="84">
                  <v>99540</v>
                </pt>
                <pt idx="85">
                  <v>98190</v>
                </pt>
                <pt idx="86">
                  <v>103480</v>
                </pt>
                <pt idx="87">
                  <v>99600</v>
                </pt>
                <pt idx="88">
                  <v>100780</v>
                </pt>
                <pt idx="89">
                  <v>92840</v>
                </pt>
                <pt idx="90">
                  <v>82270</v>
                </pt>
                <pt idx="91">
                  <v>91040</v>
                </pt>
                <pt idx="92">
                  <v>108160</v>
                </pt>
                <pt idx="93">
                  <v>97900</v>
                </pt>
                <pt idx="94">
                  <v>114090</v>
                </pt>
                <pt idx="95">
                  <v>91870</v>
                </pt>
                <pt idx="96">
                  <v>94540</v>
                </pt>
                <pt idx="97">
                  <v>104460</v>
                </pt>
                <pt idx="98">
                  <v>125580</v>
                </pt>
                <pt idx="99">
                  <v>120930</v>
                </pt>
                <pt idx="100">
                  <v>122690</v>
                </pt>
                <pt idx="101">
                  <v>119627</v>
                </pt>
                <pt idx="102">
                  <v>113840</v>
                </pt>
                <pt idx="103">
                  <v>94360</v>
                </pt>
                <pt idx="104">
                  <v>94960</v>
                </pt>
                <pt idx="105">
                  <v>91850</v>
                </pt>
                <pt idx="106">
                  <v>105840</v>
                </pt>
                <pt idx="107">
                  <v>111880</v>
                </pt>
                <pt idx="108">
                  <v>106480</v>
                </pt>
                <pt idx="109">
                  <v>119990</v>
                </pt>
                <pt idx="110">
                  <v>145680</v>
                </pt>
                <pt idx="111">
                  <v>146210</v>
                </pt>
                <pt idx="112">
                  <v>147280</v>
                </pt>
                <pt idx="113">
                  <v>132640</v>
                </pt>
                <pt idx="114">
                  <v>106940</v>
                </pt>
                <pt idx="115">
                  <v>127480</v>
                </pt>
                <pt idx="116">
                  <v>146920</v>
                </pt>
                <pt idx="117">
                  <v>129810</v>
                </pt>
                <pt idx="118">
                  <v>131750</v>
                </pt>
                <pt idx="119">
                  <v>117380</v>
                </pt>
                <pt idx="120">
                  <v>112750</v>
                </pt>
                <pt idx="121">
                  <v>124050</v>
                </pt>
                <pt idx="122">
                  <v>139580</v>
                </pt>
                <pt idx="123">
                  <v>133760</v>
                </pt>
                <pt idx="124">
                  <v>138502</v>
                </pt>
                <pt idx="125">
                  <v>128818</v>
                </pt>
                <pt idx="126">
                  <v>110008</v>
                </pt>
                <pt idx="127">
                  <v>107199.9</v>
                </pt>
                <pt idx="128">
                  <v>124409.7</v>
                </pt>
              </numCache>
            </numRef>
          </val>
        </ser>
        <ser>
          <idx val="1"/>
          <order val="1"/>
          <tx>
            <strRef>
              <f>'Raw Data (KG)'!$C$1</f>
              <strCache>
                <ptCount val="1"/>
                <pt idx="0">
                  <v xml:space="preserve"> Yellow Skip 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(KG)'!$C$2:$C$130</f>
              <numCache>
                <formatCode>_(* #,##0_);_(* \(#,##0\);_(* "-"??_);_(@_)</formatCode>
                <ptCount val="129"/>
                <pt idx="42">
                  <v>41470</v>
                </pt>
                <pt idx="43">
                  <v>54160</v>
                </pt>
                <pt idx="44">
                  <v>32240</v>
                </pt>
                <pt idx="45">
                  <v>35860</v>
                </pt>
                <pt idx="46">
                  <v>41550</v>
                </pt>
                <pt idx="47">
                  <v>51440</v>
                </pt>
                <pt idx="48">
                  <v>45550</v>
                </pt>
                <pt idx="49">
                  <v>48250</v>
                </pt>
                <pt idx="50">
                  <v>55310</v>
                </pt>
                <pt idx="51">
                  <v>65260.00000000001</v>
                </pt>
                <pt idx="52">
                  <v>65069.99999999999</v>
                </pt>
                <pt idx="53">
                  <v>24760</v>
                </pt>
                <pt idx="54">
                  <v>65069.99999999999</v>
                </pt>
                <pt idx="55">
                  <v>18960</v>
                </pt>
                <pt idx="56">
                  <v>41590</v>
                </pt>
                <pt idx="57">
                  <v>25270</v>
                </pt>
                <pt idx="58">
                  <v>37170</v>
                </pt>
                <pt idx="59">
                  <v>40100</v>
                </pt>
                <pt idx="60">
                  <v>34440</v>
                </pt>
                <pt idx="61">
                  <v>29500</v>
                </pt>
                <pt idx="62">
                  <v>23680</v>
                </pt>
                <pt idx="63">
                  <v>28200</v>
                </pt>
                <pt idx="64">
                  <v>25670</v>
                </pt>
                <pt idx="65">
                  <v>31590</v>
                </pt>
                <pt idx="66">
                  <v>23670</v>
                </pt>
                <pt idx="67">
                  <v>20250</v>
                </pt>
                <pt idx="68">
                  <v>14620</v>
                </pt>
                <pt idx="69">
                  <v>13820</v>
                </pt>
                <pt idx="70">
                  <v>28910</v>
                </pt>
                <pt idx="71">
                  <v>37750</v>
                </pt>
                <pt idx="72">
                  <v>39000</v>
                </pt>
                <pt idx="73">
                  <v>51750</v>
                </pt>
                <pt idx="74">
                  <v>62990</v>
                </pt>
                <pt idx="75">
                  <v>59480</v>
                </pt>
                <pt idx="76">
                  <v>49040</v>
                </pt>
                <pt idx="77">
                  <v>56380</v>
                </pt>
                <pt idx="78">
                  <v>27790</v>
                </pt>
                <pt idx="79">
                  <v>16600</v>
                </pt>
                <pt idx="80">
                  <v>24090</v>
                </pt>
                <pt idx="81">
                  <v>24780</v>
                </pt>
                <pt idx="82">
                  <v>46630</v>
                </pt>
                <pt idx="83">
                  <v>43240</v>
                </pt>
                <pt idx="84">
                  <v>25450</v>
                </pt>
                <pt idx="85">
                  <v>25100</v>
                </pt>
                <pt idx="86">
                  <v>26450</v>
                </pt>
                <pt idx="87">
                  <v>18840</v>
                </pt>
                <pt idx="88">
                  <v>20400</v>
                </pt>
                <pt idx="89">
                  <v>19120</v>
                </pt>
                <pt idx="90">
                  <v>19600</v>
                </pt>
                <pt idx="91">
                  <v>16990</v>
                </pt>
                <pt idx="92">
                  <v>20300</v>
                </pt>
                <pt idx="93">
                  <v>25520</v>
                </pt>
                <pt idx="94">
                  <v>22770</v>
                </pt>
                <pt idx="95">
                  <v>19320</v>
                </pt>
                <pt idx="96">
                  <v>23190</v>
                </pt>
                <pt idx="97">
                  <v>27760</v>
                </pt>
                <pt idx="98">
                  <v>28910</v>
                </pt>
                <pt idx="99">
                  <v>22640</v>
                </pt>
                <pt idx="100">
                  <v>22120</v>
                </pt>
                <pt idx="101">
                  <v>24060</v>
                </pt>
                <pt idx="102">
                  <v>30180</v>
                </pt>
                <pt idx="103">
                  <v>16000</v>
                </pt>
                <pt idx="104">
                  <v>17320</v>
                </pt>
                <pt idx="105">
                  <v>17830</v>
                </pt>
                <pt idx="106">
                  <v>22940</v>
                </pt>
                <pt idx="107">
                  <v>21280</v>
                </pt>
                <pt idx="108">
                  <v>27350</v>
                </pt>
                <pt idx="109">
                  <v>22610</v>
                </pt>
                <pt idx="110">
                  <v>27480</v>
                </pt>
                <pt idx="111">
                  <v>21850</v>
                </pt>
                <pt idx="112">
                  <v>19570</v>
                </pt>
                <pt idx="113">
                  <v>21400</v>
                </pt>
                <pt idx="114">
                  <v>17220</v>
                </pt>
                <pt idx="115">
                  <v>24570</v>
                </pt>
                <pt idx="116">
                  <v>22970</v>
                </pt>
                <pt idx="117">
                  <v>19680</v>
                </pt>
                <pt idx="118">
                  <v>20220</v>
                </pt>
                <pt idx="119">
                  <v>24830</v>
                </pt>
                <pt idx="120">
                  <v>23930</v>
                </pt>
                <pt idx="121">
                  <v>29050</v>
                </pt>
                <pt idx="122">
                  <v>18300</v>
                </pt>
                <pt idx="123">
                  <v>17930</v>
                </pt>
                <pt idx="124">
                  <v>19760</v>
                </pt>
                <pt idx="125">
                  <v>19890</v>
                </pt>
                <pt idx="126">
                  <v>20330</v>
                </pt>
                <pt idx="127">
                  <v>15820</v>
                </pt>
                <pt idx="128">
                  <v>17340</v>
                </pt>
              </numCache>
            </numRef>
          </val>
        </ser>
        <ser>
          <idx val="2"/>
          <order val="2"/>
          <tx>
            <strRef>
              <f>'Raw Data (KG)'!$D$1</f>
              <strCache>
                <ptCount val="1"/>
                <pt idx="0">
                  <v xml:space="preserve"> Paper (LG7/SSID) 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(KG)'!$D$2:$D$130</f>
              <numCache>
                <formatCode>_(* #,##0_);_(* \(#,##0\);_(* "-"??_);_(@_)</formatCode>
                <ptCount val="129"/>
                <pt idx="0">
                  <v>2000</v>
                </pt>
                <pt idx="1">
                  <v>2000</v>
                </pt>
                <pt idx="2">
                  <v>2000</v>
                </pt>
                <pt idx="3">
                  <v>2000</v>
                </pt>
                <pt idx="4">
                  <v>2000</v>
                </pt>
                <pt idx="5">
                  <v>2000</v>
                </pt>
                <pt idx="6">
                  <v>2000</v>
                </pt>
                <pt idx="7">
                  <v>2000</v>
                </pt>
                <pt idx="8">
                  <v>2000</v>
                </pt>
                <pt idx="9">
                  <v>2000</v>
                </pt>
                <pt idx="10">
                  <v>2000</v>
                </pt>
                <pt idx="11">
                  <v>2000</v>
                </pt>
                <pt idx="12">
                  <v>2000</v>
                </pt>
                <pt idx="13">
                  <v>2000</v>
                </pt>
                <pt idx="14">
                  <v>2000</v>
                </pt>
                <pt idx="15">
                  <v>2000</v>
                </pt>
                <pt idx="16">
                  <v>2000</v>
                </pt>
                <pt idx="17">
                  <v>2000</v>
                </pt>
                <pt idx="18">
                  <v>2000</v>
                </pt>
                <pt idx="19">
                  <v>2000</v>
                </pt>
                <pt idx="20">
                  <v>2000</v>
                </pt>
                <pt idx="21">
                  <v>2000</v>
                </pt>
                <pt idx="22">
                  <v>2000</v>
                </pt>
                <pt idx="23">
                  <v>2000</v>
                </pt>
                <pt idx="24">
                  <v>2000</v>
                </pt>
                <pt idx="25">
                  <v>2000</v>
                </pt>
                <pt idx="26">
                  <v>2000</v>
                </pt>
                <pt idx="27">
                  <v>2000</v>
                </pt>
                <pt idx="28">
                  <v>2000</v>
                </pt>
                <pt idx="29">
                  <v>2000</v>
                </pt>
                <pt idx="30">
                  <v>2177.808333</v>
                </pt>
                <pt idx="31">
                  <v>2177.808333</v>
                </pt>
                <pt idx="32">
                  <v>2177.808333</v>
                </pt>
                <pt idx="33">
                  <v>2177.808333</v>
                </pt>
                <pt idx="34">
                  <v>2177.808333</v>
                </pt>
                <pt idx="35">
                  <v>2177.808333</v>
                </pt>
                <pt idx="36">
                  <v>2657.808333</v>
                </pt>
                <pt idx="37">
                  <v>2757.808333</v>
                </pt>
                <pt idx="38">
                  <v>3007.808333</v>
                </pt>
                <pt idx="39">
                  <v>177.8083333333333</v>
                </pt>
                <pt idx="40">
                  <v>177.8083333333333</v>
                </pt>
                <pt idx="41">
                  <v>177.8083333333333</v>
                </pt>
                <pt idx="42">
                  <v>2093.875</v>
                </pt>
                <pt idx="43">
                  <v>2093.875</v>
                </pt>
                <pt idx="44">
                  <v>2093.875</v>
                </pt>
                <pt idx="45">
                  <v>2093.875</v>
                </pt>
                <pt idx="46">
                  <v>2093.875</v>
                </pt>
                <pt idx="47">
                  <v>2093.875</v>
                </pt>
                <pt idx="48">
                  <v>2093.875</v>
                </pt>
                <pt idx="49">
                  <v>2093.875</v>
                </pt>
                <pt idx="50">
                  <v>721</v>
                </pt>
                <pt idx="51">
                  <v>423</v>
                </pt>
                <pt idx="52">
                  <v>828</v>
                </pt>
                <pt idx="53">
                  <v>1935</v>
                </pt>
                <pt idx="54">
                  <v>196</v>
                </pt>
                <pt idx="55">
                  <v>313</v>
                </pt>
                <pt idx="56">
                  <v>181</v>
                </pt>
                <pt idx="57">
                  <v>0</v>
                </pt>
                <pt idx="58">
                  <v>130</v>
                </pt>
                <pt idx="59">
                  <v>4124</v>
                </pt>
                <pt idx="60">
                  <v>144</v>
                </pt>
                <pt idx="61">
                  <v>66</v>
                </pt>
                <pt idx="62">
                  <v>589</v>
                </pt>
                <pt idx="63">
                  <v>225</v>
                </pt>
                <pt idx="64">
                  <v>366</v>
                </pt>
                <pt idx="65">
                  <v>739</v>
                </pt>
                <pt idx="66">
                  <v>0</v>
                </pt>
                <pt idx="67">
                  <v>233</v>
                </pt>
                <pt idx="68">
                  <v>224</v>
                </pt>
                <pt idx="69">
                  <v>485</v>
                </pt>
                <pt idx="70">
                  <v>11581</v>
                </pt>
                <pt idx="71">
                  <v>575</v>
                </pt>
                <pt idx="72">
                  <v>3106</v>
                </pt>
                <pt idx="73">
                  <v>4099.200000000001</v>
                </pt>
                <pt idx="74">
                  <v>7886.399999999999</v>
                </pt>
                <pt idx="75">
                  <v>622</v>
                </pt>
                <pt idx="76">
                  <v>2214</v>
                </pt>
                <pt idx="77">
                  <v>909</v>
                </pt>
                <pt idx="78">
                  <v>1011</v>
                </pt>
                <pt idx="79">
                  <v>0</v>
                </pt>
                <pt idx="80">
                  <v>190</v>
                </pt>
                <pt idx="81">
                  <v>174</v>
                </pt>
                <pt idx="82">
                  <v>862</v>
                </pt>
                <pt idx="83">
                  <v>657</v>
                </pt>
                <pt idx="84">
                  <v>481</v>
                </pt>
                <pt idx="85">
                  <v>735</v>
                </pt>
                <pt idx="86">
                  <v>2051</v>
                </pt>
                <pt idx="87">
                  <v>807</v>
                </pt>
                <pt idx="88">
                  <v>866</v>
                </pt>
                <pt idx="89">
                  <v>731</v>
                </pt>
                <pt idx="90">
                  <v>291</v>
                </pt>
                <pt idx="91">
                  <v>90</v>
                </pt>
                <pt idx="92">
                  <v>588</v>
                </pt>
                <pt idx="93">
                  <v>317</v>
                </pt>
                <pt idx="94">
                  <v>476</v>
                </pt>
                <pt idx="95">
                  <v>1449</v>
                </pt>
                <pt idx="96">
                  <v>1001</v>
                </pt>
                <pt idx="97">
                  <v>1112</v>
                </pt>
                <pt idx="98">
                  <v>624</v>
                </pt>
                <pt idx="99">
                  <v>243</v>
                </pt>
                <pt idx="100">
                  <v>1282</v>
                </pt>
                <pt idx="101">
                  <v>683</v>
                </pt>
                <pt idx="102">
                  <v>1410</v>
                </pt>
                <pt idx="103">
                  <v>1223</v>
                </pt>
                <pt idx="104">
                  <v>540</v>
                </pt>
                <pt idx="105">
                  <v>174</v>
                </pt>
                <pt idx="106">
                  <v>869</v>
                </pt>
                <pt idx="107">
                  <v>640</v>
                </pt>
                <pt idx="108">
                  <v>631</v>
                </pt>
                <pt idx="109">
                  <v>567</v>
                </pt>
                <pt idx="110">
                  <v>889</v>
                </pt>
                <pt idx="111">
                  <v>1137</v>
                </pt>
                <pt idx="112">
                  <v>723</v>
                </pt>
                <pt idx="113">
                  <v>1104</v>
                </pt>
                <pt idx="114">
                  <v>68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</numCache>
            </numRef>
          </val>
        </ser>
        <ser>
          <idx val="3"/>
          <order val="3"/>
          <tx>
            <strRef>
              <f>'Raw Data (KG)'!$E$1</f>
              <strCache>
                <ptCount val="1"/>
                <pt idx="0">
                  <v xml:space="preserve"> Paper (corrugated containers+office paper+ newspapers) 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(KG)'!$E$2:$E$130</f>
              <numCache>
                <formatCode>_(* #,##0_);_(* \(#,##0\);_(* "-"??_);_(@_)</formatCode>
                <ptCount val="129"/>
                <pt idx="0">
                  <v>5120</v>
                </pt>
                <pt idx="1">
                  <v>4100</v>
                </pt>
                <pt idx="2">
                  <v>4900</v>
                </pt>
                <pt idx="3">
                  <v>4700</v>
                </pt>
                <pt idx="4">
                  <v>4450</v>
                </pt>
                <pt idx="5">
                  <v>4150</v>
                </pt>
                <pt idx="6">
                  <v>4360</v>
                </pt>
                <pt idx="7">
                  <v>4400</v>
                </pt>
                <pt idx="8">
                  <v>4800</v>
                </pt>
                <pt idx="9">
                  <v>4620</v>
                </pt>
                <pt idx="10">
                  <v>4900</v>
                </pt>
                <pt idx="11">
                  <v>4700</v>
                </pt>
                <pt idx="12">
                  <v>4520</v>
                </pt>
                <pt idx="13">
                  <v>4610</v>
                </pt>
                <pt idx="14">
                  <v>4500</v>
                </pt>
                <pt idx="15">
                  <v>4100</v>
                </pt>
                <pt idx="16">
                  <v>4900</v>
                </pt>
                <pt idx="17">
                  <v>4750</v>
                </pt>
                <pt idx="18">
                  <v>4640</v>
                </pt>
                <pt idx="19">
                  <v>4540</v>
                </pt>
                <pt idx="20">
                  <v>4140</v>
                </pt>
                <pt idx="21">
                  <v>4040</v>
                </pt>
                <pt idx="22">
                  <v>4090</v>
                </pt>
                <pt idx="23">
                  <v>4000</v>
                </pt>
                <pt idx="24">
                  <v>4150</v>
                </pt>
                <pt idx="25">
                  <v>4020</v>
                </pt>
                <pt idx="26">
                  <v>3810</v>
                </pt>
                <pt idx="27">
                  <v>3970</v>
                </pt>
                <pt idx="28">
                  <v>3890</v>
                </pt>
                <pt idx="29">
                  <v>3810</v>
                </pt>
                <pt idx="30">
                  <v>4230</v>
                </pt>
                <pt idx="31">
                  <v>4070</v>
                </pt>
                <pt idx="32">
                  <v>4120</v>
                </pt>
                <pt idx="33">
                  <v>4050</v>
                </pt>
                <pt idx="34">
                  <v>4080</v>
                </pt>
                <pt idx="35">
                  <v>4120</v>
                </pt>
                <pt idx="36">
                  <v>2980</v>
                </pt>
                <pt idx="37">
                  <v>7160</v>
                </pt>
                <pt idx="38">
                  <v>7820</v>
                </pt>
                <pt idx="39">
                  <v>9300</v>
                </pt>
                <pt idx="40">
                  <v>9900</v>
                </pt>
                <pt idx="41">
                  <v>9450</v>
                </pt>
                <pt idx="42">
                  <v>10200</v>
                </pt>
                <pt idx="43">
                  <v>9070</v>
                </pt>
                <pt idx="44">
                  <v>9840</v>
                </pt>
                <pt idx="45">
                  <v>10420</v>
                </pt>
                <pt idx="46">
                  <v>11250</v>
                </pt>
                <pt idx="47">
                  <v>7160</v>
                </pt>
                <pt idx="48">
                  <v>10930</v>
                </pt>
                <pt idx="49">
                  <v>10700</v>
                </pt>
                <pt idx="50">
                  <v>7160</v>
                </pt>
                <pt idx="51">
                  <v>9910</v>
                </pt>
                <pt idx="52">
                  <v>9740</v>
                </pt>
                <pt idx="53">
                  <v>8410</v>
                </pt>
                <pt idx="54">
                  <v>9740</v>
                </pt>
                <pt idx="55">
                  <v>7530</v>
                </pt>
                <pt idx="56">
                  <v>9500</v>
                </pt>
                <pt idx="57">
                  <v>9790</v>
                </pt>
                <pt idx="58">
                  <v>11580</v>
                </pt>
                <pt idx="59">
                  <v>10110</v>
                </pt>
                <pt idx="60">
                  <v>11130</v>
                </pt>
                <pt idx="61">
                  <v>10170</v>
                </pt>
                <pt idx="62">
                  <v>9110</v>
                </pt>
                <pt idx="63">
                  <v>7540</v>
                </pt>
                <pt idx="64">
                  <v>7720</v>
                </pt>
                <pt idx="65">
                  <v>7080</v>
                </pt>
                <pt idx="66">
                  <v>9880</v>
                </pt>
                <pt idx="67">
                  <v>7000</v>
                </pt>
                <pt idx="68">
                  <v>9520</v>
                </pt>
                <pt idx="69">
                  <v>8220</v>
                </pt>
                <pt idx="70">
                  <v>6735</v>
                </pt>
                <pt idx="71">
                  <v>7100</v>
                </pt>
                <pt idx="72">
                  <v>12152</v>
                </pt>
                <pt idx="73">
                  <v>5646</v>
                </pt>
                <pt idx="74">
                  <v>10805</v>
                </pt>
                <pt idx="75">
                  <v>14330</v>
                </pt>
                <pt idx="76">
                  <v>12030</v>
                </pt>
                <pt idx="77">
                  <v>13715</v>
                </pt>
                <pt idx="78">
                  <v>12753</v>
                </pt>
                <pt idx="79">
                  <v>7410</v>
                </pt>
                <pt idx="80">
                  <v>10071</v>
                </pt>
                <pt idx="81">
                  <v>8981</v>
                </pt>
                <pt idx="82">
                  <v>9906</v>
                </pt>
                <pt idx="83">
                  <v>12620</v>
                </pt>
                <pt idx="84">
                  <v>12224</v>
                </pt>
                <pt idx="85">
                  <v>11764</v>
                </pt>
                <pt idx="86">
                  <v>12331</v>
                </pt>
                <pt idx="87">
                  <v>13196</v>
                </pt>
                <pt idx="88">
                  <v>11978</v>
                </pt>
                <pt idx="89">
                  <v>11422</v>
                </pt>
                <pt idx="90">
                  <v>12557</v>
                </pt>
                <pt idx="91">
                  <v>11838</v>
                </pt>
                <pt idx="92">
                  <v>14191</v>
                </pt>
                <pt idx="93">
                  <v>12749</v>
                </pt>
                <pt idx="94">
                  <v>12531</v>
                </pt>
                <pt idx="95">
                  <v>13034</v>
                </pt>
                <pt idx="96">
                  <v>12407</v>
                </pt>
                <pt idx="97">
                  <v>14252</v>
                </pt>
                <pt idx="98">
                  <v>15030</v>
                </pt>
                <pt idx="99">
                  <v>12985</v>
                </pt>
                <pt idx="100">
                  <v>13164</v>
                </pt>
                <pt idx="101">
                  <v>13435</v>
                </pt>
                <pt idx="102">
                  <v>13422</v>
                </pt>
                <pt idx="103">
                  <v>9823</v>
                </pt>
                <pt idx="104">
                  <v>9495</v>
                </pt>
                <pt idx="105">
                  <v>9308</v>
                </pt>
                <pt idx="106">
                  <v>10020</v>
                </pt>
                <pt idx="107">
                  <v>10130</v>
                </pt>
                <pt idx="108">
                  <v>10024</v>
                </pt>
                <pt idx="109">
                  <v>11052</v>
                </pt>
                <pt idx="110">
                  <v>12231</v>
                </pt>
                <pt idx="111">
                  <v>11893</v>
                </pt>
                <pt idx="112">
                  <v>11445</v>
                </pt>
                <pt idx="113">
                  <v>11105</v>
                </pt>
                <pt idx="114">
                  <v>9350</v>
                </pt>
                <pt idx="115">
                  <v>10379</v>
                </pt>
                <pt idx="116">
                  <v>11198</v>
                </pt>
                <pt idx="117">
                  <v>10871</v>
                </pt>
                <pt idx="118">
                  <v>10533</v>
                </pt>
                <pt idx="119">
                  <v>10392</v>
                </pt>
                <pt idx="120">
                  <v>10670</v>
                </pt>
                <pt idx="121">
                  <v>10732</v>
                </pt>
                <pt idx="122">
                  <v>11135</v>
                </pt>
                <pt idx="123">
                  <v>11304</v>
                </pt>
                <pt idx="124">
                  <v>13460</v>
                </pt>
                <pt idx="125">
                  <v>13442</v>
                </pt>
                <pt idx="126">
                  <v>13416</v>
                </pt>
                <pt idx="127">
                  <v>12589</v>
                </pt>
                <pt idx="128">
                  <v>13346</v>
                </pt>
              </numCache>
            </numRef>
          </val>
        </ser>
        <ser>
          <idx val="4"/>
          <order val="4"/>
          <tx>
            <strRef>
              <f>'Raw Data (KG)'!$F$1</f>
              <strCache>
                <ptCount val="1"/>
                <pt idx="0">
                  <v xml:space="preserve"> Metal (Aluminium) 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(KG)'!$F$2:$F$130</f>
              <numCache>
                <formatCode>_(* #,##0_);_(* \(#,##0\);_(* "-"??_);_(@_)</formatCode>
                <ptCount val="129"/>
                <pt idx="0">
                  <v>108</v>
                </pt>
                <pt idx="1">
                  <v>300</v>
                </pt>
                <pt idx="2">
                  <v>320</v>
                </pt>
                <pt idx="3">
                  <v>150</v>
                </pt>
                <pt idx="4">
                  <v>11</v>
                </pt>
                <pt idx="5">
                  <v>90</v>
                </pt>
                <pt idx="6">
                  <v>70</v>
                </pt>
                <pt idx="7">
                  <v>200</v>
                </pt>
                <pt idx="8">
                  <v>150</v>
                </pt>
                <pt idx="9">
                  <v>110</v>
                </pt>
                <pt idx="10">
                  <v>350</v>
                </pt>
                <pt idx="11">
                  <v>450</v>
                </pt>
                <pt idx="12">
                  <v>150</v>
                </pt>
                <pt idx="13">
                  <v>140</v>
                </pt>
                <pt idx="14">
                  <v>350</v>
                </pt>
                <pt idx="15">
                  <v>90</v>
                </pt>
                <pt idx="16">
                  <v>110</v>
                </pt>
                <pt idx="17">
                  <v>100</v>
                </pt>
                <pt idx="18">
                  <v>370</v>
                </pt>
                <pt idx="19">
                  <v>110</v>
                </pt>
                <pt idx="20">
                  <v>140</v>
                </pt>
                <pt idx="21">
                  <v>110</v>
                </pt>
                <pt idx="22">
                  <v>550</v>
                </pt>
                <pt idx="23">
                  <v>150</v>
                </pt>
                <pt idx="24">
                  <v>110</v>
                </pt>
                <pt idx="25">
                  <v>130</v>
                </pt>
                <pt idx="26">
                  <v>100</v>
                </pt>
                <pt idx="27">
                  <v>90</v>
                </pt>
                <pt idx="28">
                  <v>100</v>
                </pt>
                <pt idx="29">
                  <v>250</v>
                </pt>
                <pt idx="30">
                  <v>300</v>
                </pt>
                <pt idx="31">
                  <v>250</v>
                </pt>
                <pt idx="32">
                  <v>170</v>
                </pt>
                <pt idx="33">
                  <v>140</v>
                </pt>
                <pt idx="34">
                  <v>110</v>
                </pt>
                <pt idx="35">
                  <v>270</v>
                </pt>
                <pt idx="36">
                  <v>260</v>
                </pt>
                <pt idx="37">
                  <v>400</v>
                </pt>
                <pt idx="38">
                  <v>250</v>
                </pt>
                <pt idx="39">
                  <v>150</v>
                </pt>
                <pt idx="40">
                  <v>110</v>
                </pt>
                <pt idx="41">
                  <v>270</v>
                </pt>
                <pt idx="42">
                  <v>180</v>
                </pt>
                <pt idx="43">
                  <v>210</v>
                </pt>
                <pt idx="44">
                  <v>210</v>
                </pt>
                <pt idx="45">
                  <v>290</v>
                </pt>
                <pt idx="46">
                  <v>260</v>
                </pt>
                <pt idx="47">
                  <v>400</v>
                </pt>
                <pt idx="48">
                  <v>270</v>
                </pt>
                <pt idx="49">
                  <v>210</v>
                </pt>
                <pt idx="50">
                  <v>400</v>
                </pt>
                <pt idx="51">
                  <v>200</v>
                </pt>
                <pt idx="52">
                  <v>210</v>
                </pt>
                <pt idx="53">
                  <v>150</v>
                </pt>
                <pt idx="54">
                  <v>210</v>
                </pt>
                <pt idx="55">
                  <v>150</v>
                </pt>
                <pt idx="56">
                  <v>170</v>
                </pt>
                <pt idx="57">
                  <v>170</v>
                </pt>
                <pt idx="58">
                  <v>170</v>
                </pt>
                <pt idx="59">
                  <v>210</v>
                </pt>
                <pt idx="60">
                  <v>260</v>
                </pt>
                <pt idx="61">
                  <v>310</v>
                </pt>
                <pt idx="62">
                  <v>270</v>
                </pt>
                <pt idx="63">
                  <v>190</v>
                </pt>
                <pt idx="64">
                  <v>170</v>
                </pt>
                <pt idx="65">
                  <v>120</v>
                </pt>
                <pt idx="66">
                  <v>170</v>
                </pt>
                <pt idx="67">
                  <v>160</v>
                </pt>
                <pt idx="68">
                  <v>180</v>
                </pt>
                <pt idx="69">
                  <v>160</v>
                </pt>
                <pt idx="70">
                  <v>140</v>
                </pt>
                <pt idx="71">
                  <v>170</v>
                </pt>
                <pt idx="72">
                  <v>100</v>
                </pt>
                <pt idx="73">
                  <v>51</v>
                </pt>
                <pt idx="74">
                  <v>83</v>
                </pt>
                <pt idx="75">
                  <v>107</v>
                </pt>
                <pt idx="76">
                  <v>107</v>
                </pt>
                <pt idx="77">
                  <v>94</v>
                </pt>
                <pt idx="78">
                  <v>80</v>
                </pt>
                <pt idx="79">
                  <v>56</v>
                </pt>
                <pt idx="80">
                  <v>77</v>
                </pt>
                <pt idx="81">
                  <v>67</v>
                </pt>
                <pt idx="82">
                  <v>76</v>
                </pt>
                <pt idx="83">
                  <v>88</v>
                </pt>
                <pt idx="84">
                  <v>107</v>
                </pt>
                <pt idx="85">
                  <v>107</v>
                </pt>
                <pt idx="86">
                  <v>105</v>
                </pt>
                <pt idx="87">
                  <v>96</v>
                </pt>
                <pt idx="88">
                  <v>100</v>
                </pt>
                <pt idx="89">
                  <v>86</v>
                </pt>
                <pt idx="90">
                  <v>82</v>
                </pt>
                <pt idx="91">
                  <v>89</v>
                </pt>
                <pt idx="92">
                  <v>90</v>
                </pt>
                <pt idx="93">
                  <v>77</v>
                </pt>
                <pt idx="94">
                  <v>77</v>
                </pt>
                <pt idx="95">
                  <v>73</v>
                </pt>
                <pt idx="96">
                  <v>79</v>
                </pt>
                <pt idx="97">
                  <v>82</v>
                </pt>
                <pt idx="98">
                  <v>92</v>
                </pt>
                <pt idx="99">
                  <v>81</v>
                </pt>
                <pt idx="100">
                  <v>88</v>
                </pt>
                <pt idx="101">
                  <v>87</v>
                </pt>
                <pt idx="102">
                  <v>82</v>
                </pt>
                <pt idx="103">
                  <v>59</v>
                </pt>
                <pt idx="104">
                  <v>65</v>
                </pt>
                <pt idx="105">
                  <v>61</v>
                </pt>
                <pt idx="106">
                  <v>65</v>
                </pt>
                <pt idx="107">
                  <v>59</v>
                </pt>
                <pt idx="108">
                  <v>62</v>
                </pt>
                <pt idx="109">
                  <v>71</v>
                </pt>
                <pt idx="110">
                  <v>76</v>
                </pt>
                <pt idx="111">
                  <v>79</v>
                </pt>
                <pt idx="112">
                  <v>77</v>
                </pt>
                <pt idx="113">
                  <v>65</v>
                </pt>
                <pt idx="114">
                  <v>58</v>
                </pt>
                <pt idx="115">
                  <v>60</v>
                </pt>
                <pt idx="116">
                  <v>71</v>
                </pt>
                <pt idx="117">
                  <v>61</v>
                </pt>
                <pt idx="118">
                  <v>69</v>
                </pt>
                <pt idx="119">
                  <v>63</v>
                </pt>
                <pt idx="120">
                  <v>69</v>
                </pt>
                <pt idx="121">
                  <v>72</v>
                </pt>
                <pt idx="122">
                  <v>70</v>
                </pt>
                <pt idx="123">
                  <v>72</v>
                </pt>
                <pt idx="124">
                  <v>86</v>
                </pt>
                <pt idx="125">
                  <v>83</v>
                </pt>
                <pt idx="126">
                  <v>75</v>
                </pt>
                <pt idx="127">
                  <v>75</v>
                </pt>
                <pt idx="128">
                  <v>78</v>
                </pt>
              </numCache>
            </numRef>
          </val>
        </ser>
        <ser>
          <idx val="5"/>
          <order val="5"/>
          <tx>
            <strRef>
              <f>'Raw Data (KG)'!$G$1</f>
              <strCache>
                <ptCount val="1"/>
                <pt idx="0">
                  <v xml:space="preserve"> Metal Skip (Metal) 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(KG)'!$G$2:$G$130</f>
              <numCache>
                <formatCode>_(* #,##0_);_(* \(#,##0\);_(* "-"??_);_(@_)</formatCode>
                <ptCount val="129"/>
                <pt idx="56">
                  <v>330</v>
                </pt>
                <pt idx="72">
                  <v>423</v>
                </pt>
                <pt idx="73">
                  <v>267</v>
                </pt>
                <pt idx="74">
                  <v>169</v>
                </pt>
                <pt idx="75">
                  <v>179</v>
                </pt>
                <pt idx="76">
                  <v>220</v>
                </pt>
                <pt idx="77">
                  <v>197</v>
                </pt>
                <pt idx="78">
                  <v>214</v>
                </pt>
                <pt idx="79">
                  <v>164</v>
                </pt>
                <pt idx="80">
                  <v>211</v>
                </pt>
                <pt idx="81">
                  <v>214</v>
                </pt>
                <pt idx="82">
                  <v>1743</v>
                </pt>
                <pt idx="83">
                  <v>2264</v>
                </pt>
                <pt idx="84">
                  <v>1459</v>
                </pt>
                <pt idx="85">
                  <v>1874</v>
                </pt>
                <pt idx="86">
                  <v>266</v>
                </pt>
                <pt idx="87">
                  <v>249</v>
                </pt>
                <pt idx="88">
                  <v>321</v>
                </pt>
                <pt idx="89">
                  <v>321</v>
                </pt>
                <pt idx="90">
                  <v>262</v>
                </pt>
                <pt idx="91">
                  <v>1701</v>
                </pt>
                <pt idx="92">
                  <v>251</v>
                </pt>
                <pt idx="93">
                  <v>1274</v>
                </pt>
                <pt idx="94">
                  <v>802</v>
                </pt>
                <pt idx="95">
                  <v>259</v>
                </pt>
                <pt idx="96">
                  <v>1049</v>
                </pt>
                <pt idx="97">
                  <v>294</v>
                </pt>
                <pt idx="98">
                  <v>810</v>
                </pt>
                <pt idx="99">
                  <v>911</v>
                </pt>
                <pt idx="100">
                  <v>282</v>
                </pt>
                <pt idx="101">
                  <v>984</v>
                </pt>
                <pt idx="102">
                  <v>1130</v>
                </pt>
                <pt idx="103">
                  <v>254</v>
                </pt>
                <pt idx="104">
                  <v>324</v>
                </pt>
                <pt idx="105">
                  <v>1040</v>
                </pt>
                <pt idx="106">
                  <v>251</v>
                </pt>
                <pt idx="107">
                  <v>245</v>
                </pt>
                <pt idx="108">
                  <v>748</v>
                </pt>
                <pt idx="109">
                  <v>1232</v>
                </pt>
                <pt idx="110">
                  <v>555</v>
                </pt>
                <pt idx="111">
                  <v>647</v>
                </pt>
                <pt idx="112">
                  <v>659</v>
                </pt>
                <pt idx="113">
                  <v>1568</v>
                </pt>
                <pt idx="114">
                  <v>714</v>
                </pt>
                <pt idx="115">
                  <v>1050</v>
                </pt>
                <pt idx="116">
                  <v>903</v>
                </pt>
                <pt idx="117">
                  <v>666</v>
                </pt>
                <pt idx="118">
                  <v>569</v>
                </pt>
                <pt idx="119">
                  <v>834</v>
                </pt>
                <pt idx="120">
                  <v>846</v>
                </pt>
                <pt idx="121">
                  <v>800</v>
                </pt>
                <pt idx="122">
                  <v>731</v>
                </pt>
                <pt idx="123">
                  <v>661</v>
                </pt>
                <pt idx="124">
                  <v>666</v>
                </pt>
                <pt idx="125">
                  <v>259</v>
                </pt>
                <pt idx="126">
                  <v>660</v>
                </pt>
                <pt idx="127">
                  <v>243</v>
                </pt>
                <pt idx="128">
                  <v>455</v>
                </pt>
              </numCache>
            </numRef>
          </val>
        </ser>
        <ser>
          <idx val="6"/>
          <order val="6"/>
          <tx>
            <strRef>
              <f>'Raw Data (KG)'!$H$1</f>
              <strCache>
                <ptCount val="1"/>
                <pt idx="0">
                  <v xml:space="preserve"> Plastic (waste plastic bottles + plastic bag)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(KG)'!$H$2:$H$130</f>
              <numCache>
                <formatCode>_(* #,##0_);_(* \(#,##0\);_(* "-"??_);_(@_)</formatCode>
                <ptCount val="129"/>
                <pt idx="0">
                  <v>240</v>
                </pt>
                <pt idx="1">
                  <v>250</v>
                </pt>
                <pt idx="2">
                  <v>310</v>
                </pt>
                <pt idx="3">
                  <v>440</v>
                </pt>
                <pt idx="4">
                  <v>570</v>
                </pt>
                <pt idx="5">
                  <v>600</v>
                </pt>
                <pt idx="6">
                  <v>520</v>
                </pt>
                <pt idx="7">
                  <v>410</v>
                </pt>
                <pt idx="8">
                  <v>390</v>
                </pt>
                <pt idx="9">
                  <v>510</v>
                </pt>
                <pt idx="10">
                  <v>470</v>
                </pt>
                <pt idx="11">
                  <v>400</v>
                </pt>
                <pt idx="12">
                  <v>370</v>
                </pt>
                <pt idx="13">
                  <v>400</v>
                </pt>
                <pt idx="14">
                  <v>390</v>
                </pt>
                <pt idx="15">
                  <v>420</v>
                </pt>
                <pt idx="16">
                  <v>390</v>
                </pt>
                <pt idx="17">
                  <v>420</v>
                </pt>
                <pt idx="18">
                  <v>390</v>
                </pt>
                <pt idx="19">
                  <v>380</v>
                </pt>
                <pt idx="20">
                  <v>410</v>
                </pt>
                <pt idx="21">
                  <v>500</v>
                </pt>
                <pt idx="22">
                  <v>460</v>
                </pt>
                <pt idx="23">
                  <v>410</v>
                </pt>
                <pt idx="24">
                  <v>510</v>
                </pt>
                <pt idx="25">
                  <v>480</v>
                </pt>
                <pt idx="26">
                  <v>390</v>
                </pt>
                <pt idx="27">
                  <v>480</v>
                </pt>
                <pt idx="28">
                  <v>450</v>
                </pt>
                <pt idx="29">
                  <v>370</v>
                </pt>
                <pt idx="30">
                  <v>460</v>
                </pt>
                <pt idx="31">
                  <v>490</v>
                </pt>
                <pt idx="32">
                  <v>500</v>
                </pt>
                <pt idx="33">
                  <v>410</v>
                </pt>
                <pt idx="34">
                  <v>500</v>
                </pt>
                <pt idx="35">
                  <v>490</v>
                </pt>
                <pt idx="36">
                  <v>510</v>
                </pt>
                <pt idx="37">
                  <v>577.5</v>
                </pt>
                <pt idx="38">
                  <v>1119.8</v>
                </pt>
                <pt idx="39">
                  <v>2310</v>
                </pt>
                <pt idx="40">
                  <v>2627.5</v>
                </pt>
                <pt idx="41">
                  <v>1472.5</v>
                </pt>
                <pt idx="42">
                  <v>1682</v>
                </pt>
                <pt idx="43">
                  <v>1845.5</v>
                </pt>
                <pt idx="44">
                  <v>1991</v>
                </pt>
                <pt idx="45">
                  <v>2070.2</v>
                </pt>
                <pt idx="46">
                  <v>1900</v>
                </pt>
                <pt idx="47">
                  <v>3011</v>
                </pt>
                <pt idx="48">
                  <v>1863.5</v>
                </pt>
                <pt idx="49">
                  <v>975</v>
                </pt>
                <pt idx="50">
                  <v>975</v>
                </pt>
                <pt idx="51">
                  <v>1691</v>
                </pt>
                <pt idx="52">
                  <v>975</v>
                </pt>
                <pt idx="53">
                  <v>1882</v>
                </pt>
                <pt idx="54">
                  <v>975</v>
                </pt>
                <pt idx="55">
                  <v>140</v>
                </pt>
                <pt idx="56">
                  <v>450</v>
                </pt>
                <pt idx="57">
                  <v>460</v>
                </pt>
                <pt idx="58">
                  <v>670</v>
                </pt>
                <pt idx="59">
                  <v>340</v>
                </pt>
                <pt idx="60">
                  <v>560</v>
                </pt>
                <pt idx="61">
                  <v>540</v>
                </pt>
                <pt idx="62">
                  <v>660</v>
                </pt>
                <pt idx="63">
                  <v>1170</v>
                </pt>
                <pt idx="64">
                  <v>820</v>
                </pt>
                <pt idx="65">
                  <v>830</v>
                </pt>
                <pt idx="66">
                  <v>610</v>
                </pt>
                <pt idx="67">
                  <v>390</v>
                </pt>
                <pt idx="68">
                  <v>950</v>
                </pt>
                <pt idx="69">
                  <v>920</v>
                </pt>
                <pt idx="70">
                  <v>1080</v>
                </pt>
                <pt idx="71">
                  <v>870</v>
                </pt>
                <pt idx="72">
                  <v>390</v>
                </pt>
                <pt idx="73">
                  <v>302</v>
                </pt>
                <pt idx="74">
                  <v>380</v>
                </pt>
                <pt idx="75">
                  <v>462</v>
                </pt>
                <pt idx="76">
                  <v>401</v>
                </pt>
                <pt idx="77">
                  <v>340</v>
                </pt>
                <pt idx="78">
                  <v>280</v>
                </pt>
                <pt idx="79">
                  <v>250</v>
                </pt>
                <pt idx="80">
                  <v>356</v>
                </pt>
                <pt idx="81">
                  <v>284</v>
                </pt>
                <pt idx="82">
                  <v>291</v>
                </pt>
                <pt idx="83">
                  <v>322</v>
                </pt>
                <pt idx="84">
                  <v>340</v>
                </pt>
                <pt idx="85">
                  <v>343</v>
                </pt>
                <pt idx="86">
                  <v>344</v>
                </pt>
                <pt idx="87">
                  <v>348</v>
                </pt>
                <pt idx="88">
                  <v>477</v>
                </pt>
                <pt idx="89">
                  <v>352</v>
                </pt>
                <pt idx="90">
                  <v>305</v>
                </pt>
                <pt idx="91">
                  <v>366</v>
                </pt>
                <pt idx="92">
                  <v>433</v>
                </pt>
                <pt idx="93">
                  <v>383</v>
                </pt>
                <pt idx="94">
                  <v>563</v>
                </pt>
                <pt idx="95">
                  <v>350</v>
                </pt>
                <pt idx="96">
                  <v>535</v>
                </pt>
                <pt idx="97">
                  <v>356</v>
                </pt>
                <pt idx="98">
                  <v>336</v>
                </pt>
                <pt idx="99">
                  <v>304</v>
                </pt>
                <pt idx="100">
                  <v>285</v>
                </pt>
                <pt idx="101">
                  <v>361</v>
                </pt>
                <pt idx="102">
                  <v>288</v>
                </pt>
                <pt idx="103">
                  <v>191</v>
                </pt>
                <pt idx="104">
                  <v>185.4</v>
                </pt>
                <pt idx="105">
                  <v>137</v>
                </pt>
                <pt idx="106">
                  <v>113</v>
                </pt>
                <pt idx="107">
                  <v>148</v>
                </pt>
                <pt idx="108">
                  <v>232</v>
                </pt>
                <pt idx="109">
                  <v>248</v>
                </pt>
                <pt idx="110">
                  <v>266</v>
                </pt>
                <pt idx="111">
                  <v>266</v>
                </pt>
                <pt idx="112">
                  <v>273</v>
                </pt>
                <pt idx="113">
                  <v>279</v>
                </pt>
                <pt idx="114">
                  <v>198</v>
                </pt>
                <pt idx="115">
                  <v>217</v>
                </pt>
                <pt idx="116">
                  <v>285</v>
                </pt>
                <pt idx="117">
                  <v>220</v>
                </pt>
                <pt idx="118">
                  <v>260</v>
                </pt>
                <pt idx="119">
                  <v>244</v>
                </pt>
                <pt idx="120">
                  <v>216</v>
                </pt>
                <pt idx="121">
                  <v>227</v>
                </pt>
                <pt idx="122">
                  <v>261</v>
                </pt>
                <pt idx="123">
                  <v>323</v>
                </pt>
                <pt idx="124">
                  <v>399</v>
                </pt>
                <pt idx="125">
                  <v>379</v>
                </pt>
                <pt idx="126">
                  <v>359</v>
                </pt>
                <pt idx="127">
                  <v>356</v>
                </pt>
                <pt idx="128">
                  <v>393</v>
                </pt>
              </numCache>
            </numRef>
          </val>
        </ser>
        <ser>
          <idx val="7"/>
          <order val="7"/>
          <tx>
            <strRef>
              <f>'Raw Data (KG)'!$I$1</f>
              <strCache>
                <ptCount val="1"/>
                <pt idx="0">
                  <v xml:space="preserve"> Expanded Polystyrene 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(KG)'!$I$2:$I$130</f>
              <numCache>
                <formatCode>_(* #,##0_);_(* \(#,##0\);_(* "-"??_);_(@_)</formatCode>
                <ptCount val="129"/>
                <pt idx="53">
                  <v>110.05</v>
                </pt>
                <pt idx="54">
                  <v>58.3</v>
                </pt>
                <pt idx="55">
                  <v>60.3</v>
                </pt>
                <pt idx="56">
                  <v>68.5</v>
                </pt>
                <pt idx="57">
                  <v>56.4</v>
                </pt>
                <pt idx="58">
                  <v>0</v>
                </pt>
                <pt idx="59">
                  <v>119.65</v>
                </pt>
                <pt idx="60">
                  <v>57.8</v>
                </pt>
                <pt idx="61">
                  <v>29.5</v>
                </pt>
                <pt idx="62">
                  <v>0</v>
                </pt>
                <pt idx="63">
                  <v>223.45</v>
                </pt>
                <pt idx="64">
                  <v>159.65</v>
                </pt>
                <pt idx="65">
                  <v>78</v>
                </pt>
                <pt idx="66">
                  <v>79.5</v>
                </pt>
                <pt idx="67">
                  <v>61.5</v>
                </pt>
                <pt idx="68">
                  <v>70.2</v>
                </pt>
                <pt idx="69">
                  <v>0</v>
                </pt>
                <pt idx="70">
                  <v>62.35</v>
                </pt>
                <pt idx="71">
                  <v>63.8</v>
                </pt>
                <pt idx="73">
                  <v>67.09999999999999</v>
                </pt>
                <pt idx="74">
                  <v>157.25</v>
                </pt>
                <pt idx="75">
                  <v>81</v>
                </pt>
                <pt idx="76">
                  <v>391.95</v>
                </pt>
                <pt idx="77">
                  <v>72.34999999999999</v>
                </pt>
                <pt idx="78">
                  <v>76.84999999999999</v>
                </pt>
                <pt idx="79">
                  <v>71.90000000000001</v>
                </pt>
                <pt idx="80">
                  <v>82.09999999999999</v>
                </pt>
                <pt idx="81">
                  <v>136</v>
                </pt>
                <pt idx="82">
                  <v>223.15</v>
                </pt>
                <pt idx="83">
                  <v>145.1</v>
                </pt>
                <pt idx="84">
                  <v>233.8</v>
                </pt>
                <pt idx="85">
                  <v>137.15</v>
                </pt>
                <pt idx="86">
                  <v>168.75</v>
                </pt>
                <pt idx="87">
                  <v>162.7</v>
                </pt>
                <pt idx="88">
                  <v>242.15</v>
                </pt>
                <pt idx="89">
                  <v>161.05</v>
                </pt>
                <pt idx="90">
                  <v>83.55</v>
                </pt>
                <pt idx="91">
                  <v>185.05</v>
                </pt>
                <pt idx="92">
                  <v>142.6</v>
                </pt>
                <pt idx="93">
                  <v>124.75</v>
                </pt>
                <pt idx="94">
                  <v>130.3</v>
                </pt>
                <pt idx="95">
                  <v>115.7</v>
                </pt>
                <pt idx="96">
                  <v>81.84999999999999</v>
                </pt>
                <pt idx="97">
                  <v>75.95</v>
                </pt>
                <pt idx="98">
                  <v>70.05</v>
                </pt>
                <pt idx="99">
                  <v>157.35</v>
                </pt>
                <pt idx="100">
                  <v>67.75</v>
                </pt>
                <pt idx="101">
                  <v>63.95</v>
                </pt>
                <pt idx="102">
                  <v>133.65</v>
                </pt>
                <pt idx="103">
                  <v>67.65000000000001</v>
                </pt>
                <pt idx="104">
                  <v>206.75</v>
                </pt>
                <pt idx="105">
                  <v>153.8</v>
                </pt>
                <pt idx="106">
                  <v>57.35</v>
                </pt>
                <pt idx="107">
                  <v>127.8</v>
                </pt>
                <pt idx="108">
                  <v>101.95</v>
                </pt>
                <pt idx="109">
                  <v>90.25</v>
                </pt>
                <pt idx="110">
                  <v>55.25</v>
                </pt>
                <pt idx="111">
                  <v>120.55</v>
                </pt>
                <pt idx="112">
                  <v>0</v>
                </pt>
                <pt idx="113">
                  <v>0</v>
                </pt>
                <pt idx="114">
                  <v>36.5</v>
                </pt>
                <pt idx="115">
                  <v>0</v>
                </pt>
                <pt idx="116">
                  <v>35.8</v>
                </pt>
                <pt idx="117">
                  <v>35.75</v>
                </pt>
                <pt idx="118">
                  <v>28.9</v>
                </pt>
                <pt idx="119">
                  <v>41.45</v>
                </pt>
                <pt idx="120">
                  <v>43.5</v>
                </pt>
                <pt idx="121">
                  <v>53.9</v>
                </pt>
                <pt idx="122">
                  <v>43.75</v>
                </pt>
                <pt idx="123">
                  <v>19.6</v>
                </pt>
                <pt idx="124">
                  <v>20.6</v>
                </pt>
                <pt idx="125">
                  <v>17.8</v>
                </pt>
                <pt idx="126">
                  <v>19.8</v>
                </pt>
                <pt idx="127">
                  <v>15.4</v>
                </pt>
                <pt idx="128">
                  <v>22.8</v>
                </pt>
              </numCache>
            </numRef>
          </val>
        </ser>
        <ser>
          <idx val="8"/>
          <order val="8"/>
          <tx>
            <strRef>
              <f>'Raw Data (KG)'!$J$1</f>
              <strCache>
                <ptCount val="1"/>
                <pt idx="0">
                  <v xml:space="preserve"> CD @0.154kg 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(KG)'!$J$2:$J$130</f>
            </numRef>
          </val>
        </ser>
        <ser>
          <idx val="9"/>
          <order val="9"/>
          <tx>
            <strRef>
              <f>'Raw Data (KG)'!$K$1</f>
              <strCache>
                <ptCount val="1"/>
                <pt idx="0">
                  <v xml:space="preserve"> Glass 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(KG)'!$K$2:$K$130</f>
              <numCache>
                <formatCode>_(* #,##0_);_(* \(#,##0\);_(* "-"??_);_(@_)</formatCode>
                <ptCount val="129"/>
                <pt idx="13">
                  <v>626</v>
                </pt>
                <pt idx="14">
                  <v>827</v>
                </pt>
                <pt idx="15">
                  <v>728</v>
                </pt>
                <pt idx="16">
                  <v>1653</v>
                </pt>
                <pt idx="17">
                  <v>875</v>
                </pt>
                <pt idx="18">
                  <v>870</v>
                </pt>
                <pt idx="19">
                  <v>856</v>
                </pt>
                <pt idx="20">
                  <v>1953</v>
                </pt>
                <pt idx="21">
                  <v>1067</v>
                </pt>
                <pt idx="22">
                  <v>1074</v>
                </pt>
                <pt idx="23">
                  <v>1038</v>
                </pt>
                <pt idx="24">
                  <v>957</v>
                </pt>
                <pt idx="25">
                  <v>827</v>
                </pt>
                <pt idx="26">
                  <v>1956</v>
                </pt>
                <pt idx="27">
                  <v>3297</v>
                </pt>
                <pt idx="28">
                  <v>1785</v>
                </pt>
                <pt idx="29">
                  <v>1400</v>
                </pt>
                <pt idx="30">
                  <v>1647</v>
                </pt>
                <pt idx="31">
                  <v>3015</v>
                </pt>
                <pt idx="32">
                  <v>1168</v>
                </pt>
                <pt idx="33">
                  <v>1397</v>
                </pt>
                <pt idx="34">
                  <v>1824</v>
                </pt>
                <pt idx="35">
                  <v>1672</v>
                </pt>
                <pt idx="36">
                  <v>2495</v>
                </pt>
                <pt idx="37">
                  <v>1142</v>
                </pt>
                <pt idx="38">
                  <v>2204</v>
                </pt>
                <pt idx="39">
                  <v>1653</v>
                </pt>
                <pt idx="40">
                  <v>3458</v>
                </pt>
                <pt idx="41">
                  <v>1465</v>
                </pt>
                <pt idx="42">
                  <v>1726</v>
                </pt>
                <pt idx="43">
                  <v>1475</v>
                </pt>
                <pt idx="44">
                  <v>1816</v>
                </pt>
                <pt idx="45">
                  <v>1894</v>
                </pt>
                <pt idx="46">
                  <v>1563</v>
                </pt>
                <pt idx="47">
                  <v>1981</v>
                </pt>
                <pt idx="48">
                  <v>1948</v>
                </pt>
                <pt idx="49">
                  <v>1726</v>
                </pt>
                <pt idx="50">
                  <v>3290</v>
                </pt>
                <pt idx="51">
                  <v>0</v>
                </pt>
                <pt idx="52">
                  <v>3956</v>
                </pt>
                <pt idx="53">
                  <v>4858</v>
                </pt>
                <pt idx="54">
                  <v>0</v>
                </pt>
                <pt idx="55">
                  <v>2040</v>
                </pt>
                <pt idx="56">
                  <v>1740</v>
                </pt>
                <pt idx="57">
                  <v>1490</v>
                </pt>
                <pt idx="58">
                  <v>0</v>
                </pt>
                <pt idx="59">
                  <v>3470</v>
                </pt>
                <pt idx="60">
                  <v>0</v>
                </pt>
                <pt idx="61">
                  <v>2620</v>
                </pt>
                <pt idx="62">
                  <v>845</v>
                </pt>
                <pt idx="63">
                  <v>1663</v>
                </pt>
                <pt idx="64">
                  <v>812</v>
                </pt>
                <pt idx="65">
                  <v>2191</v>
                </pt>
                <pt idx="66">
                  <v>1388</v>
                </pt>
                <pt idx="67">
                  <v>1172</v>
                </pt>
                <pt idx="68">
                  <v>1793</v>
                </pt>
                <pt idx="69">
                  <v>1845</v>
                </pt>
                <pt idx="70">
                  <v>1356</v>
                </pt>
                <pt idx="71">
                  <v>2613</v>
                </pt>
                <pt idx="72">
                  <v>1388</v>
                </pt>
                <pt idx="73">
                  <v>2411</v>
                </pt>
                <pt idx="74">
                  <v>2352</v>
                </pt>
                <pt idx="75">
                  <v>2259</v>
                </pt>
                <pt idx="76">
                  <v>542</v>
                </pt>
                <pt idx="77">
                  <v>874</v>
                </pt>
                <pt idx="78">
                  <v>0</v>
                </pt>
                <pt idx="79">
                  <v>0</v>
                </pt>
                <pt idx="80">
                  <v>1020</v>
                </pt>
                <pt idx="81">
                  <v>0</v>
                </pt>
                <pt idx="82">
                  <v>863</v>
                </pt>
                <pt idx="83">
                  <v>982</v>
                </pt>
                <pt idx="84">
                  <v>0</v>
                </pt>
                <pt idx="85">
                  <v>734</v>
                </pt>
                <pt idx="86">
                  <v>643</v>
                </pt>
                <pt idx="87">
                  <v>971</v>
                </pt>
                <pt idx="88">
                  <v>781</v>
                </pt>
                <pt idx="89">
                  <v>971</v>
                </pt>
                <pt idx="90">
                  <v>1544</v>
                </pt>
                <pt idx="91">
                  <v>0</v>
                </pt>
                <pt idx="92">
                  <v>758</v>
                </pt>
                <pt idx="93">
                  <v>0</v>
                </pt>
                <pt idx="94">
                  <v>1085</v>
                </pt>
                <pt idx="95">
                  <v>908</v>
                </pt>
                <pt idx="96">
                  <v>1043</v>
                </pt>
                <pt idx="97">
                  <v>0</v>
                </pt>
                <pt idx="98">
                  <v>1006</v>
                </pt>
                <pt idx="99">
                  <v>891</v>
                </pt>
                <pt idx="100">
                  <v>625</v>
                </pt>
                <pt idx="101">
                  <v>0</v>
                </pt>
                <pt idx="102">
                  <v>0</v>
                </pt>
                <pt idx="103">
                  <v>869</v>
                </pt>
                <pt idx="104">
                  <v>0</v>
                </pt>
                <pt idx="105">
                  <v>1036</v>
                </pt>
                <pt idx="106">
                  <v>0</v>
                </pt>
                <pt idx="107">
                  <v>1056</v>
                </pt>
                <pt idx="108">
                  <v>0</v>
                </pt>
                <pt idx="109">
                  <v>1973</v>
                </pt>
                <pt idx="110">
                  <v>0</v>
                </pt>
                <pt idx="111">
                  <v>1009</v>
                </pt>
                <pt idx="112">
                  <v>993</v>
                </pt>
                <pt idx="113">
                  <v>762</v>
                </pt>
                <pt idx="114">
                  <v>757</v>
                </pt>
                <pt idx="115">
                  <v>670</v>
                </pt>
                <pt idx="116">
                  <v>603</v>
                </pt>
                <pt idx="117">
                  <v>499</v>
                </pt>
                <pt idx="118">
                  <v>0</v>
                </pt>
                <pt idx="119">
                  <v>608</v>
                </pt>
                <pt idx="120">
                  <v>673</v>
                </pt>
                <pt idx="121">
                  <v>996</v>
                </pt>
                <pt idx="122">
                  <v>0</v>
                </pt>
                <pt idx="123">
                  <v>1412</v>
                </pt>
                <pt idx="124">
                  <v>975</v>
                </pt>
                <pt idx="125">
                  <v>856</v>
                </pt>
                <pt idx="126">
                  <v>0</v>
                </pt>
                <pt idx="127">
                  <v>698</v>
                </pt>
                <pt idx="128">
                  <v>597</v>
                </pt>
              </numCache>
            </numRef>
          </val>
        </ser>
        <ser>
          <idx val="10"/>
          <order val="10"/>
          <tx>
            <strRef>
              <f>'Raw Data (KG)'!$L$1</f>
              <strCache>
                <ptCount val="1"/>
                <pt idx="0">
                  <v xml:space="preserve"> Clothes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(KG)'!$L$2:$L$130</f>
              <numCache>
                <formatCode>_(* #,##0_);_(* \(#,##0\);_(* "-"??_);_(@_)</formatCode>
                <ptCount val="129"/>
                <pt idx="15">
                  <v>0</v>
                </pt>
                <pt idx="16">
                  <v>0</v>
                </pt>
                <pt idx="17">
                  <v>160</v>
                </pt>
                <pt idx="18">
                  <v>70</v>
                </pt>
                <pt idx="19">
                  <v>0</v>
                </pt>
                <pt idx="20">
                  <v>0</v>
                </pt>
                <pt idx="21">
                  <v>240</v>
                </pt>
                <pt idx="22">
                  <v>400</v>
                </pt>
                <pt idx="23">
                  <v>270</v>
                </pt>
                <pt idx="24">
                  <v>0</v>
                </pt>
                <pt idx="25">
                  <v>270</v>
                </pt>
                <pt idx="26">
                  <v>120</v>
                </pt>
                <pt idx="27">
                  <v>160</v>
                </pt>
                <pt idx="28">
                  <v>50</v>
                </pt>
                <pt idx="29">
                  <v>250</v>
                </pt>
                <pt idx="30">
                  <v>100</v>
                </pt>
                <pt idx="31">
                  <v>160</v>
                </pt>
                <pt idx="32">
                  <v>30</v>
                </pt>
                <pt idx="33">
                  <v>100</v>
                </pt>
                <pt idx="34">
                  <v>150</v>
                </pt>
                <pt idx="35">
                  <v>340</v>
                </pt>
                <pt idx="36">
                  <v>0</v>
                </pt>
                <pt idx="37">
                  <v>200</v>
                </pt>
                <pt idx="38">
                  <v>220</v>
                </pt>
                <pt idx="39">
                  <v>0</v>
                </pt>
                <pt idx="40">
                  <v>0</v>
                </pt>
                <pt idx="41">
                  <v>50</v>
                </pt>
                <pt idx="42">
                  <v>0</v>
                </pt>
                <pt idx="43">
                  <v>120</v>
                </pt>
                <pt idx="44">
                  <v>0</v>
                </pt>
                <pt idx="45">
                  <v>150</v>
                </pt>
                <pt idx="46">
                  <v>250</v>
                </pt>
                <pt idx="47">
                  <v>250</v>
                </pt>
                <pt idx="48">
                  <v>100</v>
                </pt>
                <pt idx="49">
                  <v>0</v>
                </pt>
                <pt idx="50">
                  <v>200</v>
                </pt>
                <pt idx="51">
                  <v>70</v>
                </pt>
                <pt idx="52">
                  <v>100</v>
                </pt>
                <pt idx="53">
                  <v>100</v>
                </pt>
                <pt idx="54">
                  <v>150</v>
                </pt>
                <pt idx="55">
                  <v>0</v>
                </pt>
                <pt idx="56">
                  <v>80</v>
                </pt>
                <pt idx="57">
                  <v>180</v>
                </pt>
                <pt idx="58">
                  <v>170</v>
                </pt>
                <pt idx="59">
                  <v>280</v>
                </pt>
                <pt idx="60">
                  <v>130</v>
                </pt>
                <pt idx="61">
                  <v>0</v>
                </pt>
                <pt idx="62">
                  <v>260</v>
                </pt>
                <pt idx="63">
                  <v>30</v>
                </pt>
                <pt idx="64">
                  <v>0</v>
                </pt>
                <pt idx="65">
                  <v>100</v>
                </pt>
                <pt idx="66">
                  <v>180</v>
                </pt>
                <pt idx="67">
                  <v>0</v>
                </pt>
                <pt idx="68">
                  <v>120</v>
                </pt>
                <pt idx="69">
                  <v>100</v>
                </pt>
                <pt idx="70">
                  <v>130</v>
                </pt>
                <pt idx="71">
                  <v>150</v>
                </pt>
                <pt idx="72">
                  <v>110</v>
                </pt>
                <pt idx="73">
                  <v>70</v>
                </pt>
                <pt idx="74">
                  <v>40</v>
                </pt>
                <pt idx="75">
                  <v>40</v>
                </pt>
                <pt idx="76">
                  <v>30</v>
                </pt>
                <pt idx="77">
                  <v>50</v>
                </pt>
                <pt idx="78">
                  <v>80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180</v>
                </pt>
                <pt idx="84">
                  <v>70</v>
                </pt>
                <pt idx="85">
                  <v>100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30</v>
                </pt>
                <pt idx="93">
                  <v>130</v>
                </pt>
                <pt idx="94">
                  <v>50</v>
                </pt>
                <pt idx="95">
                  <v>130</v>
                </pt>
                <pt idx="96">
                  <v>150</v>
                </pt>
                <pt idx="97">
                  <v>130</v>
                </pt>
                <pt idx="98">
                  <v>80</v>
                </pt>
                <pt idx="99">
                  <v>150</v>
                </pt>
                <pt idx="100">
                  <v>30</v>
                </pt>
                <pt idx="101">
                  <v>70</v>
                </pt>
                <pt idx="102">
                  <v>200</v>
                </pt>
                <pt idx="103">
                  <v>0</v>
                </pt>
                <pt idx="104">
                  <v>0</v>
                </pt>
                <pt idx="105">
                  <v>160</v>
                </pt>
                <pt idx="106">
                  <v>80</v>
                </pt>
                <pt idx="107">
                  <v>150</v>
                </pt>
                <pt idx="108">
                  <v>150</v>
                </pt>
                <pt idx="109">
                  <v>150</v>
                </pt>
                <pt idx="110">
                  <v>110</v>
                </pt>
                <pt idx="111">
                  <v>60</v>
                </pt>
                <pt idx="112">
                  <v>180</v>
                </pt>
                <pt idx="113">
                  <v>230</v>
                </pt>
                <pt idx="114">
                  <v>90</v>
                </pt>
                <pt idx="115">
                  <v>140</v>
                </pt>
                <pt idx="116">
                  <v>200</v>
                </pt>
                <pt idx="117">
                  <v>250</v>
                </pt>
                <pt idx="118">
                  <v>120</v>
                </pt>
                <pt idx="119">
                  <v>180</v>
                </pt>
                <pt idx="120">
                  <v>170</v>
                </pt>
                <pt idx="121">
                  <v>250</v>
                </pt>
                <pt idx="122">
                  <v>180</v>
                </pt>
                <pt idx="123">
                  <v>170</v>
                </pt>
                <pt idx="124">
                  <v>190</v>
                </pt>
                <pt idx="125">
                  <v>180</v>
                </pt>
                <pt idx="126">
                  <v>200</v>
                </pt>
                <pt idx="127">
                  <v>160</v>
                </pt>
                <pt idx="128">
                  <v>130</v>
                </pt>
              </numCache>
            </numRef>
          </val>
        </ser>
        <ser>
          <idx val="11"/>
          <order val="11"/>
          <tx>
            <strRef>
              <f>'Raw Data (KG)'!$M$1</f>
              <strCache>
                <ptCount val="1"/>
                <pt idx="0">
                  <v xml:space="preserve"> Fluorescent Tube @ 0.3kg 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(KG)'!$M$2:$M$130</f>
              <numCache>
                <formatCode>_(* #,##0_);_(* \(#,##0\);_(* "-"??_);_(@_)</formatCode>
                <ptCount val="129"/>
                <pt idx="0">
                  <v>217</v>
                </pt>
                <pt idx="1">
                  <v>203</v>
                </pt>
                <pt idx="2">
                  <v>223</v>
                </pt>
                <pt idx="3">
                  <v>400</v>
                </pt>
                <pt idx="4">
                  <v>800</v>
                </pt>
                <pt idx="5">
                  <v>600</v>
                </pt>
                <pt idx="6">
                  <v>600</v>
                </pt>
                <pt idx="7">
                  <v>800</v>
                </pt>
                <pt idx="8">
                  <v>800</v>
                </pt>
                <pt idx="9">
                  <v>800</v>
                </pt>
                <pt idx="10">
                  <v>800</v>
                </pt>
                <pt idx="11">
                  <v>800</v>
                </pt>
                <pt idx="12">
                  <v>1000</v>
                </pt>
                <pt idx="13">
                  <v>800</v>
                </pt>
                <pt idx="14">
                  <v>800</v>
                </pt>
                <pt idx="15">
                  <v>800</v>
                </pt>
                <pt idx="16">
                  <v>800</v>
                </pt>
                <pt idx="17">
                  <v>1000</v>
                </pt>
                <pt idx="18">
                  <v>800</v>
                </pt>
                <pt idx="19">
                  <v>800</v>
                </pt>
                <pt idx="20">
                  <v>800</v>
                </pt>
                <pt idx="21">
                  <v>1000</v>
                </pt>
                <pt idx="22">
                  <v>800</v>
                </pt>
                <pt idx="23">
                  <v>800</v>
                </pt>
                <pt idx="24">
                  <v>1000</v>
                </pt>
                <pt idx="25">
                  <v>800</v>
                </pt>
                <pt idx="26">
                  <v>1000</v>
                </pt>
                <pt idx="27">
                  <v>800</v>
                </pt>
                <pt idx="28">
                  <v>800</v>
                </pt>
                <pt idx="29">
                  <v>1200</v>
                </pt>
                <pt idx="30">
                  <formatCode>#,##0</formatCode>
                  <v>1200</v>
                </pt>
                <pt idx="31">
                  <formatCode>#,##0</formatCode>
                  <v>600</v>
                </pt>
                <pt idx="32">
                  <formatCode>#,##0</formatCode>
                  <v>1200</v>
                </pt>
                <pt idx="33">
                  <formatCode>#,##0</formatCode>
                  <v>600</v>
                </pt>
                <pt idx="34">
                  <formatCode>#,##0</formatCode>
                  <v>1000</v>
                </pt>
                <pt idx="35">
                  <formatCode>#,##0</formatCode>
                  <v>800</v>
                </pt>
                <pt idx="36">
                  <formatCode>#,##0</formatCode>
                  <v>1000</v>
                </pt>
                <pt idx="37">
                  <formatCode>#,##0</formatCode>
                  <v>2400</v>
                </pt>
                <pt idx="38">
                  <formatCode>#,##0</formatCode>
                  <v>1800</v>
                </pt>
                <pt idx="39">
                  <formatCode>#,##0</formatCode>
                  <v>2000</v>
                </pt>
                <pt idx="40">
                  <formatCode>#,##0</formatCode>
                  <v>1600</v>
                </pt>
                <pt idx="41">
                  <formatCode>#,##0</formatCode>
                  <v>1400</v>
                </pt>
                <pt idx="42">
                  <formatCode>#,##0</formatCode>
                  <v>1400</v>
                </pt>
                <pt idx="43">
                  <formatCode>#,##0</formatCode>
                  <v>2800</v>
                </pt>
                <pt idx="44">
                  <formatCode>#,##0</formatCode>
                  <v>3000</v>
                </pt>
                <pt idx="45">
                  <formatCode>#,##0</formatCode>
                  <v>1400</v>
                </pt>
                <pt idx="46">
                  <formatCode>#,##0</formatCode>
                  <v>3400</v>
                </pt>
                <pt idx="47">
                  <formatCode>#,##0</formatCode>
                  <v>800</v>
                </pt>
                <pt idx="48">
                  <formatCode>#,##0</formatCode>
                  <v>3200</v>
                </pt>
                <pt idx="49">
                  <formatCode>#,##0</formatCode>
                  <v>800</v>
                </pt>
                <pt idx="50">
                  <formatCode>#,##0</formatCode>
                  <v>800</v>
                </pt>
                <pt idx="51">
                  <formatCode>#,##0</formatCode>
                  <v>800</v>
                </pt>
                <pt idx="52">
                  <formatCode>#,##0</formatCode>
                  <v>1200</v>
                </pt>
                <pt idx="53">
                  <formatCode>#,##0</formatCode>
                  <v>1800</v>
                </pt>
                <pt idx="54">
                  <formatCode>#,##0</formatCode>
                  <v>1600</v>
                </pt>
                <pt idx="55">
                  <formatCode>#,##0</formatCode>
                  <v>1200</v>
                </pt>
                <pt idx="56">
                  <formatCode>#,##0</formatCode>
                  <v>1600</v>
                </pt>
                <pt idx="57">
                  <formatCode>#,##0</formatCode>
                  <v>4600</v>
                </pt>
                <pt idx="58">
                  <formatCode>#,##0</formatCode>
                  <v>2400</v>
                </pt>
                <pt idx="59">
                  <formatCode>#,##0</formatCode>
                  <v>800</v>
                </pt>
                <pt idx="60">
                  <formatCode>#,##0</formatCode>
                  <v>800</v>
                </pt>
                <pt idx="61">
                  <formatCode>#,##0</formatCode>
                  <v>800</v>
                </pt>
                <pt idx="62">
                  <formatCode>#,##0</formatCode>
                  <v>800</v>
                </pt>
                <pt idx="63">
                  <formatCode>#,##0</formatCode>
                  <v>2400</v>
                </pt>
                <pt idx="64">
                  <formatCode>#,##0</formatCode>
                  <v>1800</v>
                </pt>
                <pt idx="65">
                  <formatCode>#,##0</formatCode>
                  <v>1800</v>
                </pt>
                <pt idx="66">
                  <formatCode>#,##0</formatCode>
                  <v>2800</v>
                </pt>
                <pt idx="67">
                  <formatCode>#,##0</formatCode>
                  <v>1400</v>
                </pt>
                <pt idx="68">
                  <formatCode>#,##0</formatCode>
                  <v>800</v>
                </pt>
                <pt idx="69">
                  <formatCode>#,##0</formatCode>
                  <v>2200</v>
                </pt>
                <pt idx="70">
                  <formatCode>#,##0</formatCode>
                  <v>800</v>
                </pt>
                <pt idx="71">
                  <formatCode>#,##0</formatCode>
                  <v>800</v>
                </pt>
                <pt idx="72">
                  <formatCode>#,##0</formatCode>
                  <v>800</v>
                </pt>
                <pt idx="73">
                  <formatCode>#,##0</formatCode>
                  <v>600</v>
                </pt>
                <pt idx="74">
                  <formatCode>#,##0</formatCode>
                  <v>800</v>
                </pt>
                <pt idx="75">
                  <formatCode>#,##0</formatCode>
                  <v>400</v>
                </pt>
                <pt idx="76">
                  <formatCode>#,##0</formatCode>
                  <v>800</v>
                </pt>
                <pt idx="77">
                  <formatCode>#,##0</formatCode>
                  <v>800</v>
                </pt>
                <pt idx="78">
                  <formatCode>#,##0</formatCode>
                  <v>800</v>
                </pt>
                <pt idx="79">
                  <formatCode>#,##0</formatCode>
                  <v>400</v>
                </pt>
                <pt idx="80">
                  <formatCode>#,##0</formatCode>
                  <v>400</v>
                </pt>
                <pt idx="81">
                  <formatCode>#,##0</formatCode>
                  <v>400</v>
                </pt>
                <pt idx="82">
                  <formatCode>#,##0</formatCode>
                  <v>800</v>
                </pt>
                <pt idx="83">
                  <formatCode>#,##0</formatCode>
                  <v>1600</v>
                </pt>
                <pt idx="84">
                  <formatCode>#,##0</formatCode>
                  <v>400</v>
                </pt>
                <pt idx="85">
                  <formatCode>#,##0</formatCode>
                  <v>1200</v>
                </pt>
                <pt idx="86">
                  <formatCode>#,##0</formatCode>
                  <v>800</v>
                </pt>
                <pt idx="87">
                  <formatCode>#,##0</formatCode>
                  <v>400</v>
                </pt>
                <pt idx="88">
                  <formatCode>#,##0</formatCode>
                  <v>800</v>
                </pt>
                <pt idx="89">
                  <formatCode>#,##0</formatCode>
                  <v>600</v>
                </pt>
                <pt idx="90">
                  <formatCode>#,##0</formatCode>
                  <v>600</v>
                </pt>
                <pt idx="91">
                  <formatCode>#,##0</formatCode>
                  <v>600</v>
                </pt>
                <pt idx="92">
                  <formatCode>#,##0</formatCode>
                  <v>400</v>
                </pt>
                <pt idx="93">
                  <formatCode>#,##0</formatCode>
                  <v>800</v>
                </pt>
                <pt idx="94">
                  <formatCode>#,##0</formatCode>
                  <v>800</v>
                </pt>
                <pt idx="95">
                  <formatCode>#,##0</formatCode>
                  <v>800</v>
                </pt>
                <pt idx="96">
                  <formatCode>#,##0</formatCode>
                  <v>800</v>
                </pt>
                <pt idx="97">
                  <formatCode>#,##0</formatCode>
                  <v>800</v>
                </pt>
                <pt idx="98">
                  <formatCode>#,##0</formatCode>
                  <v>800</v>
                </pt>
                <pt idx="99">
                  <formatCode>#,##0</formatCode>
                  <v>800</v>
                </pt>
                <pt idx="100">
                  <formatCode>#,##0</formatCode>
                  <v>800</v>
                </pt>
                <pt idx="101">
                  <formatCode>#,##0</formatCode>
                  <v>600</v>
                </pt>
                <pt idx="102">
                  <formatCode>#,##0</formatCode>
                  <v>1200</v>
                </pt>
                <pt idx="103">
                  <formatCode>#,##0</formatCode>
                  <v>400</v>
                </pt>
                <pt idx="104">
                  <formatCode>#,##0</formatCode>
                  <v>400</v>
                </pt>
                <pt idx="105">
                  <formatCode>#,##0</formatCode>
                  <v>800</v>
                </pt>
                <pt idx="106">
                  <formatCode>#,##0</formatCode>
                  <v>400</v>
                </pt>
                <pt idx="107">
                  <formatCode>#,##0</formatCode>
                  <v>800</v>
                </pt>
                <pt idx="108">
                  <formatCode>#,##0</formatCode>
                  <v>600</v>
                </pt>
                <pt idx="109">
                  <formatCode>#,##0</formatCode>
                  <v>1200</v>
                </pt>
                <pt idx="110">
                  <formatCode>#,##0</formatCode>
                  <v>400</v>
                </pt>
                <pt idx="111">
                  <formatCode>#,##0</formatCode>
                  <v>800</v>
                </pt>
                <pt idx="112">
                  <formatCode>#,##0</formatCode>
                  <v>800</v>
                </pt>
                <pt idx="113">
                  <formatCode>#,##0</formatCode>
                  <v>800</v>
                </pt>
                <pt idx="114">
                  <formatCode>#,##0</formatCode>
                  <v>400</v>
                </pt>
                <pt idx="115">
                  <formatCode>#,##0</formatCode>
                  <v>600</v>
                </pt>
                <pt idx="116">
                  <formatCode>#,##0</formatCode>
                  <v>800</v>
                </pt>
                <pt idx="117">
                  <formatCode>#,##0</formatCode>
                  <v>200</v>
                </pt>
                <pt idx="118">
                  <formatCode>#,##0</formatCode>
                  <v>400</v>
                </pt>
                <pt idx="119">
                  <formatCode>#,##0</formatCode>
                  <v>1200</v>
                </pt>
                <pt idx="120">
                  <formatCode>#,##0</formatCode>
                  <v>1200</v>
                </pt>
                <pt idx="121">
                  <formatCode>#,##0</formatCode>
                  <v>600</v>
                </pt>
                <pt idx="122">
                  <formatCode>#,##0</formatCode>
                  <v>800</v>
                </pt>
                <pt idx="123">
                  <formatCode>#,##0</formatCode>
                  <v>400</v>
                </pt>
                <pt idx="124">
                  <formatCode>#,##0</formatCode>
                  <v>800</v>
                </pt>
                <pt idx="125">
                  <formatCode>#,##0</formatCode>
                  <v>1200</v>
                </pt>
                <pt idx="126">
                  <formatCode>#,##0</formatCode>
                  <v>800</v>
                </pt>
                <pt idx="127">
                  <formatCode>#,##0</formatCode>
                  <v>800</v>
                </pt>
                <pt idx="128">
                  <formatCode>#,##0</formatCode>
                  <v>400</v>
                </pt>
              </numCache>
            </numRef>
          </val>
        </ser>
        <ser>
          <idx val="12"/>
          <order val="12"/>
          <tx>
            <strRef>
              <f>'Raw Data (KG)'!$N$1</f>
              <strCache>
                <ptCount val="1"/>
                <pt idx="0">
                  <v>Lamp @ 0.07kg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(KG)'!$N$2:$N$130</f>
              <numCache>
                <formatCode>_(* #,##0_);_(* \(#,##0\);_(* "-"??_);_(@_)</formatCode>
                <ptCount val="129"/>
                <pt idx="0">
                  <v>23</v>
                </pt>
                <pt idx="1">
                  <v>22</v>
                </pt>
                <pt idx="2">
                  <v>24</v>
                </pt>
                <pt idx="3">
                  <v>200</v>
                </pt>
                <pt idx="4">
                  <v>400</v>
                </pt>
                <pt idx="5">
                  <v>400</v>
                </pt>
                <pt idx="6">
                  <v>200</v>
                </pt>
                <pt idx="7">
                  <v>200</v>
                </pt>
                <pt idx="8">
                  <v>400</v>
                </pt>
                <pt idx="9">
                  <v>400</v>
                </pt>
                <pt idx="10">
                  <v>400</v>
                </pt>
                <pt idx="11">
                  <v>400</v>
                </pt>
                <pt idx="12">
                  <v>600</v>
                </pt>
                <pt idx="13">
                  <v>400</v>
                </pt>
                <pt idx="14">
                  <v>400</v>
                </pt>
                <pt idx="15">
                  <v>400</v>
                </pt>
                <pt idx="16">
                  <v>400</v>
                </pt>
                <pt idx="17">
                  <v>400</v>
                </pt>
                <pt idx="18">
                  <v>400</v>
                </pt>
                <pt idx="19">
                  <v>400</v>
                </pt>
                <pt idx="20">
                  <v>400</v>
                </pt>
                <pt idx="21">
                  <v>400</v>
                </pt>
                <pt idx="22">
                  <v>400</v>
                </pt>
                <pt idx="23">
                  <v>400</v>
                </pt>
                <pt idx="24">
                  <v>600</v>
                </pt>
                <pt idx="25">
                  <v>400</v>
                </pt>
                <pt idx="26">
                  <v>400</v>
                </pt>
                <pt idx="27">
                  <v>200</v>
                </pt>
                <pt idx="28">
                  <v>600</v>
                </pt>
                <pt idx="29">
                  <v>1200</v>
                </pt>
                <pt idx="30">
                  <formatCode>#,##0</formatCode>
                  <v>400</v>
                </pt>
                <pt idx="31">
                  <formatCode>#,##0</formatCode>
                  <v>200</v>
                </pt>
                <pt idx="32">
                  <formatCode>#,##0</formatCode>
                  <v>400</v>
                </pt>
                <pt idx="33">
                  <formatCode>#,##0</formatCode>
                  <v>400</v>
                </pt>
                <pt idx="34">
                  <formatCode>#,##0</formatCode>
                  <v>400</v>
                </pt>
                <pt idx="35">
                  <formatCode>#,##0</formatCode>
                  <v>400</v>
                </pt>
                <pt idx="36">
                  <formatCode>#,##0</formatCode>
                  <v>600</v>
                </pt>
                <pt idx="37">
                  <formatCode>#,##0</formatCode>
                  <v>200</v>
                </pt>
                <pt idx="38">
                  <formatCode>#,##0</formatCode>
                  <v>400</v>
                </pt>
                <pt idx="39">
                  <formatCode>#,##0</formatCode>
                  <v>200</v>
                </pt>
                <pt idx="40">
                  <formatCode>#,##0</formatCode>
                  <v>400</v>
                </pt>
                <pt idx="41">
                  <formatCode>#,##0</formatCode>
                  <v>200</v>
                </pt>
                <pt idx="42">
                  <formatCode>#,##0</formatCode>
                  <v>0</v>
                </pt>
                <pt idx="43">
                  <formatCode>#,##0</formatCode>
                  <v>400</v>
                </pt>
                <pt idx="44">
                  <formatCode>#,##0</formatCode>
                  <v>0</v>
                </pt>
                <pt idx="45">
                  <formatCode>#,##0</formatCode>
                  <v>400</v>
                </pt>
                <pt idx="46">
                  <formatCode>#,##0</formatCode>
                  <v>400</v>
                </pt>
                <pt idx="47">
                  <formatCode>#,##0</formatCode>
                  <v>400</v>
                </pt>
                <pt idx="48">
                  <formatCode>#,##0</formatCode>
                  <v>400</v>
                </pt>
                <pt idx="49">
                  <formatCode>#,##0</formatCode>
                  <v>400</v>
                </pt>
                <pt idx="50">
                  <formatCode>#,##0</formatCode>
                  <v>400</v>
                </pt>
                <pt idx="51">
                  <formatCode>#,##0</formatCode>
                  <v>400</v>
                </pt>
                <pt idx="52">
                  <formatCode>#,##0</formatCode>
                  <v>600</v>
                </pt>
                <pt idx="53">
                  <formatCode>#,##0</formatCode>
                  <v>400</v>
                </pt>
                <pt idx="54">
                  <formatCode>#,##0</formatCode>
                  <v>400</v>
                </pt>
                <pt idx="55">
                  <formatCode>#,##0</formatCode>
                  <v>200</v>
                </pt>
                <pt idx="56">
                  <formatCode>#,##0</formatCode>
                  <v>400</v>
                </pt>
                <pt idx="57">
                  <formatCode>#,##0</formatCode>
                  <v>400</v>
                </pt>
                <pt idx="58">
                  <formatCode>#,##0</formatCode>
                  <v>200</v>
                </pt>
                <pt idx="59">
                  <formatCode>#,##0</formatCode>
                  <v>400</v>
                </pt>
                <pt idx="60">
                  <formatCode>#,##0</formatCode>
                  <v>400</v>
                </pt>
                <pt idx="61">
                  <formatCode>#,##0</formatCode>
                  <v>400</v>
                </pt>
                <pt idx="62">
                  <formatCode>#,##0</formatCode>
                  <v>400</v>
                </pt>
                <pt idx="63">
                  <formatCode>#,##0</formatCode>
                  <v>600</v>
                </pt>
                <pt idx="64">
                  <formatCode>#,##0</formatCode>
                  <v>200</v>
                </pt>
                <pt idx="65">
                  <formatCode>#,##0</formatCode>
                  <v>400</v>
                </pt>
                <pt idx="66">
                  <formatCode>#,##0</formatCode>
                  <v>400</v>
                </pt>
                <pt idx="67">
                  <formatCode>#,##0</formatCode>
                  <v>400</v>
                </pt>
                <pt idx="68">
                  <formatCode>#,##0</formatCode>
                  <v>200</v>
                </pt>
                <pt idx="69">
                  <formatCode>#,##0</formatCode>
                  <v>400</v>
                </pt>
                <pt idx="70">
                  <formatCode>#,##0</formatCode>
                  <v>200</v>
                </pt>
                <pt idx="71">
                  <formatCode>#,##0</formatCode>
                  <v>200</v>
                </pt>
                <pt idx="72">
                  <formatCode>#,##0</formatCode>
                  <v>400</v>
                </pt>
                <pt idx="73">
                  <formatCode>#,##0</formatCode>
                  <v>400</v>
                </pt>
                <pt idx="74">
                  <formatCode>#,##0</formatCode>
                  <v>600</v>
                </pt>
                <pt idx="75">
                  <formatCode>#,##0</formatCode>
                  <v>400</v>
                </pt>
                <pt idx="76">
                  <formatCode>#,##0</formatCode>
                  <v>400</v>
                </pt>
                <pt idx="77">
                  <formatCode>#,##0</formatCode>
                  <v>400</v>
                </pt>
                <pt idx="78">
                  <formatCode>#,##0</formatCode>
                  <v>400</v>
                </pt>
                <pt idx="79">
                  <formatCode>#,##0</formatCode>
                  <v>200</v>
                </pt>
                <pt idx="80">
                  <formatCode>#,##0</formatCode>
                  <v>200</v>
                </pt>
                <pt idx="81">
                  <formatCode>#,##0</formatCode>
                  <v>200</v>
                </pt>
                <pt idx="82">
                  <formatCode>#,##0</formatCode>
                  <v>400</v>
                </pt>
                <pt idx="83">
                  <formatCode>#,##0</formatCode>
                  <v>400</v>
                </pt>
                <pt idx="84">
                  <formatCode>#,##0</formatCode>
                  <v>200</v>
                </pt>
                <pt idx="85">
                  <formatCode>#,##0</formatCode>
                  <v>600</v>
                </pt>
                <pt idx="86">
                  <formatCode>#,##0</formatCode>
                  <v>400</v>
                </pt>
                <pt idx="87">
                  <formatCode>#,##0</formatCode>
                  <v>400</v>
                </pt>
                <pt idx="88">
                  <formatCode>#,##0</formatCode>
                  <v>400</v>
                </pt>
                <pt idx="89">
                  <formatCode>#,##0</formatCode>
                  <v>200</v>
                </pt>
                <pt idx="90">
                  <formatCode>#,##0</formatCode>
                  <v>400</v>
                </pt>
                <pt idx="91">
                  <formatCode>#,##0</formatCode>
                  <v>400</v>
                </pt>
                <pt idx="92">
                  <formatCode>#,##0</formatCode>
                  <v>200</v>
                </pt>
                <pt idx="93">
                  <formatCode>#,##0</formatCode>
                  <v>400</v>
                </pt>
                <pt idx="94">
                  <formatCode>#,##0</formatCode>
                  <v>400</v>
                </pt>
                <pt idx="95">
                  <formatCode>#,##0</formatCode>
                  <v>400</v>
                </pt>
                <pt idx="96">
                  <formatCode>#,##0</formatCode>
                  <v>400</v>
                </pt>
                <pt idx="97">
                  <formatCode>#,##0</formatCode>
                  <v>400</v>
                </pt>
                <pt idx="98">
                  <formatCode>#,##0</formatCode>
                  <v>400</v>
                </pt>
                <pt idx="99">
                  <formatCode>#,##0</formatCode>
                  <v>400</v>
                </pt>
                <pt idx="100">
                  <formatCode>#,##0</formatCode>
                  <v>400</v>
                </pt>
                <pt idx="101">
                  <formatCode>#,##0</formatCode>
                  <v>400</v>
                </pt>
                <pt idx="102">
                  <formatCode>#,##0</formatCode>
                  <v>600</v>
                </pt>
                <pt idx="103">
                  <formatCode>#,##0</formatCode>
                  <v>400</v>
                </pt>
                <pt idx="104">
                  <formatCode>#,##0</formatCode>
                  <v>400</v>
                </pt>
                <pt idx="105">
                  <formatCode>#,##0</formatCode>
                  <v>200</v>
                </pt>
                <pt idx="106">
                  <formatCode>#,##0</formatCode>
                  <v>200</v>
                </pt>
                <pt idx="107">
                  <formatCode>#,##0</formatCode>
                  <v>400</v>
                </pt>
                <pt idx="108">
                  <formatCode>#,##0</formatCode>
                  <v>400</v>
                </pt>
                <pt idx="109">
                  <formatCode>#,##0</formatCode>
                  <v>400</v>
                </pt>
                <pt idx="110">
                  <formatCode>#,##0</formatCode>
                  <v>400</v>
                </pt>
                <pt idx="111">
                  <formatCode>#,##0</formatCode>
                  <v>400</v>
                </pt>
                <pt idx="112">
                  <formatCode>#,##0</formatCode>
                  <v>400</v>
                </pt>
                <pt idx="113">
                  <formatCode>#,##0</formatCode>
                  <v>400</v>
                </pt>
                <pt idx="114">
                  <formatCode>#,##0</formatCode>
                  <v>200</v>
                </pt>
                <pt idx="115">
                  <formatCode>#,##0</formatCode>
                  <v>400</v>
                </pt>
                <pt idx="116">
                  <formatCode>#,##0</formatCode>
                  <v>200</v>
                </pt>
                <pt idx="117">
                  <formatCode>#,##0</formatCode>
                  <v>200</v>
                </pt>
                <pt idx="118">
                  <formatCode>#,##0</formatCode>
                  <v>200</v>
                </pt>
                <pt idx="119">
                  <formatCode>#,##0</formatCode>
                  <v>200</v>
                </pt>
                <pt idx="120">
                  <formatCode>#,##0</formatCode>
                  <v>400</v>
                </pt>
                <pt idx="121">
                  <formatCode>#,##0</formatCode>
                  <v>400</v>
                </pt>
                <pt idx="122">
                  <formatCode>#,##0</formatCode>
                  <v>400</v>
                </pt>
                <pt idx="123">
                  <formatCode>#,##0</formatCode>
                  <v>200</v>
                </pt>
                <pt idx="124">
                  <formatCode>#,##0</formatCode>
                  <v>400</v>
                </pt>
                <pt idx="125">
                  <formatCode>#,##0</formatCode>
                  <v>600</v>
                </pt>
                <pt idx="126">
                  <formatCode>#,##0</formatCode>
                  <v>400</v>
                </pt>
                <pt idx="127">
                  <formatCode>#,##0</formatCode>
                  <v>200</v>
                </pt>
                <pt idx="128">
                  <formatCode>#,##0</formatCode>
                  <v>400</v>
                </pt>
              </numCache>
            </numRef>
          </val>
        </ser>
        <ser>
          <idx val="13"/>
          <order val="13"/>
          <tx>
            <strRef>
              <f>'Raw Data (KG)'!$O$1</f>
              <strCache>
                <ptCount val="1"/>
                <pt idx="0">
                  <v xml:space="preserve"> Rechargeable Battery 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(KG)'!$O$2:$O$130</f>
              <numCache>
                <formatCode>_(* #,##0_);_(* \(#,##0\);_(* "-"??_);_(@_)</formatCode>
                <ptCount val="1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3.4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5.850000000000001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4.850000000000001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5.65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4.600000000000001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45</v>
                </pt>
                <pt idx="108">
                  <v>324</v>
                </pt>
                <pt idx="109">
                  <v>89</v>
                </pt>
                <pt idx="110">
                  <v>0</v>
                </pt>
                <pt idx="111">
                  <v>18</v>
                </pt>
                <pt idx="112">
                  <v>47</v>
                </pt>
                <pt idx="113">
                  <v>101</v>
                </pt>
                <pt idx="114">
                  <v>0</v>
                </pt>
                <pt idx="115">
                  <v>24</v>
                </pt>
                <pt idx="116">
                  <v>29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74</v>
                </pt>
                <pt idx="123">
                  <v>77</v>
                </pt>
                <pt idx="124">
                  <v>0</v>
                </pt>
                <pt idx="125">
                  <v>0</v>
                </pt>
                <pt idx="126">
                  <v>371</v>
                </pt>
                <pt idx="127">
                  <v>201</v>
                </pt>
                <pt idx="128">
                  <v>0</v>
                </pt>
              </numCache>
            </numRef>
          </val>
        </ser>
        <ser>
          <idx val="14"/>
          <order val="14"/>
          <tx>
            <strRef>
              <f>'Raw Data (KG)'!$P$1</f>
              <strCache>
                <ptCount val="1"/>
                <pt idx="0">
                  <v xml:space="preserve"> Toner 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(KG)'!$P$2:$P$130</f>
              <numCache>
                <formatCode>_(* #,##0_);_(* \(#,##0\);_(* "-"??_);_(@_)</formatCode>
                <ptCount val="129"/>
                <pt idx="0">
                  <v>115.24</v>
                </pt>
                <pt idx="1">
                  <v>118.59</v>
                </pt>
                <pt idx="2">
                  <v>89.78</v>
                </pt>
                <pt idx="3">
                  <v>148.07</v>
                </pt>
                <pt idx="4">
                  <v>95.14</v>
                </pt>
                <pt idx="5">
                  <v>75.04000000000001</v>
                </pt>
                <pt idx="6">
                  <v>63.65000000000001</v>
                </pt>
                <pt idx="7">
                  <v>103.18</v>
                </pt>
                <pt idx="8">
                  <v>113.9</v>
                </pt>
                <pt idx="9">
                  <v>116.58</v>
                </pt>
                <pt idx="10">
                  <v>80.40000000000001</v>
                </pt>
                <pt idx="11">
                  <v>75.04000000000001</v>
                </pt>
                <pt idx="12">
                  <v>76.38000000000001</v>
                </pt>
                <pt idx="13">
                  <v>57.62</v>
                </pt>
                <pt idx="14">
                  <v>93.13000000000001</v>
                </pt>
                <pt idx="15">
                  <v>67</v>
                </pt>
                <pt idx="16">
                  <v>67</v>
                </pt>
                <pt idx="17">
                  <v>62.31</v>
                </pt>
                <pt idx="18">
                  <v>97.82000000000001</v>
                </pt>
                <pt idx="19">
                  <v>64.99000000000001</v>
                </pt>
                <pt idx="20">
                  <v>85.09</v>
                </pt>
                <pt idx="21">
                  <v>58.96</v>
                </pt>
                <pt idx="22">
                  <v>77.05000000000001</v>
                </pt>
                <pt idx="23">
                  <v>92.46000000000001</v>
                </pt>
                <pt idx="24">
                  <v>103.85</v>
                </pt>
                <pt idx="25">
                  <v>70.35000000000001</v>
                </pt>
                <pt idx="26">
                  <v>85.76000000000001</v>
                </pt>
                <pt idx="27">
                  <v>69.01000000000001</v>
                </pt>
                <pt idx="28">
                  <v>95.81</v>
                </pt>
                <pt idx="29">
                  <v>87.10000000000001</v>
                </pt>
                <pt idx="30">
                  <v>51.59</v>
                </pt>
                <pt idx="31">
                  <v>38.19</v>
                </pt>
                <pt idx="32">
                  <v>87.10000000000001</v>
                </pt>
                <pt idx="33">
                  <v>54.27</v>
                </pt>
                <pt idx="34">
                  <v>34.84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169.51</v>
                </pt>
                <pt idx="39">
                  <v>0</v>
                </pt>
                <pt idx="40">
                  <v>148.07</v>
                </pt>
                <pt idx="41">
                  <v>0</v>
                </pt>
                <pt idx="42">
                  <v>138.02</v>
                </pt>
                <pt idx="43">
                  <v>0</v>
                </pt>
                <pt idx="44">
                  <v>81.07000000000001</v>
                </pt>
                <pt idx="45">
                  <v>0</v>
                </pt>
                <pt idx="46">
                  <v>86.43000000000001</v>
                </pt>
                <pt idx="47">
                  <v>0</v>
                </pt>
                <pt idx="48">
                  <v>99.16000000000001</v>
                </pt>
                <pt idx="49">
                  <v>0</v>
                </pt>
                <pt idx="50">
                  <v>0</v>
                </pt>
                <pt idx="51">
                  <v>129.31</v>
                </pt>
                <pt idx="52">
                  <v>0</v>
                </pt>
                <pt idx="53">
                  <v>129.31</v>
                </pt>
                <pt idx="54">
                  <v>0</v>
                </pt>
                <pt idx="55">
                  <v>0</v>
                </pt>
                <pt idx="56">
                  <v>174.2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159.46</v>
                </pt>
                <pt idx="63">
                  <v>0</v>
                </pt>
                <pt idx="64">
                  <v>0</v>
                </pt>
                <pt idx="65">
                  <v>247.9</v>
                </pt>
                <pt idx="66">
                  <v>0</v>
                </pt>
                <pt idx="67">
                  <v>83.75</v>
                </pt>
                <pt idx="68">
                  <v>60.3</v>
                </pt>
                <pt idx="69">
                  <v>91.79000000000001</v>
                </pt>
                <pt idx="70">
                  <v>0</v>
                </pt>
                <pt idx="71">
                  <v>0</v>
                </pt>
                <pt idx="72">
                  <v>75.04000000000001</v>
                </pt>
                <pt idx="73">
                  <v>0</v>
                </pt>
                <pt idx="74">
                  <v>70.35000000000001</v>
                </pt>
                <pt idx="75">
                  <v>80.40000000000001</v>
                </pt>
                <pt idx="76">
                  <v>63.65000000000001</v>
                </pt>
                <pt idx="77">
                  <v>49.58000000000001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109.21</v>
                </pt>
                <pt idx="83">
                  <v>167.5</v>
                </pt>
                <pt idx="84">
                  <v>147.4</v>
                </pt>
                <pt idx="85">
                  <v>0</v>
                </pt>
                <pt idx="86">
                  <v>82.41000000000001</v>
                </pt>
                <pt idx="87">
                  <v>57.62</v>
                </pt>
                <pt idx="88">
                  <v>83.75</v>
                </pt>
                <pt idx="89">
                  <v>67</v>
                </pt>
                <pt idx="90">
                  <v>75.04000000000001</v>
                </pt>
                <pt idx="91">
                  <v>0</v>
                </pt>
                <pt idx="92">
                  <v>73.7</v>
                </pt>
                <pt idx="93">
                  <v>120.6</v>
                </pt>
                <pt idx="94">
                  <v>123.95</v>
                </pt>
                <pt idx="95">
                  <v>80.40000000000001</v>
                </pt>
                <pt idx="96">
                  <v>100.5</v>
                </pt>
                <pt idx="97">
                  <v>121.94</v>
                </pt>
                <pt idx="98">
                  <v>67</v>
                </pt>
                <pt idx="99">
                  <v>0</v>
                </pt>
                <pt idx="100">
                  <v>172.86</v>
                </pt>
                <pt idx="101">
                  <v>80.40000000000001</v>
                </pt>
                <pt idx="102">
                  <v>0</v>
                </pt>
                <pt idx="103">
                  <v>125.96</v>
                </pt>
                <pt idx="104">
                  <v>0</v>
                </pt>
                <pt idx="105">
                  <v>68.34</v>
                </pt>
                <pt idx="106">
                  <v>0</v>
                </pt>
                <pt idx="107">
                  <v>57</v>
                </pt>
                <pt idx="108">
                  <v>44</v>
                </pt>
                <pt idx="109">
                  <v>76</v>
                </pt>
                <pt idx="110">
                  <v>49</v>
                </pt>
                <pt idx="111">
                  <v>49</v>
                </pt>
                <pt idx="112">
                  <v>57</v>
                </pt>
                <pt idx="113">
                  <v>17</v>
                </pt>
                <pt idx="114">
                  <v>0</v>
                </pt>
                <pt idx="115">
                  <v>72</v>
                </pt>
                <pt idx="116">
                  <v>73</v>
                </pt>
                <pt idx="117">
                  <v>48</v>
                </pt>
                <pt idx="118">
                  <v>105</v>
                </pt>
                <pt idx="119">
                  <v>22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128</v>
                </pt>
                <pt idx="127">
                  <v>115</v>
                </pt>
                <pt idx="128">
                  <v>0</v>
                </pt>
              </numCache>
            </numRef>
          </val>
        </ser>
        <ser>
          <idx val="15"/>
          <order val="15"/>
          <tx>
            <strRef>
              <f>'Raw Data (KG)'!$Q$1</f>
              <strCache>
                <ptCount val="1"/>
                <pt idx="0">
                  <v xml:space="preserve"> Ink Cartridge (expressed in PIECES) 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(KG)'!$Q$2:$Q$130</f>
            </numRef>
          </val>
        </ser>
        <ser>
          <idx val="16"/>
          <order val="16"/>
          <tx>
            <strRef>
              <f>'Raw Data (KG)'!$R$1</f>
              <strCache>
                <ptCount val="1"/>
                <pt idx="0">
                  <v xml:space="preserve"> Electronic Ballast (2x32W) @0.34kg 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(KG)'!$R$2:$R$130</f>
            </numRef>
          </val>
        </ser>
        <ser>
          <idx val="17"/>
          <order val="17"/>
          <tx>
            <strRef>
              <f>'Raw Data (KG)'!$S$1</f>
              <strCache>
                <ptCount val="1"/>
                <pt idx="0">
                  <v xml:space="preserve"> Electronic Ballast (2x36W) @0.13 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(KG)'!$S$2:$S$130</f>
            </numRef>
          </val>
        </ser>
        <ser>
          <idx val="18"/>
          <order val="18"/>
          <tx>
            <strRef>
              <f>'Raw Data (KG)'!$T$1</f>
              <strCache>
                <ptCount val="1"/>
                <pt idx="0">
                  <v xml:space="preserve"> Electronic Ballast (1x36W) @0.15 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(KG)'!$T$2:$T$130</f>
            </numRef>
          </val>
        </ser>
        <ser>
          <idx val="19"/>
          <order val="19"/>
          <tx>
            <strRef>
              <f>'Raw Data (KG)'!$U$1</f>
              <strCache>
                <ptCount val="1"/>
                <pt idx="0">
                  <v xml:space="preserve"> Electrical Appliance 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(KG)'!$U$2:$U$130</f>
              <numCache>
                <formatCode>_(* #,##0_);_(* \(#,##0\);_(* "-"??_);_(@_)</formatCode>
                <ptCount val="129"/>
                <pt idx="61">
                  <v>582</v>
                </pt>
                <pt idx="63">
                  <v>340.5</v>
                </pt>
                <pt idx="64">
                  <v>1179</v>
                </pt>
                <pt idx="66">
                  <v>850</v>
                </pt>
                <pt idx="70">
                  <v>1504.5</v>
                </pt>
                <pt idx="74">
                  <v>852</v>
                </pt>
                <pt idx="75">
                  <v>0</v>
                </pt>
                <pt idx="77">
                  <v>1746.5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2">
                  <v>729</v>
                </pt>
                <pt idx="83">
                  <v>1045.5</v>
                </pt>
                <pt idx="84">
                  <v>0</v>
                </pt>
                <pt idx="85">
                  <v>1080</v>
                </pt>
                <pt idx="86">
                  <v>0</v>
                </pt>
                <pt idx="87">
                  <v>792</v>
                </pt>
                <pt idx="88">
                  <v>1427</v>
                </pt>
                <pt idx="89">
                  <v>0</v>
                </pt>
                <pt idx="90">
                  <v>0</v>
                </pt>
                <pt idx="91">
                  <v>652.5</v>
                </pt>
                <pt idx="92">
                  <v>0</v>
                </pt>
                <pt idx="93">
                  <v>0</v>
                </pt>
                <pt idx="94">
                  <v>675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1971</v>
                </pt>
                <pt idx="101">
                  <v>355.5</v>
                </pt>
                <pt idx="102">
                  <v>0</v>
                </pt>
                <pt idx="103">
                  <v>256.5</v>
                </pt>
                <pt idx="104">
                  <v>0</v>
                </pt>
                <pt idx="105">
                  <v>1482</v>
                </pt>
                <pt idx="106">
                  <v>736</v>
                </pt>
                <pt idx="107">
                  <v>819</v>
                </pt>
                <pt idx="108">
                  <v>0</v>
                </pt>
                <pt idx="109">
                  <v>604</v>
                </pt>
                <pt idx="110">
                  <v>0</v>
                </pt>
                <pt idx="111">
                  <v>731</v>
                </pt>
                <pt idx="112">
                  <v>0</v>
                </pt>
                <pt idx="113">
                  <v>0</v>
                </pt>
                <pt idx="114">
                  <v>1109</v>
                </pt>
                <pt idx="115">
                  <v>0</v>
                </pt>
                <pt idx="116">
                  <v>0</v>
                </pt>
                <pt idx="117">
                  <v>1438</v>
                </pt>
                <pt idx="118">
                  <v>0</v>
                </pt>
                <pt idx="119">
                  <v>0</v>
                </pt>
                <pt idx="120">
                  <v>513</v>
                </pt>
                <pt idx="121">
                  <v>435</v>
                </pt>
                <pt idx="122">
                  <v>531</v>
                </pt>
                <pt idx="123">
                  <v>364.5</v>
                </pt>
                <pt idx="124">
                  <v>737.5</v>
                </pt>
                <pt idx="125">
                  <v>1285</v>
                </pt>
                <pt idx="126">
                  <v>917.5</v>
                </pt>
                <pt idx="127">
                  <v>353.1</v>
                </pt>
                <pt idx="128">
                  <v>785</v>
                </pt>
              </numCache>
            </numRef>
          </val>
        </ser>
        <ser>
          <idx val="20"/>
          <order val="20"/>
          <tx>
            <strRef>
              <f>'Raw Data (KG)'!$V$1</f>
              <strCache>
                <ptCount val="1"/>
                <pt idx="0">
                  <v xml:space="preserve"> Wood 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(KG)'!$V$2:$V$130</f>
              <numCache>
                <formatCode>_(* #,##0_);_(* \(#,##0\);_(* "-"??_);_(@_)</formatCode>
                <ptCount val="129"/>
                <pt idx="55">
                  <v>1300</v>
                </pt>
                <pt idx="56">
                  <v>1500</v>
                </pt>
                <pt idx="57">
                  <v>1300</v>
                </pt>
                <pt idx="58">
                  <v>3400</v>
                </pt>
                <pt idx="59">
                  <v>40370</v>
                </pt>
                <pt idx="60">
                  <v>0</v>
                </pt>
                <pt idx="61">
                  <v>7200</v>
                </pt>
                <pt idx="62">
                  <v>3800</v>
                </pt>
                <pt idx="63">
                  <v>2700</v>
                </pt>
                <pt idx="64">
                  <v>3700</v>
                </pt>
                <pt idx="65">
                  <v>32700</v>
                </pt>
                <pt idx="66">
                  <v>7800</v>
                </pt>
                <pt idx="67">
                  <v>1900</v>
                </pt>
                <pt idx="68">
                  <v>2500</v>
                </pt>
                <pt idx="69">
                  <v>7800</v>
                </pt>
                <pt idx="70">
                  <v>10400</v>
                </pt>
                <pt idx="71">
                  <v>11000</v>
                </pt>
                <pt idx="72">
                  <v>19200</v>
                </pt>
                <pt idx="73">
                  <v>25600</v>
                </pt>
                <pt idx="74">
                  <v>24100</v>
                </pt>
                <pt idx="75">
                  <v>14400</v>
                </pt>
                <pt idx="76">
                  <v>10500</v>
                </pt>
                <pt idx="77">
                  <v>10100</v>
                </pt>
                <pt idx="78">
                  <v>11200</v>
                </pt>
                <pt idx="79">
                  <v>7900</v>
                </pt>
                <pt idx="80">
                  <v>10000</v>
                </pt>
                <pt idx="81">
                  <v>5200</v>
                </pt>
                <pt idx="82">
                  <v>11500</v>
                </pt>
                <pt idx="83">
                  <v>7200</v>
                </pt>
                <pt idx="84">
                  <v>12300</v>
                </pt>
                <pt idx="85">
                  <v>12400</v>
                </pt>
                <pt idx="86">
                  <v>10400</v>
                </pt>
                <pt idx="87">
                  <v>12200</v>
                </pt>
                <pt idx="88">
                  <v>13500</v>
                </pt>
                <pt idx="89">
                  <v>14600</v>
                </pt>
                <pt idx="90">
                  <v>18700</v>
                </pt>
                <pt idx="91">
                  <v>6000</v>
                </pt>
                <pt idx="92">
                  <v>14700</v>
                </pt>
                <pt idx="93">
                  <v>20500</v>
                </pt>
                <pt idx="94">
                  <v>10400</v>
                </pt>
                <pt idx="95">
                  <v>10400</v>
                </pt>
                <pt idx="96">
                  <v>16700</v>
                </pt>
                <pt idx="97">
                  <v>13700</v>
                </pt>
                <pt idx="98">
                  <v>9500</v>
                </pt>
                <pt idx="99">
                  <v>7830</v>
                </pt>
                <pt idx="100">
                  <v>5800</v>
                </pt>
                <pt idx="101">
                  <v>10180</v>
                </pt>
                <pt idx="102">
                  <v>19838</v>
                </pt>
                <pt idx="103">
                  <v>7420</v>
                </pt>
                <pt idx="104">
                  <v>9700</v>
                </pt>
                <pt idx="105">
                  <v>10420</v>
                </pt>
                <pt idx="106">
                  <v>12000</v>
                </pt>
                <pt idx="107">
                  <v>9000</v>
                </pt>
                <pt idx="108">
                  <v>12000</v>
                </pt>
                <pt idx="109">
                  <v>15000</v>
                </pt>
                <pt idx="110">
                  <v>12000</v>
                </pt>
                <pt idx="111">
                  <v>15000</v>
                </pt>
                <pt idx="112">
                  <v>12000</v>
                </pt>
                <pt idx="113">
                  <v>15000</v>
                </pt>
                <pt idx="114">
                  <v>15000</v>
                </pt>
                <pt idx="115">
                  <v>12000</v>
                </pt>
                <pt idx="116">
                  <v>15000</v>
                </pt>
                <pt idx="117">
                  <v>15000</v>
                </pt>
                <pt idx="118">
                  <v>12000</v>
                </pt>
                <pt idx="119">
                  <v>12000</v>
                </pt>
                <pt idx="120">
                  <v>18000</v>
                </pt>
                <pt idx="121">
                  <v>15000</v>
                </pt>
                <pt idx="122">
                  <v>15000</v>
                </pt>
                <pt idx="123">
                  <v>15000</v>
                </pt>
                <pt idx="124">
                  <v>12000</v>
                </pt>
                <pt idx="125">
                  <v>15000</v>
                </pt>
                <pt idx="126">
                  <v>18000</v>
                </pt>
                <pt idx="127">
                  <v>15000</v>
                </pt>
                <pt idx="128">
                  <v>15000</v>
                </pt>
              </numCache>
            </numRef>
          </val>
        </ser>
        <ser>
          <idx val="21"/>
          <order val="21"/>
          <tx>
            <strRef>
              <f>'Raw Data (KG)'!$W$1</f>
              <strCache>
                <ptCount val="1"/>
                <pt idx="0">
                  <v xml:space="preserve"> Food Waste (Contractor) </v>
                </pt>
              </strCache>
            </strRef>
          </tx>
          <spPr>
            <a:solidFill xmlns:a="http://schemas.openxmlformats.org/drawingml/2006/main">
              <a:schemeClr val="accent5">
                <a:lumMod val="20000"/>
                <a:lumOff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(KG)'!$W$2:$W$130</f>
              <numCache>
                <formatCode>_(* #,##0_);_(* \(#,##0\);_(* "-"??_);_(@_)</formatCode>
                <ptCount val="129"/>
                <pt idx="39">
                  <v>21800</v>
                </pt>
                <pt idx="40">
                  <v>19250</v>
                </pt>
                <pt idx="41">
                  <v>16900</v>
                </pt>
                <pt idx="42">
                  <v>13750</v>
                </pt>
                <pt idx="43">
                  <v>18825</v>
                </pt>
                <pt idx="44">
                  <v>21975</v>
                </pt>
                <pt idx="45">
                  <v>18850</v>
                </pt>
                <pt idx="46">
                  <v>20275</v>
                </pt>
                <pt idx="47">
                  <v>21025</v>
                </pt>
                <pt idx="48">
                  <v>13275</v>
                </pt>
                <pt idx="49">
                  <v>15525</v>
                </pt>
                <pt idx="50">
                  <v>25050</v>
                </pt>
                <pt idx="51">
                  <v>25175</v>
                </pt>
                <pt idx="52">
                  <v>30100</v>
                </pt>
                <pt idx="53">
                  <v>30200</v>
                </pt>
                <pt idx="54">
                  <v>27975</v>
                </pt>
                <pt idx="55">
                  <v>21825</v>
                </pt>
                <pt idx="56">
                  <v>25300</v>
                </pt>
                <pt idx="57">
                  <v>25225</v>
                </pt>
                <pt idx="58">
                  <v>37200</v>
                </pt>
                <pt idx="59">
                  <v>27900</v>
                </pt>
                <pt idx="60">
                  <v>25675</v>
                </pt>
                <pt idx="61">
                  <v>16633.9</v>
                </pt>
                <pt idx="62">
                  <v>18194.05</v>
                </pt>
                <pt idx="63">
                  <v>26058</v>
                </pt>
                <pt idx="64">
                  <v>28892.5</v>
                </pt>
                <pt idx="65">
                  <v>24534.5</v>
                </pt>
                <pt idx="66">
                  <v>21757.5</v>
                </pt>
                <pt idx="67">
                  <v>24584.5</v>
                </pt>
                <pt idx="68">
                  <v>30930.5</v>
                </pt>
                <pt idx="69">
                  <v>32534.5</v>
                </pt>
                <pt idx="70">
                  <v>31664</v>
                </pt>
                <pt idx="71">
                  <v>23162.5</v>
                </pt>
                <pt idx="72">
                  <v>19566</v>
                </pt>
                <pt idx="73">
                  <v>24598</v>
                </pt>
                <pt idx="74">
                  <v>34879.5</v>
                </pt>
                <pt idx="75">
                  <v>37724</v>
                </pt>
                <pt idx="76">
                  <v>27265.5</v>
                </pt>
                <pt idx="77">
                  <v>28071.5</v>
                </pt>
                <pt idx="78">
                  <v>23781.5</v>
                </pt>
                <pt idx="79">
                  <v>11633.5</v>
                </pt>
                <pt idx="80">
                  <v>13782.5</v>
                </pt>
                <pt idx="81">
                  <v>11779</v>
                </pt>
                <pt idx="82">
                  <v>15765</v>
                </pt>
                <pt idx="83">
                  <v>20002</v>
                </pt>
                <pt idx="84">
                  <v>24809</v>
                </pt>
                <pt idx="85">
                  <v>23143</v>
                </pt>
                <pt idx="86">
                  <v>28611</v>
                </pt>
                <pt idx="87">
                  <v>31009</v>
                </pt>
                <pt idx="88">
                  <v>34289</v>
                </pt>
                <pt idx="89">
                  <v>33360</v>
                </pt>
                <pt idx="90">
                  <v>33517</v>
                </pt>
                <pt idx="91">
                  <v>29468</v>
                </pt>
                <pt idx="92">
                  <v>35447</v>
                </pt>
                <pt idx="93">
                  <v>43497</v>
                </pt>
                <pt idx="94">
                  <v>40188</v>
                </pt>
                <pt idx="95">
                  <v>35583</v>
                </pt>
                <pt idx="96">
                  <v>36437</v>
                </pt>
                <pt idx="97">
                  <v>33584</v>
                </pt>
                <pt idx="98">
                  <v>35376</v>
                </pt>
                <pt idx="99">
                  <v>45400</v>
                </pt>
                <pt idx="100">
                  <v>42665</v>
                </pt>
                <pt idx="101">
                  <v>41338</v>
                </pt>
                <pt idx="102">
                  <v>33071</v>
                </pt>
                <pt idx="103">
                  <v>24947</v>
                </pt>
                <pt idx="104">
                  <v>22091</v>
                </pt>
                <pt idx="105">
                  <v>24586.6</v>
                </pt>
                <pt idx="106">
                  <v>27462</v>
                </pt>
                <pt idx="107">
                  <v>22866</v>
                </pt>
                <pt idx="108">
                  <v>25176</v>
                </pt>
                <pt idx="109">
                  <v>26660</v>
                </pt>
                <pt idx="110">
                  <v>35619</v>
                </pt>
                <pt idx="111">
                  <v>39851</v>
                </pt>
                <pt idx="112">
                  <v>42228</v>
                </pt>
                <pt idx="113">
                  <v>44338</v>
                </pt>
                <pt idx="114">
                  <v>34407</v>
                </pt>
                <pt idx="115">
                  <v>28553</v>
                </pt>
                <pt idx="116">
                  <v>35187</v>
                </pt>
                <pt idx="117">
                  <v>39810.5</v>
                </pt>
                <pt idx="118">
                  <v>39784</v>
                </pt>
                <pt idx="119">
                  <v>40149.6</v>
                </pt>
                <pt idx="120">
                  <v>23296.5</v>
                </pt>
                <pt idx="121">
                  <v>28190.5</v>
                </pt>
                <pt idx="122">
                  <v>30387</v>
                </pt>
                <pt idx="123">
                  <v>30156.5</v>
                </pt>
                <pt idx="124">
                  <v>42615.9</v>
                </pt>
                <pt idx="125">
                  <v>35693.3</v>
                </pt>
                <pt idx="126">
                  <v>29377.9</v>
                </pt>
                <pt idx="127">
                  <v>35652.6</v>
                </pt>
                <pt idx="128">
                  <v>43510.8</v>
                </pt>
              </numCache>
            </numRef>
          </val>
        </ser>
        <ser>
          <idx val="22"/>
          <order val="22"/>
          <tx>
            <strRef>
              <f>'Raw Data (KG)'!$X$1</f>
              <strCache>
                <ptCount val="1"/>
                <pt idx="0">
                  <v xml:space="preserve"> Animal Bedding </v>
                </pt>
              </strCache>
            </strRef>
          </tx>
          <spPr>
            <a:solidFill xmlns:a="http://schemas.openxmlformats.org/drawingml/2006/main">
              <a:schemeClr val="accent6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(KG)'!$X$2:$X$130</f>
              <numCache>
                <formatCode>_(* #,##0_);_(* \(#,##0\);_(* "-"??_);_(@_)</formatCode>
                <ptCount val="129"/>
                <pt idx="35">
                  <v>0</v>
                </pt>
                <pt idx="38">
                  <v>0</v>
                </pt>
                <pt idx="39">
                  <v>0</v>
                </pt>
                <pt idx="40">
                  <v>66</v>
                </pt>
                <pt idx="41">
                  <v>62.5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7680</v>
                </pt>
                <pt idx="63">
                  <v>7680</v>
                </pt>
                <pt idx="64">
                  <v>7680</v>
                </pt>
                <pt idx="65">
                  <v>7680</v>
                </pt>
                <pt idx="66">
                  <v>7680</v>
                </pt>
                <pt idx="67">
                  <v>7680</v>
                </pt>
                <pt idx="74">
                  <v>10560</v>
                </pt>
                <pt idx="75">
                  <v>10560</v>
                </pt>
                <pt idx="76">
                  <v>10240</v>
                </pt>
                <pt idx="77">
                  <v>10240</v>
                </pt>
                <pt idx="78">
                  <v>5120</v>
                </pt>
                <pt idx="79">
                  <v>6400</v>
                </pt>
                <pt idx="80">
                  <v>4800</v>
                </pt>
                <pt idx="81">
                  <v>4800</v>
                </pt>
                <pt idx="82">
                  <v>6400</v>
                </pt>
                <pt idx="83">
                  <v>6400</v>
                </pt>
                <pt idx="84">
                  <v>4800</v>
                </pt>
                <pt idx="85">
                  <v>4800</v>
                </pt>
                <pt idx="86">
                  <v>6400</v>
                </pt>
                <pt idx="87">
                  <v>4800</v>
                </pt>
                <pt idx="88">
                  <v>3200</v>
                </pt>
                <pt idx="89">
                  <v>3200</v>
                </pt>
                <pt idx="90">
                  <v>3200</v>
                </pt>
                <pt idx="91">
                  <v>4800</v>
                </pt>
                <pt idx="92">
                  <v>8000</v>
                </pt>
                <pt idx="93">
                  <v>4800</v>
                </pt>
                <pt idx="94">
                  <v>6400</v>
                </pt>
                <pt idx="95">
                  <v>4800</v>
                </pt>
                <pt idx="96">
                  <v>8000</v>
                </pt>
                <pt idx="97">
                  <v>6400</v>
                </pt>
                <pt idx="98">
                  <v>6400</v>
                </pt>
                <pt idx="99">
                  <v>6400</v>
                </pt>
                <pt idx="100">
                  <v>4800</v>
                </pt>
                <pt idx="101">
                  <v>8000</v>
                </pt>
                <pt idx="102">
                  <v>6400</v>
                </pt>
                <pt idx="103">
                  <v>4800</v>
                </pt>
                <pt idx="104">
                  <v>6400</v>
                </pt>
                <pt idx="105">
                  <v>6400</v>
                </pt>
                <pt idx="106">
                  <v>6400</v>
                </pt>
                <pt idx="107">
                  <v>8000</v>
                </pt>
                <pt idx="108">
                  <v>6400</v>
                </pt>
                <pt idx="109">
                  <v>6400</v>
                </pt>
                <pt idx="110">
                  <v>8000</v>
                </pt>
                <pt idx="111">
                  <v>6400</v>
                </pt>
                <pt idx="112">
                  <v>6400</v>
                </pt>
                <pt idx="113">
                  <v>6400</v>
                </pt>
                <pt idx="114">
                  <v>6400</v>
                </pt>
                <pt idx="115">
                  <v>6400</v>
                </pt>
                <pt idx="116">
                  <v>8000</v>
                </pt>
                <pt idx="117">
                  <v>4800</v>
                </pt>
                <pt idx="118">
                  <v>6400</v>
                </pt>
                <pt idx="119">
                  <v>8000</v>
                </pt>
                <pt idx="120">
                  <v>7185</v>
                </pt>
                <pt idx="121">
                  <v>7200</v>
                </pt>
                <pt idx="122">
                  <v>11215</v>
                </pt>
                <pt idx="123">
                  <v>9565</v>
                </pt>
                <pt idx="124">
                  <v>7803</v>
                </pt>
                <pt idx="125">
                  <v>19833</v>
                </pt>
                <pt idx="126">
                  <v>21650</v>
                </pt>
                <pt idx="127">
                  <v>15470</v>
                </pt>
                <pt idx="128">
                  <v>17465</v>
                </pt>
              </numCache>
            </numRef>
          </val>
        </ser>
        <ser>
          <idx val="23"/>
          <order val="23"/>
          <tx>
            <strRef>
              <f>'Raw Data (KG)'!$Y$1</f>
              <strCache>
                <ptCount val="1"/>
                <pt idx="0">
                  <v xml:space="preserve"> Landscape 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(KG)'!$Y$2:$Y$130</f>
              <numCache>
                <formatCode>_(* #,##0_);_(* \(#,##0\);_(* "-"??_);_(@_)</formatCode>
                <ptCount val="129"/>
                <pt idx="57">
                  <v>3000</v>
                </pt>
                <pt idx="58">
                  <v>12000</v>
                </pt>
                <pt idx="59">
                  <v>6000</v>
                </pt>
                <pt idx="60">
                  <v>5000</v>
                </pt>
                <pt idx="61">
                  <v>3500</v>
                </pt>
                <pt idx="62">
                  <v>45500</v>
                </pt>
                <pt idx="63">
                  <v>0</v>
                </pt>
                <pt idx="64">
                  <v>21000</v>
                </pt>
                <pt idx="65">
                  <v>28000</v>
                </pt>
                <pt idx="66">
                  <v>38500</v>
                </pt>
                <pt idx="67">
                  <v>0</v>
                </pt>
                <pt idx="68">
                  <v>3500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17500</v>
                </pt>
                <pt idx="75">
                  <v>10500</v>
                </pt>
                <pt idx="76">
                  <v>14000</v>
                </pt>
                <pt idx="77">
                  <v>24500</v>
                </pt>
                <pt idx="78">
                  <v>21000</v>
                </pt>
                <pt idx="79">
                  <v>21000</v>
                </pt>
                <pt idx="80">
                  <v>21000</v>
                </pt>
                <pt idx="81">
                  <v>24500</v>
                </pt>
                <pt idx="82">
                  <v>28000</v>
                </pt>
                <pt idx="83">
                  <v>28000</v>
                </pt>
                <pt idx="84">
                  <v>17500</v>
                </pt>
                <pt idx="85">
                  <v>24000</v>
                </pt>
                <pt idx="86">
                  <v>21000</v>
                </pt>
                <pt idx="87">
                  <v>24500</v>
                </pt>
                <pt idx="88">
                  <v>21000</v>
                </pt>
                <pt idx="89">
                  <v>10500</v>
                </pt>
                <pt idx="90">
                  <v>24500</v>
                </pt>
                <pt idx="91">
                  <v>14000</v>
                </pt>
                <pt idx="92">
                  <v>17500</v>
                </pt>
                <pt idx="93">
                  <v>14000</v>
                </pt>
                <pt idx="94">
                  <v>17500</v>
                </pt>
                <pt idx="95">
                  <v>24500</v>
                </pt>
                <pt idx="96">
                  <v>21000</v>
                </pt>
                <pt idx="97">
                  <v>35000</v>
                </pt>
                <pt idx="98">
                  <v>28000</v>
                </pt>
                <pt idx="99">
                  <v>35000</v>
                </pt>
                <pt idx="100">
                  <v>35000</v>
                </pt>
                <pt idx="101">
                  <v>31500</v>
                </pt>
                <pt idx="102">
                  <v>28000</v>
                </pt>
                <pt idx="103">
                  <v>14000</v>
                </pt>
                <pt idx="104">
                  <v>24500</v>
                </pt>
                <pt idx="105">
                  <v>24500</v>
                </pt>
                <pt idx="106">
                  <v>31500</v>
                </pt>
                <pt idx="107">
                  <v>35000</v>
                </pt>
                <pt idx="108">
                  <v>24500</v>
                </pt>
                <pt idx="109">
                  <v>31500</v>
                </pt>
                <pt idx="110">
                  <v>31500</v>
                </pt>
                <pt idx="111">
                  <v>28000</v>
                </pt>
                <pt idx="112">
                  <v>31500</v>
                </pt>
                <pt idx="113">
                  <v>28000</v>
                </pt>
                <pt idx="114">
                  <v>31500</v>
                </pt>
                <pt idx="115">
                  <v>21000</v>
                </pt>
                <pt idx="116">
                  <v>24500</v>
                </pt>
                <pt idx="117">
                  <v>17500</v>
                </pt>
                <pt idx="118">
                  <v>24500</v>
                </pt>
                <pt idx="119">
                  <v>24500</v>
                </pt>
                <pt idx="120">
                  <v>14485</v>
                </pt>
                <pt idx="121">
                  <v>20070</v>
                </pt>
                <pt idx="122">
                  <v>37770</v>
                </pt>
                <pt idx="123">
                  <v>20910</v>
                </pt>
                <pt idx="124">
                  <v>15947</v>
                </pt>
                <pt idx="125">
                  <v>7885</v>
                </pt>
                <pt idx="126">
                  <v>7650</v>
                </pt>
                <pt idx="127">
                  <v>6340</v>
                </pt>
                <pt idx="128">
                  <v>6740</v>
                </pt>
              </numCache>
            </numRef>
          </val>
        </ser>
        <ser>
          <idx val="24"/>
          <order val="24"/>
          <tx>
            <strRef>
              <f>'Raw Data (KG)'!$Z$1</f>
              <strCache>
                <ptCount val="1"/>
                <pt idx="0">
                  <v xml:space="preserve"> Tetra Packs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(KG)'!$Z$2:$Z$130</f>
              <numCache>
                <formatCode>_(* #,##0_);_(* \(#,##0\);_(* "-"??_);_(@_)</formatCode>
                <ptCount val="129"/>
                <pt idx="108">
                  <v>67</v>
                </pt>
                <pt idx="109">
                  <v>0</v>
                </pt>
                <pt idx="110">
                  <v>12.6</v>
                </pt>
                <pt idx="111">
                  <v>0</v>
                </pt>
                <pt idx="112">
                  <v>6.5</v>
                </pt>
                <pt idx="113">
                  <v>0</v>
                </pt>
                <pt idx="114">
                  <v>9.5</v>
                </pt>
                <pt idx="115">
                  <v>13.4</v>
                </pt>
                <pt idx="116">
                  <v>26.5</v>
                </pt>
                <pt idx="117">
                  <v>6.5</v>
                </pt>
                <pt idx="118">
                  <v>0</v>
                </pt>
                <pt idx="119">
                  <v>43</v>
                </pt>
                <pt idx="120">
                  <v>0</v>
                </pt>
                <pt idx="121">
                  <v>21.1</v>
                </pt>
                <pt idx="122">
                  <v>17.6</v>
                </pt>
                <pt idx="123">
                  <v>0</v>
                </pt>
                <pt idx="124">
                  <v>27.2</v>
                </pt>
                <pt idx="125">
                  <v>0</v>
                </pt>
                <pt idx="126">
                  <v>6</v>
                </pt>
                <pt idx="127">
                  <v>4.7</v>
                </pt>
                <pt idx="128">
                  <v>32.6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to Landfill 12-Month Rolling Average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(KG)'!$A$25:$A$85</f>
              <numCache>
                <formatCode>[$-409]mmm\-yy;@</formatCode>
                <ptCount val="61"/>
                <pt idx="0">
                  <v>42156</v>
                </pt>
                <pt idx="1">
                  <v>42186</v>
                </pt>
                <pt idx="2">
                  <v>42217</v>
                </pt>
                <pt idx="3">
                  <v>42248</v>
                </pt>
                <pt idx="4">
                  <v>42278</v>
                </pt>
                <pt idx="5">
                  <v>42309</v>
                </pt>
                <pt idx="6">
                  <v>42339</v>
                </pt>
                <pt idx="7">
                  <v>42370</v>
                </pt>
                <pt idx="8">
                  <v>42401</v>
                </pt>
                <pt idx="9">
                  <v>42430</v>
                </pt>
                <pt idx="10">
                  <v>42461</v>
                </pt>
                <pt idx="11">
                  <v>42491</v>
                </pt>
                <pt idx="12">
                  <v>42522</v>
                </pt>
                <pt idx="13">
                  <v>42552</v>
                </pt>
                <pt idx="14">
                  <v>42583</v>
                </pt>
                <pt idx="15">
                  <v>42614</v>
                </pt>
                <pt idx="16">
                  <v>42644</v>
                </pt>
                <pt idx="17">
                  <v>42675</v>
                </pt>
                <pt idx="18">
                  <v>42705</v>
                </pt>
                <pt idx="19">
                  <v>42736</v>
                </pt>
                <pt idx="20">
                  <v>42767</v>
                </pt>
                <pt idx="21">
                  <v>42795</v>
                </pt>
                <pt idx="22">
                  <v>42826</v>
                </pt>
                <pt idx="23">
                  <v>42856</v>
                </pt>
                <pt idx="24">
                  <v>42887</v>
                </pt>
                <pt idx="25">
                  <v>42917</v>
                </pt>
                <pt idx="26">
                  <v>42948</v>
                </pt>
                <pt idx="27">
                  <v>42979</v>
                </pt>
                <pt idx="28">
                  <v>43009</v>
                </pt>
                <pt idx="29">
                  <v>43040</v>
                </pt>
                <pt idx="30">
                  <v>43070</v>
                </pt>
                <pt idx="31">
                  <v>43101</v>
                </pt>
                <pt idx="32">
                  <v>43132</v>
                </pt>
                <pt idx="33">
                  <v>43160</v>
                </pt>
                <pt idx="34">
                  <v>43191</v>
                </pt>
                <pt idx="35">
                  <v>43221</v>
                </pt>
                <pt idx="36">
                  <v>43252</v>
                </pt>
                <pt idx="37">
                  <v>43282</v>
                </pt>
                <pt idx="38">
                  <v>43313</v>
                </pt>
                <pt idx="39">
                  <v>43344</v>
                </pt>
                <pt idx="40">
                  <v>43374</v>
                </pt>
                <pt idx="41">
                  <v>43405</v>
                </pt>
                <pt idx="42">
                  <v>43435</v>
                </pt>
                <pt idx="43">
                  <v>43466</v>
                </pt>
                <pt idx="44">
                  <v>43497</v>
                </pt>
                <pt idx="45">
                  <v>43525</v>
                </pt>
                <pt idx="46">
                  <v>43556</v>
                </pt>
                <pt idx="47">
                  <v>43586</v>
                </pt>
                <pt idx="48">
                  <v>43617</v>
                </pt>
                <pt idx="49">
                  <v>43647</v>
                </pt>
                <pt idx="50">
                  <v>43678</v>
                </pt>
                <pt idx="51">
                  <v>43709</v>
                </pt>
                <pt idx="52">
                  <v>43739</v>
                </pt>
                <pt idx="53">
                  <v>43770</v>
                </pt>
                <pt idx="54">
                  <v>43800</v>
                </pt>
                <pt idx="55">
                  <v>43831</v>
                </pt>
                <pt idx="56">
                  <v>43862</v>
                </pt>
                <pt idx="57">
                  <v>43891</v>
                </pt>
                <pt idx="58">
                  <v>43922</v>
                </pt>
                <pt idx="59">
                  <v>43952</v>
                </pt>
                <pt idx="60">
                  <v>43983</v>
                </pt>
              </numCache>
            </numRef>
          </cat>
          <val>
            <numRef>
              <f>'Raw Data (KG)'!$AC$25:$AC$85</f>
              <numCache>
                <formatCode>_(* #,##0_);_(* \(#,##0\);_(* "-"??_);_(@_)</formatCode>
                <ptCount val="61"/>
                <pt idx="0">
                  <v>276791.6666666667</v>
                </pt>
                <pt idx="1">
                  <v>272565.8333333333</v>
                </pt>
                <pt idx="2">
                  <v>272519.1666666667</v>
                </pt>
                <pt idx="3">
                  <v>272509.1666666667</v>
                </pt>
                <pt idx="4">
                  <v>272417.5</v>
                </pt>
                <pt idx="5">
                  <v>272525</v>
                </pt>
                <pt idx="6">
                  <v>271340</v>
                </pt>
                <pt idx="7">
                  <v>270315</v>
                </pt>
                <pt idx="8">
                  <v>269123.3333333333</v>
                </pt>
                <pt idx="9">
                  <v>267555.8333333333</v>
                </pt>
                <pt idx="10">
                  <v>266480.8333333333</v>
                </pt>
                <pt idx="11">
                  <v>266245.8333333333</v>
                </pt>
                <pt idx="12">
                  <v>265604.1666666667</v>
                </pt>
                <pt idx="13">
                  <v>265546.6666666667</v>
                </pt>
                <pt idx="14">
                  <v>262866.6666666667</v>
                </pt>
                <pt idx="15">
                  <v>261930.8333333333</v>
                </pt>
                <pt idx="16">
                  <v>260089.1666666667</v>
                </pt>
                <pt idx="17">
                  <v>259119.1666666667</v>
                </pt>
                <pt idx="18">
                  <v>257413.3333333333</v>
                </pt>
                <pt idx="19">
                  <v>253891.6666666667</v>
                </pt>
                <pt idx="20">
                  <v>254188.3333333333</v>
                </pt>
                <pt idx="21">
                  <v>253178.3333333333</v>
                </pt>
                <pt idx="22">
                  <v>251170</v>
                </pt>
                <pt idx="23">
                  <v>247541.6666666667</v>
                </pt>
                <pt idx="24">
                  <v>246776.6666666667</v>
                </pt>
                <pt idx="25">
                  <v>246349.1666666667</v>
                </pt>
                <pt idx="26">
                  <v>246753.3333333333</v>
                </pt>
                <pt idx="27">
                  <v>246615</v>
                </pt>
                <pt idx="28">
                  <v>247643.3333333333</v>
                </pt>
                <pt idx="29">
                  <v>250098.3333333333</v>
                </pt>
                <pt idx="30">
                  <v>249228.3333333333</v>
                </pt>
                <pt idx="31">
                  <v>253544.1666666667</v>
                </pt>
                <pt idx="32">
                  <v>251625.8333333333</v>
                </pt>
                <pt idx="33">
                  <v>250420.8333333333</v>
                </pt>
                <pt idx="34">
                  <v>247664.1666666667</v>
                </pt>
                <pt idx="35">
                  <v>245491.6666666667</v>
                </pt>
                <pt idx="36">
                  <v>241889.1666666667</v>
                </pt>
                <pt idx="37">
                  <v>241063.3333333333</v>
                </pt>
                <pt idx="38">
                  <v>237046.6666666667</v>
                </pt>
                <pt idx="39">
                  <v>231776.6666666667</v>
                </pt>
                <pt idx="40">
                  <v>226315</v>
                </pt>
                <pt idx="41">
                  <v>221452.5</v>
                </pt>
                <pt idx="42">
                  <v>221217.5</v>
                </pt>
                <pt idx="43">
                  <v>212074.1885666667</v>
                </pt>
                <pt idx="44">
                  <v>206924.5154333333</v>
                </pt>
                <pt idx="45">
                  <v>201922.2773166666</v>
                </pt>
                <pt idx="46">
                  <v>197372.081025</v>
                </pt>
                <pt idx="47">
                  <v>195233.1956916667</v>
                </pt>
                <pt idx="48">
                  <v>193603.8910833333</v>
                </pt>
                <pt idx="49">
                  <v>190633.8910833333</v>
                </pt>
                <pt idx="50">
                  <v>190324.7244166667</v>
                </pt>
                <pt idx="51">
                  <v>190713.8910833333</v>
                </pt>
                <pt idx="52">
                  <v>189659.7244166667</v>
                </pt>
                <pt idx="53">
                  <v>183155.55775</v>
                </pt>
                <pt idx="54">
                  <v>177885.55775</v>
                </pt>
                <pt idx="55">
                  <v>173298.8691833333</v>
                </pt>
                <pt idx="56">
                  <v>167105.2089833333</v>
                </pt>
                <pt idx="57">
                  <v>160555.7804333333</v>
                </pt>
                <pt idx="58">
                  <v>156744.3100583333</v>
                </pt>
                <pt idx="59">
                  <v>153270.6953916667</v>
                </pt>
                <pt idx="60">
                  <v>149170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 Quarter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'Smart Waste Bin (Staff Quarter)'!$B$1</f>
              <strCache>
                <ptCount val="1"/>
                <pt idx="0">
                  <v>Paper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'Smart Waste Bin (Staff Quarter)'!$A$3:$A$10</f>
              <numCache>
                <formatCode>mmm\-yy</formatCode>
                <ptCount val="8"/>
                <pt idx="0">
                  <v>45778</v>
                </pt>
                <pt idx="1">
                  <v>45809</v>
                </pt>
                <pt idx="2">
                  <v>45839</v>
                </pt>
                <pt idx="3">
                  <v>45870</v>
                </pt>
                <pt idx="4">
                  <v>45901</v>
                </pt>
                <pt idx="5">
                  <v>45931</v>
                </pt>
                <pt idx="6">
                  <v>45962</v>
                </pt>
                <pt idx="7">
                  <v>45992</v>
                </pt>
              </numCache>
            </numRef>
          </cat>
          <val>
            <numRef>
              <f>'Smart Waste Bin (Staff Quarter)'!$B$3:$B$10</f>
              <numCache>
                <formatCode>0.0</formatCode>
                <ptCount val="8"/>
                <pt idx="0">
                  <v>308.2</v>
                </pt>
                <pt idx="1">
                  <v>254.2</v>
                </pt>
                <pt idx="2">
                  <v>509.7</v>
                </pt>
                <pt idx="3">
                  <v>411.2</v>
                </pt>
                <pt idx="4">
                  <v>208.7</v>
                </pt>
                <pt idx="5">
                  <v>197.5</v>
                </pt>
                <pt idx="6">
                  <v>263.2</v>
                </pt>
                <pt idx="7">
                  <v>115</v>
                </pt>
              </numCache>
            </numRef>
          </val>
        </ser>
        <ser>
          <idx val="1"/>
          <order val="1"/>
          <tx>
            <strRef>
              <f>'Smart Waste Bin (Staff Quarter)'!$C$1</f>
              <strCache>
                <ptCount val="1"/>
                <pt idx="0">
                  <v>Metal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'Smart Waste Bin (Staff Quarter)'!$A$3:$A$10</f>
              <numCache>
                <formatCode>mmm\-yy</formatCode>
                <ptCount val="8"/>
                <pt idx="0">
                  <v>45778</v>
                </pt>
                <pt idx="1">
                  <v>45809</v>
                </pt>
                <pt idx="2">
                  <v>45839</v>
                </pt>
                <pt idx="3">
                  <v>45870</v>
                </pt>
                <pt idx="4">
                  <v>45901</v>
                </pt>
                <pt idx="5">
                  <v>45931</v>
                </pt>
                <pt idx="6">
                  <v>45962</v>
                </pt>
                <pt idx="7">
                  <v>45992</v>
                </pt>
              </numCache>
            </numRef>
          </cat>
          <val>
            <numRef>
              <f>'Smart Waste Bin (Staff Quarter)'!$C$3:$C$10</f>
              <numCache>
                <formatCode>0.0</formatCode>
                <ptCount val="8"/>
                <pt idx="0">
                  <v>25.3</v>
                </pt>
                <pt idx="1">
                  <v>12.7</v>
                </pt>
                <pt idx="2">
                  <v>16.1</v>
                </pt>
                <pt idx="3">
                  <v>12</v>
                </pt>
                <pt idx="4">
                  <v>11.1</v>
                </pt>
                <pt idx="5">
                  <v>21.4</v>
                </pt>
                <pt idx="6">
                  <v>11.9</v>
                </pt>
                <pt idx="7">
                  <v>9.199999999999999</v>
                </pt>
              </numCache>
            </numRef>
          </val>
        </ser>
        <ser>
          <idx val="2"/>
          <order val="2"/>
          <tx>
            <strRef>
              <f>'Smart Waste Bin (Staff Quarter)'!$D$1</f>
              <strCache>
                <ptCount val="1"/>
                <pt idx="0">
                  <v>Plastic Bottles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'Smart Waste Bin (Staff Quarter)'!$A$3:$A$10</f>
              <numCache>
                <formatCode>mmm\-yy</formatCode>
                <ptCount val="8"/>
                <pt idx="0">
                  <v>45778</v>
                </pt>
                <pt idx="1">
                  <v>45809</v>
                </pt>
                <pt idx="2">
                  <v>45839</v>
                </pt>
                <pt idx="3">
                  <v>45870</v>
                </pt>
                <pt idx="4">
                  <v>45901</v>
                </pt>
                <pt idx="5">
                  <v>45931</v>
                </pt>
                <pt idx="6">
                  <v>45962</v>
                </pt>
                <pt idx="7">
                  <v>45992</v>
                </pt>
              </numCache>
            </numRef>
          </cat>
          <val>
            <numRef>
              <f>'Smart Waste Bin (Staff Quarter)'!$D$3:$D$10</f>
              <numCache>
                <formatCode>0.0</formatCode>
                <ptCount val="8"/>
                <pt idx="0">
                  <v>92.5</v>
                </pt>
                <pt idx="1">
                  <v>58.3</v>
                </pt>
                <pt idx="2">
                  <v>55</v>
                </pt>
                <pt idx="3">
                  <v>83.09999999999999</v>
                </pt>
                <pt idx="4">
                  <v>83.09999999999999</v>
                </pt>
                <pt idx="5">
                  <v>68.3</v>
                </pt>
                <pt idx="6">
                  <v>59.5</v>
                </pt>
                <pt idx="7">
                  <v>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248560816"/>
        <axId val="1248554576"/>
      </barChart>
      <dateAx>
        <axId val="1248560816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48554576"/>
        <crosses val="autoZero"/>
        <lblOffset val="100"/>
        <baseTimeUnit val="months"/>
      </dateAx>
      <valAx>
        <axId val="12485545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4856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Academic Building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'Smart Waste Bin (Canteen)'!$B$1</f>
              <strCache>
                <ptCount val="1"/>
                <pt idx="0">
                  <v>Paper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'Smart Waste Bin (Canteen)'!$A$2:$A$11</f>
              <strCache>
                <ptCount val="10"/>
                <pt idx="0">
                  <v>Apr 1-17</v>
                </pt>
                <pt idx="1">
                  <v>Apr 18-30</v>
                </pt>
                <pt idx="2">
                  <v>May-25</v>
                </pt>
                <pt idx="3">
                  <v>Jun-25</v>
                </pt>
                <pt idx="4">
                  <v>Jul-25</v>
                </pt>
                <pt idx="5">
                  <v>Aug-25</v>
                </pt>
                <pt idx="6">
                  <v>Sep-25</v>
                </pt>
                <pt idx="7">
                  <v>Oct-25</v>
                </pt>
                <pt idx="8">
                  <v>Nov-25</v>
                </pt>
                <pt idx="9">
                  <v>Dec-25</v>
                </pt>
              </strCache>
            </strRef>
          </cat>
          <val>
            <numRef>
              <f>'Smart Waste Bin (Canteen)'!$B$2:$B$11</f>
              <numCache>
                <formatCode>0.0</formatCode>
                <ptCount val="10"/>
                <pt idx="0">
                  <v>68.40000000000001</v>
                </pt>
                <pt idx="1">
                  <v>57.9</v>
                </pt>
                <pt idx="2">
                  <v>139.3</v>
                </pt>
                <pt idx="3">
                  <v>155.5</v>
                </pt>
                <pt idx="4">
                  <v>210.4</v>
                </pt>
                <pt idx="5">
                  <v>170.4</v>
                </pt>
                <pt idx="6">
                  <v>234.7</v>
                </pt>
                <pt idx="7">
                  <v>181.1</v>
                </pt>
                <pt idx="8">
                  <v>165.3</v>
                </pt>
                <pt idx="9">
                  <v>151</v>
                </pt>
              </numCache>
            </numRef>
          </val>
        </ser>
        <ser>
          <idx val="1"/>
          <order val="1"/>
          <tx>
            <strRef>
              <f>'Smart Waste Bin (Canteen)'!$C$1</f>
              <strCache>
                <ptCount val="1"/>
                <pt idx="0">
                  <v>Metal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'Smart Waste Bin (Canteen)'!$A$2:$A$11</f>
              <strCache>
                <ptCount val="10"/>
                <pt idx="0">
                  <v>Apr 1-17</v>
                </pt>
                <pt idx="1">
                  <v>Apr 18-30</v>
                </pt>
                <pt idx="2">
                  <v>May-25</v>
                </pt>
                <pt idx="3">
                  <v>Jun-25</v>
                </pt>
                <pt idx="4">
                  <v>Jul-25</v>
                </pt>
                <pt idx="5">
                  <v>Aug-25</v>
                </pt>
                <pt idx="6">
                  <v>Sep-25</v>
                </pt>
                <pt idx="7">
                  <v>Oct-25</v>
                </pt>
                <pt idx="8">
                  <v>Nov-25</v>
                </pt>
                <pt idx="9">
                  <v>Dec-25</v>
                </pt>
              </strCache>
            </strRef>
          </cat>
          <val>
            <numRef>
              <f>'Smart Waste Bin (Canteen)'!$C$2:$C$11</f>
              <numCache>
                <formatCode>0.0</formatCode>
                <ptCount val="10"/>
                <pt idx="0">
                  <v>4.4</v>
                </pt>
                <pt idx="1">
                  <v>6.5</v>
                </pt>
                <pt idx="2">
                  <v>7.9</v>
                </pt>
                <pt idx="3">
                  <v>31.7</v>
                </pt>
                <pt idx="4">
                  <v>16.3</v>
                </pt>
                <pt idx="5">
                  <v>13.3</v>
                </pt>
                <pt idx="6">
                  <v>16.4</v>
                </pt>
                <pt idx="7">
                  <v>16.6</v>
                </pt>
                <pt idx="8">
                  <v>15.2</v>
                </pt>
                <pt idx="9">
                  <v>12.6</v>
                </pt>
              </numCache>
            </numRef>
          </val>
        </ser>
        <ser>
          <idx val="2"/>
          <order val="2"/>
          <tx>
            <strRef>
              <f>'Smart Waste Bin (Canteen)'!$D$1</f>
              <strCache>
                <ptCount val="1"/>
                <pt idx="0">
                  <v>Plastic Bottles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'Smart Waste Bin (Canteen)'!$A$2:$A$11</f>
              <strCache>
                <ptCount val="10"/>
                <pt idx="0">
                  <v>Apr 1-17</v>
                </pt>
                <pt idx="1">
                  <v>Apr 18-30</v>
                </pt>
                <pt idx="2">
                  <v>May-25</v>
                </pt>
                <pt idx="3">
                  <v>Jun-25</v>
                </pt>
                <pt idx="4">
                  <v>Jul-25</v>
                </pt>
                <pt idx="5">
                  <v>Aug-25</v>
                </pt>
                <pt idx="6">
                  <v>Sep-25</v>
                </pt>
                <pt idx="7">
                  <v>Oct-25</v>
                </pt>
                <pt idx="8">
                  <v>Nov-25</v>
                </pt>
                <pt idx="9">
                  <v>Dec-25</v>
                </pt>
              </strCache>
            </strRef>
          </cat>
          <val>
            <numRef>
              <f>'Smart Waste Bin (Canteen)'!$D$2:$D$11</f>
              <numCache>
                <formatCode>0.0</formatCode>
                <ptCount val="10"/>
                <pt idx="0">
                  <v>25.3</v>
                </pt>
                <pt idx="1">
                  <v>8.800000000000001</v>
                </pt>
                <pt idx="2">
                  <v>55.2</v>
                </pt>
                <pt idx="3">
                  <v>48.4</v>
                </pt>
                <pt idx="4">
                  <v>67</v>
                </pt>
                <pt idx="5">
                  <v>55.9</v>
                </pt>
                <pt idx="6">
                  <v>72.8</v>
                </pt>
                <pt idx="7">
                  <v>65.09999999999999</v>
                </pt>
                <pt idx="8">
                  <v>71.59999999999999</v>
                </pt>
                <pt idx="9">
                  <v>88.09999999999999</v>
                </pt>
              </numCache>
            </numRef>
          </val>
        </ser>
        <ser>
          <idx val="3"/>
          <order val="3"/>
          <tx>
            <strRef>
              <f>'Smart Waste Bin (Canteen)'!$E$1</f>
              <strCache>
                <ptCount val="1"/>
                <pt idx="0">
                  <v>Other Plastics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'Smart Waste Bin (Canteen)'!$A$2:$A$11</f>
              <strCache>
                <ptCount val="10"/>
                <pt idx="0">
                  <v>Apr 1-17</v>
                </pt>
                <pt idx="1">
                  <v>Apr 18-30</v>
                </pt>
                <pt idx="2">
                  <v>May-25</v>
                </pt>
                <pt idx="3">
                  <v>Jun-25</v>
                </pt>
                <pt idx="4">
                  <v>Jul-25</v>
                </pt>
                <pt idx="5">
                  <v>Aug-25</v>
                </pt>
                <pt idx="6">
                  <v>Sep-25</v>
                </pt>
                <pt idx="7">
                  <v>Oct-25</v>
                </pt>
                <pt idx="8">
                  <v>Nov-25</v>
                </pt>
                <pt idx="9">
                  <v>Dec-25</v>
                </pt>
              </strCache>
            </strRef>
          </cat>
          <val>
            <numRef>
              <f>'Smart Waste Bin (Canteen)'!$E$2:$E$11</f>
            </numRef>
          </val>
        </ser>
        <ser>
          <idx val="4"/>
          <order val="4"/>
          <tx>
            <strRef>
              <f>'Smart Waste Bin (Canteen)'!$F$1</f>
              <strCache>
                <ptCount val="1"/>
                <pt idx="0">
                  <v>Glass Bottles</v>
                </pt>
              </strCache>
            </strRef>
          </tx>
          <spPr>
            <a:solidFill xmlns:a="http://schemas.openxmlformats.org/drawingml/2006/main">
              <a:srgbClr val="855E3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'Smart Waste Bin (Canteen)'!$A$2:$A$11</f>
              <strCache>
                <ptCount val="10"/>
                <pt idx="0">
                  <v>Apr 1-17</v>
                </pt>
                <pt idx="1">
                  <v>Apr 18-30</v>
                </pt>
                <pt idx="2">
                  <v>May-25</v>
                </pt>
                <pt idx="3">
                  <v>Jun-25</v>
                </pt>
                <pt idx="4">
                  <v>Jul-25</v>
                </pt>
                <pt idx="5">
                  <v>Aug-25</v>
                </pt>
                <pt idx="6">
                  <v>Sep-25</v>
                </pt>
                <pt idx="7">
                  <v>Oct-25</v>
                </pt>
                <pt idx="8">
                  <v>Nov-25</v>
                </pt>
                <pt idx="9">
                  <v>Dec-25</v>
                </pt>
              </strCache>
            </strRef>
          </cat>
          <val>
            <numRef>
              <f>'Smart Waste Bin (Canteen)'!$F$2:$F$11</f>
              <numCache>
                <formatCode>0.0</formatCode>
                <ptCount val="10"/>
                <pt idx="0">
                  <v>24.7</v>
                </pt>
                <pt idx="1">
                  <v>20.7</v>
                </pt>
                <pt idx="2">
                  <v>56.5</v>
                </pt>
                <pt idx="3">
                  <v>34.5</v>
                </pt>
                <pt idx="4">
                  <v>81.2</v>
                </pt>
                <pt idx="5">
                  <v>80</v>
                </pt>
                <pt idx="6">
                  <v>63.6</v>
                </pt>
                <pt idx="7">
                  <v>61.2</v>
                </pt>
                <pt idx="8">
                  <v>69</v>
                </pt>
                <pt idx="9">
                  <v>70.5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56872112"/>
        <axId val="756861072"/>
      </barChart>
      <catAx>
        <axId val="756872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6861072"/>
        <crosses val="autoZero"/>
        <auto val="1"/>
        <lblAlgn val="ctr"/>
        <lblOffset val="100"/>
        <noMultiLvlLbl val="0"/>
      </catAx>
      <valAx>
        <axId val="756861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6872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</a:t>
            </a:r>
            <a:r>
              <a:rPr lang="en-GB" baseline="0"/>
              <a:t xml:space="preserve"> Waste Recycling Breakdown (monthly)</a:t>
            </a:r>
            <a:endParaRPr lang="en-GB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Food Data (KG)'!$B$1</f>
              <strCache>
                <ptCount val="1"/>
                <pt idx="0">
                  <v>LG1 Canteen and China Garden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(KG)'!$B$83:$B$106</f>
              <numCache>
                <formatCode>#,##0.00</formatCode>
                <ptCount val="24"/>
                <pt idx="0">
                  <v>7456</v>
                </pt>
                <pt idx="1">
                  <v>10135</v>
                </pt>
                <pt idx="2">
                  <v>10338</v>
                </pt>
                <pt idx="3">
                  <v>10324.6</v>
                </pt>
                <pt idx="4">
                  <v>14389.8</v>
                </pt>
                <pt idx="5">
                  <v>13139.5</v>
                </pt>
                <pt idx="6">
                  <v>10440.2</v>
                </pt>
                <pt idx="7">
                  <v>13343</v>
                </pt>
                <pt idx="8">
                  <v>16211.6</v>
                </pt>
                <pt idx="9">
                  <v>14442.9</v>
                </pt>
                <pt idx="10">
                  <v>15427.9</v>
                </pt>
                <pt idx="11">
                  <v>11557.2</v>
                </pt>
                <pt idx="12">
                  <v>12616.3</v>
                </pt>
                <pt idx="13">
                  <v>13470.8</v>
                </pt>
                <pt idx="14">
                  <v>15432.9</v>
                </pt>
                <pt idx="15">
                  <v>17066.9</v>
                </pt>
                <pt idx="16">
                  <v>17036.9</v>
                </pt>
                <pt idx="17">
                  <v>14307.6</v>
                </pt>
                <pt idx="18">
                  <v>11380</v>
                </pt>
                <pt idx="19">
                  <v>14291.7</v>
                </pt>
                <pt idx="20">
                  <v>16689.5</v>
                </pt>
                <pt idx="21">
                  <v>14808.3</v>
                </pt>
                <pt idx="22">
                  <v>14697.1</v>
                </pt>
                <pt idx="23">
                  <v>11953.9</v>
                </pt>
              </numCache>
            </numRef>
          </val>
        </ser>
        <ser>
          <idx val="1"/>
          <order val="1"/>
          <tx>
            <strRef>
              <f>'Raw Food Data (KG)'!$C$1</f>
              <strCache>
                <ptCount val="1"/>
                <pt idx="0">
                  <v>LG7 Canteens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(KG)'!$C$83:$C$106</f>
            </numRef>
          </val>
        </ser>
        <ser>
          <idx val="2"/>
          <order val="2"/>
          <tx>
            <strRef>
              <f>'Raw Food Data (KG)'!$D$1</f>
              <strCache>
                <ptCount val="1"/>
                <pt idx="0">
                  <v>McDonald's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(KG)'!$D$83:$D$106</f>
            </numRef>
          </val>
        </ser>
        <ser>
          <idx val="3"/>
          <order val="3"/>
          <tx>
            <strRef>
              <f>'Raw Food Data (KG)'!$E$1</f>
              <strCache>
                <ptCount val="1"/>
                <pt idx="0">
                  <v>LG7 Canteen + McDonald's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(KG)'!$E$83:$E$106</f>
              <numCache>
                <formatCode>#,##0.00</formatCode>
                <ptCount val="24"/>
                <pt idx="0">
                  <v>7333.6</v>
                </pt>
                <pt idx="1">
                  <v>10227.8</v>
                </pt>
                <pt idx="2">
                  <v>11338.2</v>
                </pt>
                <pt idx="3">
                  <v>10794.8</v>
                </pt>
                <pt idx="4">
                  <v>17059.3</v>
                </pt>
                <pt idx="5">
                  <v>12822.3</v>
                </pt>
                <pt idx="6">
                  <v>10518.7</v>
                </pt>
                <pt idx="7">
                  <v>12271.5</v>
                </pt>
                <pt idx="8">
                  <v>15475.8</v>
                </pt>
                <pt idx="9">
                  <v>14528.1</v>
                </pt>
                <pt idx="10">
                  <v>14693.7</v>
                </pt>
                <pt idx="11">
                  <v>9417.700000000001</v>
                </pt>
                <pt idx="12">
                  <v>12850.5</v>
                </pt>
                <pt idx="13">
                  <v>13539.6</v>
                </pt>
                <pt idx="14">
                  <v>19435.4</v>
                </pt>
                <pt idx="15">
                  <v>21511.2</v>
                </pt>
                <pt idx="16">
                  <v>21337.2</v>
                </pt>
                <pt idx="17">
                  <v>18821.3</v>
                </pt>
                <pt idx="18">
                  <v>12982.1</v>
                </pt>
                <pt idx="19">
                  <v>17364</v>
                </pt>
                <pt idx="20">
                  <v>20873.5</v>
                </pt>
                <pt idx="21">
                  <v>17587.2</v>
                </pt>
                <pt idx="22">
                  <v>19797.9</v>
                </pt>
                <pt idx="23">
                  <v>12025.4</v>
                </pt>
              </numCache>
            </numRef>
          </val>
        </ser>
        <ser>
          <idx val="4"/>
          <order val="4"/>
          <tx>
            <strRef>
              <f>'Raw Food Data (KG)'!$F$1</f>
              <strCache>
                <ptCount val="1"/>
                <pt idx="0">
                  <v>LG7 Fusion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(KG)'!$F$83:$F$106</f>
              <numCache>
                <formatCode>#,##0.00</formatCode>
                <ptCount val="24"/>
                <pt idx="0">
                  <v>1940.5</v>
                </pt>
                <pt idx="1">
                  <v>1272</v>
                </pt>
                <pt idx="2">
                  <v>464.9</v>
                </pt>
                <pt idx="3">
                  <v>1523</v>
                </pt>
                <pt idx="4">
                  <v>797.5</v>
                </pt>
                <pt idx="5">
                  <v>714.5</v>
                </pt>
                <pt idx="6">
                  <v>549.9</v>
                </pt>
                <pt idx="7">
                  <v>372.5</v>
                </pt>
                <pt idx="8">
                  <v>384.1</v>
                </pt>
                <pt idx="9">
                  <v>462.4</v>
                </pt>
                <pt idx="10">
                  <v>495.5</v>
                </pt>
                <pt idx="11">
                  <v>586</v>
                </pt>
                <pt idx="12">
                  <v>644.6</v>
                </pt>
                <pt idx="13">
                  <v>406.6</v>
                </pt>
                <pt idx="14">
                  <v>414.7</v>
                </pt>
                <pt idx="15">
                  <v>340.3</v>
                </pt>
                <pt idx="16">
                  <v>276.4</v>
                </pt>
                <pt idx="17">
                  <v>409.8</v>
                </pt>
                <pt idx="18">
                  <v>422.8</v>
                </pt>
                <pt idx="19">
                  <v>291</v>
                </pt>
                <pt idx="20">
                  <v>217.9</v>
                </pt>
                <pt idx="21">
                  <v>180.9</v>
                </pt>
                <pt idx="22">
                  <v>201.9</v>
                </pt>
                <pt idx="23">
                  <v>275.8</v>
                </pt>
              </numCache>
            </numRef>
          </val>
        </ser>
        <ser>
          <idx val="5"/>
          <order val="5"/>
          <tx>
            <strRef>
              <f>'Raw Food Data (KG)'!$G$1</f>
              <strCache>
                <ptCount val="1"/>
                <pt idx="0">
                  <v>Courtyard (Lift 25)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(KG)'!$G$83:$G$106</f>
              <numCache>
                <formatCode>#,##0.00</formatCode>
                <ptCount val="24"/>
                <pt idx="0">
                  <v>1322.5</v>
                </pt>
                <pt idx="1">
                  <v>1102</v>
                </pt>
                <pt idx="2">
                  <v>1964.4</v>
                </pt>
                <pt idx="3">
                  <v>1648.9</v>
                </pt>
                <pt idx="4">
                  <v>2422</v>
                </pt>
                <pt idx="5">
                  <v>1756.1</v>
                </pt>
                <pt idx="6">
                  <v>1402.4</v>
                </pt>
                <pt idx="7">
                  <v>2301.4</v>
                </pt>
                <pt idx="8">
                  <v>2645.1</v>
                </pt>
                <pt idx="9">
                  <v>2136.4</v>
                </pt>
                <pt idx="10">
                  <v>2215.9</v>
                </pt>
                <pt idx="11">
                  <v>1702.6</v>
                </pt>
                <pt idx="12">
                  <v>1284.7</v>
                </pt>
                <pt idx="13">
                  <v>1969.5</v>
                </pt>
                <pt idx="14">
                  <v>2528.6</v>
                </pt>
                <pt idx="15">
                  <v>3013.3</v>
                </pt>
                <pt idx="16">
                  <v>3075.9</v>
                </pt>
                <pt idx="17">
                  <v>1746.9</v>
                </pt>
                <pt idx="18">
                  <v>1253</v>
                </pt>
                <pt idx="19">
                  <v>2200.1</v>
                </pt>
                <pt idx="20">
                  <v>3040.7</v>
                </pt>
                <pt idx="21">
                  <v>2598.6</v>
                </pt>
                <pt idx="22">
                  <v>2501</v>
                </pt>
                <pt idx="23">
                  <v>1250.6</v>
                </pt>
              </numCache>
            </numRef>
          </val>
        </ser>
        <ser>
          <idx val="6"/>
          <order val="6"/>
          <tx>
            <strRef>
              <f>'Raw Food Data (KG)'!$H$1</f>
              <strCache>
                <ptCount val="1"/>
                <pt idx="0">
                  <v>UC Bistro (Tower C)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(KG)'!$H$83:$H$106</f>
              <numCache>
                <formatCode>#,##0.00</formatCode>
                <ptCount val="24"/>
                <pt idx="0">
                  <v>427.5</v>
                </pt>
                <pt idx="1">
                  <v>456</v>
                </pt>
                <pt idx="2">
                  <v>628</v>
                </pt>
                <pt idx="3">
                  <v>410.9</v>
                </pt>
                <pt idx="4">
                  <v>545.8</v>
                </pt>
                <pt idx="5">
                  <v>746.4</v>
                </pt>
                <pt idx="6">
                  <v>413.5</v>
                </pt>
                <pt idx="7">
                  <v>438.2</v>
                </pt>
                <pt idx="8">
                  <v>504.3</v>
                </pt>
                <pt idx="9">
                  <v>361.5</v>
                </pt>
                <pt idx="10">
                  <v>576.4</v>
                </pt>
                <pt idx="11">
                  <v>503.8</v>
                </pt>
                <pt idx="12">
                  <v>425.3</v>
                </pt>
                <pt idx="13">
                  <v>430.9</v>
                </pt>
                <pt idx="14">
                  <v>437.8</v>
                </pt>
                <pt idx="15">
                  <v>339.2</v>
                </pt>
                <pt idx="16">
                  <v>597.3</v>
                </pt>
                <pt idx="17">
                  <v>558.5</v>
                </pt>
                <pt idx="18">
                  <v>292.3</v>
                </pt>
                <pt idx="19">
                  <v>521.3</v>
                </pt>
                <pt idx="20">
                  <v>543.6</v>
                </pt>
                <pt idx="21">
                  <v>395.5</v>
                </pt>
                <pt idx="22">
                  <v>563</v>
                </pt>
                <pt idx="23">
                  <v>445.6</v>
                </pt>
              </numCache>
            </numRef>
          </val>
        </ser>
        <ser>
          <idx val="7"/>
          <order val="7"/>
          <tx>
            <strRef>
              <f>'Raw Food Data (KG)'!$I$1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(KG)'!$I$83:$I$106</f>
              <numCache>
                <formatCode>#,##0.00</formatCode>
                <ptCount val="24"/>
                <pt idx="0">
                  <v>1793.5</v>
                </pt>
                <pt idx="1">
                  <v>2079</v>
                </pt>
                <pt idx="2">
                  <v>2438.7</v>
                </pt>
                <pt idx="3">
                  <v>2014.9</v>
                </pt>
                <pt idx="4">
                  <v>3703.9</v>
                </pt>
                <pt idx="5">
                  <v>2987.4</v>
                </pt>
                <pt idx="6">
                  <v>2540.4</v>
                </pt>
                <pt idx="7">
                  <v>2848.4</v>
                </pt>
                <pt idx="8">
                  <v>3490.9</v>
                </pt>
                <pt idx="9">
                  <v>3084.1</v>
                </pt>
                <pt idx="10">
                  <v>2978.3</v>
                </pt>
                <pt idx="11">
                  <v>2130.4</v>
                </pt>
                <pt idx="12">
                  <v>2178.2</v>
                </pt>
                <pt idx="13">
                  <v>2499.5</v>
                </pt>
                <pt idx="14">
                  <v>3537.8</v>
                </pt>
                <pt idx="15">
                  <v>3904.1</v>
                </pt>
                <pt idx="16">
                  <v>3829.2</v>
                </pt>
                <pt idx="17">
                  <v>2897</v>
                </pt>
                <pt idx="18">
                  <v>2142.1</v>
                </pt>
                <pt idx="19">
                  <v>3128.6</v>
                </pt>
                <pt idx="20">
                  <v>4006.5</v>
                </pt>
                <pt idx="21">
                  <v>3247.9</v>
                </pt>
                <pt idx="22">
                  <v>3505.2</v>
                </pt>
                <pt idx="23">
                  <v>2717.6</v>
                </pt>
              </numCache>
            </numRef>
          </val>
        </ser>
        <ser>
          <idx val="8"/>
          <order val="8"/>
          <tx>
            <strRef>
              <f>'Raw Food Data (KG)'!$J$1</f>
              <strCache>
                <ptCount val="1"/>
                <pt idx="0">
                  <v>Seafront Cafeteria (now collected at UG6 starting July 23)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(KG)'!$J$83:$J$106</f>
            </numRef>
          </val>
        </ser>
        <ser>
          <idx val="9"/>
          <order val="9"/>
          <tx>
            <strRef>
              <f>'Raw Food Data (KG)'!$K$1</f>
              <strCache>
                <ptCount val="1"/>
                <pt idx="0">
                  <v>UG Halls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(KG)'!$K$83:$K$106</f>
            </numRef>
          </val>
        </ser>
        <ser>
          <idx val="10"/>
          <order val="10"/>
          <tx>
            <strRef>
              <f>'Raw Food Data (KG)'!$L$1</f>
              <strCache>
                <ptCount val="1"/>
                <pt idx="0">
                  <v xml:space="preserve">UG Halls + Seafront Cafeteria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(KG)'!$L$83:$L$106</f>
              <numCache>
                <formatCode>#,##0.00</formatCode>
                <ptCount val="24"/>
                <pt idx="0">
                  <v>0</v>
                </pt>
                <pt idx="1">
                  <v>123</v>
                </pt>
                <pt idx="2">
                  <v>525.9</v>
                </pt>
                <pt idx="3">
                  <v>476.8</v>
                </pt>
                <pt idx="4">
                  <v>770.6</v>
                </pt>
                <pt idx="5">
                  <v>490.1</v>
                </pt>
                <pt idx="6">
                  <v>221.8</v>
                </pt>
                <pt idx="7">
                  <v>612</v>
                </pt>
                <pt idx="8">
                  <v>733.1</v>
                </pt>
                <pt idx="9">
                  <v>601.2</v>
                </pt>
                <pt idx="10">
                  <v>590</v>
                </pt>
                <pt idx="11">
                  <v>208.2</v>
                </pt>
                <pt idx="12">
                  <v>239.8</v>
                </pt>
                <pt idx="13">
                  <v>309.3</v>
                </pt>
                <pt idx="14">
                  <v>568.1</v>
                </pt>
                <pt idx="15">
                  <v>672.3</v>
                </pt>
                <pt idx="16">
                  <v>640</v>
                </pt>
                <pt idx="17">
                  <formatCode>#,##0.0</formatCode>
                  <v>435.6</v>
                </pt>
                <pt idx="18">
                  <v>193.4</v>
                </pt>
                <pt idx="19">
                  <v>533.9</v>
                </pt>
                <pt idx="20">
                  <v>707.7</v>
                </pt>
                <pt idx="21">
                  <v>543.1</v>
                </pt>
                <pt idx="22">
                  <v>486.6</v>
                </pt>
                <pt idx="23">
                  <v>195.1</v>
                </pt>
              </numCache>
            </numRef>
          </val>
        </ser>
        <ser>
          <idx val="11"/>
          <order val="11"/>
          <tx>
            <strRef>
              <f>'Raw Food Data (KG)'!$M$1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(KG)'!$M$83:$M$106</f>
              <numCache>
                <formatCode>#,##0.00</formatCode>
                <ptCount val="24"/>
                <pt idx="0">
                  <v>738.5</v>
                </pt>
                <pt idx="1">
                  <v>589.6</v>
                </pt>
                <pt idx="2">
                  <v>530.6</v>
                </pt>
                <pt idx="3">
                  <v>564</v>
                </pt>
                <pt idx="4">
                  <v>650.6</v>
                </pt>
                <pt idx="5">
                  <v>796.8</v>
                </pt>
                <pt idx="6">
                  <v>870.1</v>
                </pt>
                <pt idx="7">
                  <v>790.2</v>
                </pt>
                <pt idx="8">
                  <v>947</v>
                </pt>
                <pt idx="9">
                  <v>744.9</v>
                </pt>
                <pt idx="10">
                  <v>894</v>
                </pt>
                <pt idx="11">
                  <v>920</v>
                </pt>
                <pt idx="12">
                  <v>734.1</v>
                </pt>
                <pt idx="13">
                  <v>749.4</v>
                </pt>
                <pt idx="14">
                  <v>843.4</v>
                </pt>
                <pt idx="15">
                  <v>996.4</v>
                </pt>
                <pt idx="16">
                  <v>1211.5</v>
                </pt>
                <pt idx="17">
                  <v>1199.3</v>
                </pt>
                <pt idx="18">
                  <v>871.4</v>
                </pt>
                <pt idx="19">
                  <v>820.9</v>
                </pt>
                <pt idx="20">
                  <v>839.6</v>
                </pt>
                <pt idx="21">
                  <v>904.8</v>
                </pt>
                <pt idx="22">
                  <v>923.2</v>
                </pt>
                <pt idx="23">
                  <v>718.4</v>
                </pt>
              </numCache>
            </numRef>
          </val>
        </ser>
        <ser>
          <idx val="12"/>
          <order val="12"/>
          <tx>
            <strRef>
              <f>'Raw Food Data (KG)'!$N$1</f>
              <strCache>
                <ptCount val="1"/>
                <pt idx="0">
                  <v>Staff Quarters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(KG)'!$N$83:$N$106</f>
            </numRef>
          </val>
        </ser>
        <ser>
          <idx val="13"/>
          <order val="13"/>
          <tx>
            <strRef>
              <f>'Raw Food Data (KG)'!$O$1</f>
              <strCache>
                <ptCount val="1"/>
                <pt idx="0">
                  <v>Junior Staff Quarters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(KG)'!$O$83:$O$106</f>
            </numRef>
          </val>
        </ser>
        <ser>
          <idx val="14"/>
          <order val="14"/>
          <tx>
            <strRef>
              <f>'Raw Food Data (KG)'!$P$1</f>
              <strCache>
                <ptCount val="1"/>
                <pt idx="0">
                  <v>Staff Quarters (All)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(KG)'!$P$83:$P$106</f>
              <numCache>
                <formatCode>#,##0.00</formatCode>
                <ptCount val="24"/>
                <pt idx="0">
                  <v>2284.4</v>
                </pt>
                <pt idx="1">
                  <v>2206.1</v>
                </pt>
                <pt idx="2">
                  <v>2158.3</v>
                </pt>
                <pt idx="3">
                  <v>2398.6</v>
                </pt>
                <pt idx="4">
                  <v>2276.4</v>
                </pt>
                <pt idx="5">
                  <v>2240.2</v>
                </pt>
                <pt idx="6">
                  <v>2420.9</v>
                </pt>
                <pt idx="7">
                  <v>2675.4</v>
                </pt>
                <pt idx="8">
                  <v>3118.9</v>
                </pt>
                <pt idx="9">
                  <v>3239.5</v>
                </pt>
                <pt idx="10">
                  <v>3033.6</v>
                </pt>
                <pt idx="11">
                  <v>3034.1</v>
                </pt>
                <pt idx="12">
                  <v>3135.3</v>
                </pt>
                <pt idx="13">
                  <v>3219.9</v>
                </pt>
                <pt idx="14">
                  <v>2913</v>
                </pt>
                <pt idx="15">
                  <v>2698.5</v>
                </pt>
                <pt idx="16">
                  <v>2738</v>
                </pt>
                <pt idx="17">
                  <v>2401</v>
                </pt>
                <pt idx="18">
                  <v>2517.9</v>
                </pt>
                <pt idx="19">
                  <v>2421.8</v>
                </pt>
                <pt idx="20">
                  <v>2500.1</v>
                </pt>
                <pt idx="21">
                  <v>2026.8</v>
                </pt>
                <pt idx="22">
                  <v>2102.5</v>
                </pt>
                <pt idx="23">
                  <v>1952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 xml:space="preserve"> Waste Recycling Trend</a:t>
            </a:r>
            <a:r>
              <a:rPr lang="en-US"/>
              <a:t>l (kg)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Food Data (KG)'!$Q$1</f>
              <strCache>
                <ptCount val="1"/>
                <pt idx="0">
                  <v>Total (kg)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(KG)'!$A$2:$A$91</f>
              <numCache>
                <formatCode>[$-409]mmm\-yy;@</formatCode>
                <ptCount val="90"/>
                <pt idx="0">
                  <v>42644</v>
                </pt>
                <pt idx="1">
                  <v>42675</v>
                </pt>
                <pt idx="2">
                  <v>42705</v>
                </pt>
                <pt idx="3">
                  <v>42736</v>
                </pt>
                <pt idx="4">
                  <v>42767</v>
                </pt>
                <pt idx="5">
                  <v>42795</v>
                </pt>
                <pt idx="6">
                  <v>42826</v>
                </pt>
                <pt idx="7">
                  <v>42856</v>
                </pt>
                <pt idx="8">
                  <v>42887</v>
                </pt>
                <pt idx="9">
                  <v>42917</v>
                </pt>
                <pt idx="10">
                  <v>42948</v>
                </pt>
                <pt idx="11">
                  <v>42979</v>
                </pt>
                <pt idx="12">
                  <v>43009</v>
                </pt>
                <pt idx="13">
                  <v>43040</v>
                </pt>
                <pt idx="14">
                  <v>43070</v>
                </pt>
                <pt idx="15">
                  <v>43101</v>
                </pt>
                <pt idx="16">
                  <v>43132</v>
                </pt>
                <pt idx="17">
                  <v>43160</v>
                </pt>
                <pt idx="18">
                  <v>43191</v>
                </pt>
                <pt idx="19">
                  <v>43221</v>
                </pt>
                <pt idx="20">
                  <v>43252</v>
                </pt>
                <pt idx="21">
                  <v>43282</v>
                </pt>
                <pt idx="22">
                  <v>43313</v>
                </pt>
                <pt idx="23">
                  <v>43344</v>
                </pt>
                <pt idx="24">
                  <v>43374</v>
                </pt>
                <pt idx="25">
                  <v>43405</v>
                </pt>
                <pt idx="26">
                  <v>43435</v>
                </pt>
                <pt idx="27">
                  <v>43466</v>
                </pt>
                <pt idx="28">
                  <v>43497</v>
                </pt>
                <pt idx="29">
                  <v>43525</v>
                </pt>
                <pt idx="30">
                  <v>43556</v>
                </pt>
                <pt idx="31">
                  <v>43586</v>
                </pt>
                <pt idx="32">
                  <v>43617</v>
                </pt>
                <pt idx="33">
                  <v>43647</v>
                </pt>
                <pt idx="34">
                  <v>43678</v>
                </pt>
                <pt idx="35">
                  <v>43709</v>
                </pt>
                <pt idx="36">
                  <v>43739</v>
                </pt>
                <pt idx="37">
                  <v>43770</v>
                </pt>
                <pt idx="38">
                  <v>43800</v>
                </pt>
                <pt idx="39">
                  <v>43831</v>
                </pt>
                <pt idx="40">
                  <v>43862</v>
                </pt>
                <pt idx="41">
                  <v>43891</v>
                </pt>
                <pt idx="42">
                  <v>43922</v>
                </pt>
                <pt idx="43">
                  <v>43952</v>
                </pt>
                <pt idx="44">
                  <v>43983</v>
                </pt>
                <pt idx="45">
                  <v>44013</v>
                </pt>
                <pt idx="46">
                  <v>44044</v>
                </pt>
                <pt idx="47">
                  <v>44075</v>
                </pt>
                <pt idx="48">
                  <v>44105</v>
                </pt>
                <pt idx="49">
                  <v>44136</v>
                </pt>
                <pt idx="50">
                  <v>44166</v>
                </pt>
                <pt idx="51">
                  <v>44197</v>
                </pt>
                <pt idx="52">
                  <v>44228</v>
                </pt>
                <pt idx="53">
                  <v>44256</v>
                </pt>
                <pt idx="54">
                  <v>44287</v>
                </pt>
                <pt idx="55">
                  <v>44317</v>
                </pt>
                <pt idx="56">
                  <v>44348</v>
                </pt>
                <pt idx="57">
                  <v>44378</v>
                </pt>
                <pt idx="58">
                  <v>44409</v>
                </pt>
                <pt idx="59">
                  <v>44440</v>
                </pt>
                <pt idx="60">
                  <v>44470</v>
                </pt>
                <pt idx="61">
                  <v>44501</v>
                </pt>
                <pt idx="62">
                  <v>44531</v>
                </pt>
                <pt idx="63">
                  <v>44562</v>
                </pt>
                <pt idx="64">
                  <v>44593</v>
                </pt>
                <pt idx="65">
                  <v>44621</v>
                </pt>
                <pt idx="66">
                  <v>44652</v>
                </pt>
                <pt idx="67">
                  <v>44682</v>
                </pt>
                <pt idx="68">
                  <v>44713</v>
                </pt>
                <pt idx="69">
                  <v>44743</v>
                </pt>
                <pt idx="70">
                  <v>44774</v>
                </pt>
                <pt idx="71">
                  <v>44805</v>
                </pt>
                <pt idx="72">
                  <v>44835</v>
                </pt>
                <pt idx="73">
                  <v>44866</v>
                </pt>
                <pt idx="74">
                  <v>44896</v>
                </pt>
                <pt idx="75">
                  <v>44927</v>
                </pt>
                <pt idx="76">
                  <v>44958</v>
                </pt>
                <pt idx="77">
                  <v>44986</v>
                </pt>
                <pt idx="78">
                  <v>45017</v>
                </pt>
                <pt idx="79">
                  <v>45047</v>
                </pt>
                <pt idx="80">
                  <v>45078</v>
                </pt>
                <pt idx="81">
                  <v>45108</v>
                </pt>
                <pt idx="82">
                  <v>45139</v>
                </pt>
                <pt idx="83">
                  <v>45192</v>
                </pt>
                <pt idx="84">
                  <v>45222</v>
                </pt>
                <pt idx="85">
                  <v>45253</v>
                </pt>
                <pt idx="86">
                  <v>45283</v>
                </pt>
                <pt idx="87">
                  <v>45314</v>
                </pt>
                <pt idx="88">
                  <v>45345</v>
                </pt>
                <pt idx="89">
                  <v>45374</v>
                </pt>
              </numCache>
            </numRef>
          </cat>
          <val>
            <numRef>
              <f>'Raw Food Data (KG)'!$Q$2:$Q$91</f>
              <numCache>
                <formatCode>#,##0.00</formatCode>
                <ptCount val="90"/>
                <pt idx="0">
                  <v>21800</v>
                </pt>
                <pt idx="1">
                  <v>19250</v>
                </pt>
                <pt idx="2">
                  <v>16900</v>
                </pt>
                <pt idx="3">
                  <v>13750</v>
                </pt>
                <pt idx="4">
                  <v>18825</v>
                </pt>
                <pt idx="5">
                  <v>21975</v>
                </pt>
                <pt idx="6">
                  <v>18850</v>
                </pt>
                <pt idx="7">
                  <v>20275</v>
                </pt>
                <pt idx="8">
                  <v>21025</v>
                </pt>
                <pt idx="9">
                  <v>13275</v>
                </pt>
                <pt idx="10">
                  <v>15525</v>
                </pt>
                <pt idx="11">
                  <v>25050</v>
                </pt>
                <pt idx="12">
                  <v>25175</v>
                </pt>
                <pt idx="13">
                  <v>30100</v>
                </pt>
                <pt idx="14">
                  <v>30200</v>
                </pt>
                <pt idx="15">
                  <v>27975</v>
                </pt>
                <pt idx="16">
                  <v>21825</v>
                </pt>
                <pt idx="17">
                  <v>25300</v>
                </pt>
                <pt idx="18">
                  <v>25225</v>
                </pt>
                <pt idx="19">
                  <v>37200</v>
                </pt>
                <pt idx="20">
                  <v>27900</v>
                </pt>
                <pt idx="21">
                  <v>25675</v>
                </pt>
                <pt idx="22">
                  <v>16633.9</v>
                </pt>
                <pt idx="23">
                  <v>18194.05</v>
                </pt>
                <pt idx="24">
                  <v>26058</v>
                </pt>
                <pt idx="25">
                  <v>28892.5</v>
                </pt>
                <pt idx="26">
                  <v>24534.5</v>
                </pt>
                <pt idx="27">
                  <v>21757.5</v>
                </pt>
                <pt idx="28">
                  <v>24584.5</v>
                </pt>
                <pt idx="29">
                  <v>30930.5</v>
                </pt>
                <pt idx="30">
                  <v>32534.5</v>
                </pt>
                <pt idx="31">
                  <v>31664</v>
                </pt>
                <pt idx="32">
                  <v>23162.5</v>
                </pt>
                <pt idx="33">
                  <v>19566</v>
                </pt>
                <pt idx="34">
                  <v>24598</v>
                </pt>
                <pt idx="35">
                  <v>34879.5</v>
                </pt>
                <pt idx="36">
                  <v>37724</v>
                </pt>
                <pt idx="37">
                  <v>27265.5</v>
                </pt>
                <pt idx="38">
                  <v>28071.5</v>
                </pt>
                <pt idx="39">
                  <v>23781.5</v>
                </pt>
                <pt idx="40">
                  <v>11633.5</v>
                </pt>
                <pt idx="41">
                  <v>13782.5</v>
                </pt>
                <pt idx="42">
                  <v>11779</v>
                </pt>
                <pt idx="43">
                  <v>15765</v>
                </pt>
                <pt idx="44">
                  <v>20002</v>
                </pt>
                <pt idx="45">
                  <v>24809</v>
                </pt>
                <pt idx="46">
                  <v>23143</v>
                </pt>
                <pt idx="47">
                  <v>28611</v>
                </pt>
                <pt idx="48">
                  <v>31009</v>
                </pt>
                <pt idx="49">
                  <v>34289</v>
                </pt>
                <pt idx="50">
                  <v>33360</v>
                </pt>
                <pt idx="51">
                  <v>33517</v>
                </pt>
                <pt idx="52">
                  <v>29468</v>
                </pt>
                <pt idx="53">
                  <v>35447</v>
                </pt>
                <pt idx="54">
                  <v>43497</v>
                </pt>
                <pt idx="55">
                  <v>40188</v>
                </pt>
                <pt idx="56">
                  <v>35583</v>
                </pt>
                <pt idx="57">
                  <v>36437</v>
                </pt>
                <pt idx="58">
                  <v>33584</v>
                </pt>
                <pt idx="59">
                  <v>35376</v>
                </pt>
                <pt idx="60">
                  <v>45400</v>
                </pt>
                <pt idx="61">
                  <v>42665</v>
                </pt>
                <pt idx="62">
                  <v>41338</v>
                </pt>
                <pt idx="63">
                  <v>33071</v>
                </pt>
                <pt idx="64">
                  <v>24947</v>
                </pt>
                <pt idx="65">
                  <v>22091</v>
                </pt>
                <pt idx="66">
                  <v>24586.6</v>
                </pt>
                <pt idx="67">
                  <v>27462</v>
                </pt>
                <pt idx="68">
                  <v>22866</v>
                </pt>
                <pt idx="69">
                  <v>25176</v>
                </pt>
                <pt idx="70">
                  <v>26660</v>
                </pt>
                <pt idx="71">
                  <v>35619</v>
                </pt>
                <pt idx="72">
                  <v>39851</v>
                </pt>
                <pt idx="73">
                  <v>42228</v>
                </pt>
                <pt idx="74">
                  <v>44338</v>
                </pt>
                <pt idx="75">
                  <v>34407</v>
                </pt>
                <pt idx="76">
                  <v>28553</v>
                </pt>
                <pt idx="77">
                  <v>35187</v>
                </pt>
                <pt idx="78">
                  <v>39810.5</v>
                </pt>
                <pt idx="79">
                  <v>39784</v>
                </pt>
                <pt idx="80">
                  <v>40149.6</v>
                </pt>
                <pt idx="81">
                  <v>23296.5</v>
                </pt>
                <pt idx="82">
                  <v>28190.5</v>
                </pt>
                <pt idx="83">
                  <v>30387</v>
                </pt>
                <pt idx="84">
                  <v>30156.5</v>
                </pt>
                <pt idx="85">
                  <v>42615.9</v>
                </pt>
                <pt idx="86">
                  <v>35693.3</v>
                </pt>
                <pt idx="87">
                  <v>29377.9</v>
                </pt>
                <pt idx="88">
                  <v>35652.6</v>
                </pt>
                <pt idx="89">
                  <v>43510.8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4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 and Recycling Distribution (From start of 2024/25 academic year to Jun</a:t>
            </a:r>
            <a:r>
              <a:rPr lang="en-US" baseline="0"/>
              <a:t>e 25</a:t>
            </a:r>
            <a:r>
              <a:rPr lang="en-US"/>
              <a:t>)</a:t>
            </a:r>
            <a:endParaRPr lang="en-HK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4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HK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030A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1200" b="1" i="0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'Category Waste Data'!$B$1:$G$1</f>
              <strCache>
                <ptCount val="6"/>
                <pt idx="0">
                  <v>Trash</v>
                </pt>
                <pt idx="1">
                  <v>Office</v>
                </pt>
                <pt idx="2">
                  <v>Operations</v>
                </pt>
                <pt idx="3">
                  <v>Household</v>
                </pt>
                <pt idx="4">
                  <v>Food Waste</v>
                </pt>
                <pt idx="5">
                  <v>Compostables</v>
                </pt>
              </strCache>
            </strRef>
          </cat>
          <val>
            <numRef>
              <f>'Category Waste Data'!$B$149:$G$149</f>
              <numCache>
                <formatCode>0%</formatCode>
                <ptCount val="6"/>
                <pt idx="0">
                  <v>0.6101457787820672</v>
                </pt>
                <pt idx="1">
                  <v>0.06015630500119548</v>
                </pt>
                <pt idx="2">
                  <v>0.07194254146803176</v>
                </pt>
                <pt idx="3">
                  <v>0.005808058220364952</v>
                </pt>
                <pt idx="4">
                  <v>0.1709127745447113</v>
                </pt>
                <pt idx="5">
                  <v>0.08103454198362944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Trend (formatted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until Jun-24)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GB"/>
        </a:p>
      </txPr>
    </title>
    <plotArea>
      <layout/>
      <areaChart>
        <grouping val="stacked"/>
        <varyColors val="0"/>
        <ser>
          <idx val="0"/>
          <order val="0"/>
          <tx>
            <strRef>
              <f>'Monthly Recycling'!$B$1</f>
              <strCache>
                <ptCount val="1"/>
                <pt idx="0">
                  <v>Paper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Recycling'!$B$88:$B$136</f>
              <numCache>
                <formatCode>#,##0</formatCode>
                <ptCount val="49"/>
                <pt idx="0">
                  <v>14382</v>
                </pt>
                <pt idx="1">
                  <v>14003</v>
                </pt>
                <pt idx="2">
                  <v>12844</v>
                </pt>
                <pt idx="3">
                  <v>12153</v>
                </pt>
                <pt idx="4">
                  <v>12848</v>
                </pt>
                <pt idx="5">
                  <v>11928</v>
                </pt>
                <pt idx="6">
                  <v>14779</v>
                </pt>
                <pt idx="7">
                  <v>13066</v>
                </pt>
                <pt idx="8">
                  <v>13007</v>
                </pt>
                <pt idx="9">
                  <v>14483</v>
                </pt>
                <pt idx="10">
                  <v>13408</v>
                </pt>
                <pt idx="11">
                  <v>15364</v>
                </pt>
                <pt idx="12">
                  <v>15654</v>
                </pt>
                <pt idx="13">
                  <v>13228</v>
                </pt>
                <pt idx="14">
                  <v>14446</v>
                </pt>
                <pt idx="15">
                  <v>14118</v>
                </pt>
                <pt idx="16">
                  <v>14832</v>
                </pt>
                <pt idx="17">
                  <v>11046</v>
                </pt>
                <pt idx="18">
                  <v>10035</v>
                </pt>
                <pt idx="19">
                  <v>9482</v>
                </pt>
                <pt idx="20">
                  <v>10889</v>
                </pt>
                <pt idx="21">
                  <v>10770</v>
                </pt>
                <pt idx="22">
                  <v>10655</v>
                </pt>
                <pt idx="23">
                  <v>11619</v>
                </pt>
                <pt idx="24">
                  <v>13120</v>
                </pt>
                <pt idx="25">
                  <v>13030</v>
                </pt>
                <pt idx="26">
                  <v>12168</v>
                </pt>
                <pt idx="27">
                  <v>12209</v>
                </pt>
                <pt idx="28">
                  <v>9418</v>
                </pt>
                <pt idx="29">
                  <v>10379</v>
                </pt>
                <pt idx="30">
                  <v>11198</v>
                </pt>
                <pt idx="31">
                  <v>10871</v>
                </pt>
                <pt idx="32">
                  <v>10533</v>
                </pt>
                <pt idx="33">
                  <v>10392</v>
                </pt>
                <pt idx="34">
                  <v>10670</v>
                </pt>
                <pt idx="35">
                  <v>10732</v>
                </pt>
                <pt idx="36">
                  <v>11135</v>
                </pt>
                <pt idx="37">
                  <v>11304</v>
                </pt>
                <pt idx="38">
                  <v>13460</v>
                </pt>
                <pt idx="39">
                  <v>13442</v>
                </pt>
                <pt idx="40">
                  <v>13416</v>
                </pt>
                <pt idx="41">
                  <v>12589</v>
                </pt>
                <pt idx="42">
                  <v>13346</v>
                </pt>
                <pt idx="43">
                  <v>12371</v>
                </pt>
                <pt idx="44">
                  <v>13434</v>
                </pt>
                <pt idx="45">
                  <v>12778</v>
                </pt>
                <pt idx="46">
                  <v>12412</v>
                </pt>
                <pt idx="47">
                  <v>13553</v>
                </pt>
                <pt idx="48">
                  <v>13355</v>
                </pt>
              </numCache>
            </numRef>
          </val>
        </ser>
        <ser>
          <idx val="1"/>
          <order val="1"/>
          <tx>
            <strRef>
              <f>'Monthly Recycling'!$C$1</f>
              <strCache>
                <ptCount val="1"/>
                <pt idx="0">
                  <v>Metal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Recycling'!$C$88:$C$136</f>
              <numCache>
                <formatCode>#,##0</formatCode>
                <ptCount val="49"/>
                <pt idx="0">
                  <v>371</v>
                </pt>
                <pt idx="1">
                  <v>345</v>
                </pt>
                <pt idx="2">
                  <v>421</v>
                </pt>
                <pt idx="3">
                  <v>407</v>
                </pt>
                <pt idx="4">
                  <v>344</v>
                </pt>
                <pt idx="5">
                  <v>1790</v>
                </pt>
                <pt idx="6">
                  <v>341</v>
                </pt>
                <pt idx="7">
                  <v>1351</v>
                </pt>
                <pt idx="8">
                  <v>879</v>
                </pt>
                <pt idx="9">
                  <v>332</v>
                </pt>
                <pt idx="10">
                  <v>1128</v>
                </pt>
                <pt idx="11">
                  <v>376</v>
                </pt>
                <pt idx="12">
                  <v>902</v>
                </pt>
                <pt idx="13">
                  <v>992</v>
                </pt>
                <pt idx="14">
                  <v>370</v>
                </pt>
                <pt idx="15">
                  <v>1071</v>
                </pt>
                <pt idx="16">
                  <v>1212</v>
                </pt>
                <pt idx="17">
                  <v>313</v>
                </pt>
                <pt idx="18">
                  <v>389</v>
                </pt>
                <pt idx="19">
                  <v>1101</v>
                </pt>
                <pt idx="20">
                  <v>316</v>
                </pt>
                <pt idx="21">
                  <v>304</v>
                </pt>
                <pt idx="22">
                  <v>810</v>
                </pt>
                <pt idx="23">
                  <v>1303</v>
                </pt>
                <pt idx="24">
                  <v>631</v>
                </pt>
                <pt idx="25">
                  <v>726</v>
                </pt>
                <pt idx="26">
                  <v>736</v>
                </pt>
                <pt idx="27">
                  <v>1633</v>
                </pt>
                <pt idx="28">
                  <v>772</v>
                </pt>
                <pt idx="29">
                  <v>1110</v>
                </pt>
                <pt idx="30">
                  <v>974</v>
                </pt>
                <pt idx="31">
                  <v>727</v>
                </pt>
                <pt idx="32">
                  <v>638</v>
                </pt>
                <pt idx="33">
                  <v>897</v>
                </pt>
                <pt idx="34">
                  <v>915</v>
                </pt>
                <pt idx="35">
                  <v>872</v>
                </pt>
                <pt idx="36">
                  <v>801</v>
                </pt>
                <pt idx="37">
                  <v>733</v>
                </pt>
                <pt idx="38">
                  <v>752</v>
                </pt>
                <pt idx="39">
                  <v>342</v>
                </pt>
                <pt idx="40">
                  <v>735</v>
                </pt>
                <pt idx="41">
                  <v>318</v>
                </pt>
                <pt idx="42">
                  <v>533</v>
                </pt>
                <pt idx="43">
                  <v>739</v>
                </pt>
                <pt idx="44">
                  <v>757</v>
                </pt>
                <pt idx="45">
                  <v>1087</v>
                </pt>
                <pt idx="46">
                  <v>894</v>
                </pt>
                <pt idx="47">
                  <v>387</v>
                </pt>
                <pt idx="48">
                  <v>608</v>
                </pt>
              </numCache>
            </numRef>
          </val>
        </ser>
        <ser>
          <idx val="2"/>
          <order val="2"/>
          <tx>
            <strRef>
              <f>'Monthly Recycling'!$D$1</f>
              <strCache>
                <ptCount val="1"/>
                <pt idx="0">
                  <v>Plastic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Recycling'!$D$88:$D$136</f>
              <numCache>
                <formatCode>General</formatCode>
                <ptCount val="49"/>
                <pt idx="0">
                  <v>512.75</v>
                </pt>
                <pt idx="1">
                  <v>510.7</v>
                </pt>
                <pt idx="2">
                  <v>719.15</v>
                </pt>
                <pt idx="3">
                  <v>513.05</v>
                </pt>
                <pt idx="4">
                  <v>388.55</v>
                </pt>
                <pt idx="5">
                  <v>551.05</v>
                </pt>
                <pt idx="6">
                  <v>575.6</v>
                </pt>
                <pt idx="7">
                  <v>507.75</v>
                </pt>
                <pt idx="8">
                  <v>693.3</v>
                </pt>
                <pt idx="9">
                  <v>465.7</v>
                </pt>
                <pt idx="10">
                  <v>616.85</v>
                </pt>
                <pt idx="11">
                  <v>431.95</v>
                </pt>
                <pt idx="12">
                  <v>406.05</v>
                </pt>
                <pt idx="13">
                  <v>461.35</v>
                </pt>
                <pt idx="14">
                  <v>352.75</v>
                </pt>
                <pt idx="15">
                  <v>424.95</v>
                </pt>
                <pt idx="16">
                  <v>421.65</v>
                </pt>
                <pt idx="17">
                  <v>258.65</v>
                </pt>
                <pt idx="18">
                  <v>392.15</v>
                </pt>
                <pt idx="19">
                  <v>290.8</v>
                </pt>
                <pt idx="20">
                  <v>170.35</v>
                </pt>
                <pt idx="21">
                  <v>275.8</v>
                </pt>
                <pt idx="22">
                  <v>333.95</v>
                </pt>
                <pt idx="23">
                  <v>338.25</v>
                </pt>
                <pt idx="24">
                  <v>321.25</v>
                </pt>
                <pt idx="25">
                  <v>386.55</v>
                </pt>
                <pt idx="26">
                  <v>273</v>
                </pt>
                <pt idx="27">
                  <v>279</v>
                </pt>
                <pt idx="28">
                  <v>234.5</v>
                </pt>
                <pt idx="29">
                  <v>217</v>
                </pt>
                <pt idx="30">
                  <v>320.8</v>
                </pt>
                <pt idx="31">
                  <v>255.75</v>
                </pt>
                <pt idx="32">
                  <v>288.9</v>
                </pt>
                <pt idx="33">
                  <v>285.45</v>
                </pt>
                <pt idx="34">
                  <v>259.5</v>
                </pt>
                <pt idx="35">
                  <v>280.9</v>
                </pt>
                <pt idx="36">
                  <v>304.75</v>
                </pt>
                <pt idx="37">
                  <v>342.6</v>
                </pt>
                <pt idx="38">
                  <v>419.6</v>
                </pt>
                <pt idx="39">
                  <v>396.8</v>
                </pt>
                <pt idx="40">
                  <v>378.8</v>
                </pt>
                <pt idx="41">
                  <v>371.4</v>
                </pt>
                <pt idx="42">
                  <v>415.8</v>
                </pt>
                <pt idx="43">
                  <v>477.8</v>
                </pt>
                <pt idx="44">
                  <v>466.2</v>
                </pt>
                <pt idx="45">
                  <v>447</v>
                </pt>
                <pt idx="46">
                  <v>423</v>
                </pt>
                <pt idx="47">
                  <v>431</v>
                </pt>
                <pt idx="48">
                  <v>428</v>
                </pt>
              </numCache>
            </numRef>
          </val>
        </ser>
        <ser>
          <idx val="3"/>
          <order val="3"/>
          <tx>
            <strRef>
              <f>'Monthly Recycling'!$E$1</f>
              <strCache>
                <ptCount val="1"/>
                <pt idx="0">
                  <v>Glass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Recycling'!$E$88:$E$136</f>
              <numCache>
                <formatCode>#,##0</formatCode>
                <ptCount val="49"/>
                <pt idx="0">
                  <v>643</v>
                </pt>
                <pt idx="1">
                  <v>971</v>
                </pt>
                <pt idx="2">
                  <v>781</v>
                </pt>
                <pt idx="3">
                  <v>971</v>
                </pt>
                <pt idx="4">
                  <v>1544</v>
                </pt>
                <pt idx="5">
                  <v>0</v>
                </pt>
                <pt idx="6">
                  <v>758</v>
                </pt>
                <pt idx="7">
                  <v>0</v>
                </pt>
                <pt idx="8">
                  <v>1085</v>
                </pt>
                <pt idx="9">
                  <v>908</v>
                </pt>
                <pt idx="10">
                  <v>1043</v>
                </pt>
                <pt idx="11">
                  <v>0</v>
                </pt>
                <pt idx="12">
                  <v>1006</v>
                </pt>
                <pt idx="13">
                  <v>891</v>
                </pt>
                <pt idx="14">
                  <v>625</v>
                </pt>
                <pt idx="15">
                  <v>0</v>
                </pt>
                <pt idx="16">
                  <v>0</v>
                </pt>
                <pt idx="17">
                  <v>869</v>
                </pt>
                <pt idx="18">
                  <v>0</v>
                </pt>
                <pt idx="19">
                  <v>1036</v>
                </pt>
                <pt idx="20">
                  <v>0</v>
                </pt>
                <pt idx="21">
                  <v>1056</v>
                </pt>
                <pt idx="22">
                  <v>0</v>
                </pt>
                <pt idx="23">
                  <v>1973</v>
                </pt>
                <pt idx="24">
                  <v>0</v>
                </pt>
                <pt idx="25">
                  <v>1009</v>
                </pt>
                <pt idx="26">
                  <v>993</v>
                </pt>
                <pt idx="27">
                  <v>762</v>
                </pt>
                <pt idx="28">
                  <v>757</v>
                </pt>
                <pt idx="29">
                  <v>670</v>
                </pt>
                <pt idx="30">
                  <v>603</v>
                </pt>
                <pt idx="31">
                  <v>499</v>
                </pt>
                <pt idx="32">
                  <v>0</v>
                </pt>
                <pt idx="33">
                  <v>608</v>
                </pt>
                <pt idx="34">
                  <v>673</v>
                </pt>
                <pt idx="35">
                  <v>996</v>
                </pt>
                <pt idx="36">
                  <v>0</v>
                </pt>
                <pt idx="37">
                  <v>1412</v>
                </pt>
                <pt idx="38">
                  <v>975</v>
                </pt>
                <pt idx="39">
                  <v>856</v>
                </pt>
                <pt idx="40">
                  <v>0</v>
                </pt>
                <pt idx="41">
                  <v>698</v>
                </pt>
                <pt idx="42">
                  <v>597</v>
                </pt>
                <pt idx="43">
                  <v>917</v>
                </pt>
                <pt idx="44">
                  <v>321</v>
                </pt>
                <pt idx="45">
                  <v>612</v>
                </pt>
                <pt idx="46">
                  <v>704</v>
                </pt>
                <pt idx="47">
                  <v>479</v>
                </pt>
                <pt idx="48">
                  <v>432</v>
                </pt>
              </numCache>
            </numRef>
          </val>
        </ser>
        <ser>
          <idx val="4"/>
          <order val="4"/>
          <tx>
            <strRef>
              <f>'Monthly Recycling'!$F$1</f>
              <strCache>
                <ptCount val="1"/>
                <pt idx="0">
                  <v>Food Waste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Recycling'!$F$88:$F$136</f>
              <numCache>
                <formatCode>#,##0.0</formatCode>
                <ptCount val="49"/>
                <pt idx="0">
                  <v>28611</v>
                </pt>
                <pt idx="1">
                  <v>31009</v>
                </pt>
                <pt idx="2">
                  <v>34289</v>
                </pt>
                <pt idx="3">
                  <v>33360</v>
                </pt>
                <pt idx="4">
                  <v>33517</v>
                </pt>
                <pt idx="5">
                  <v>29468</v>
                </pt>
                <pt idx="6">
                  <v>35447</v>
                </pt>
                <pt idx="7">
                  <v>43497</v>
                </pt>
                <pt idx="8">
                  <v>40188</v>
                </pt>
                <pt idx="9">
                  <v>35583</v>
                </pt>
                <pt idx="10">
                  <v>36437</v>
                </pt>
                <pt idx="11">
                  <v>33584</v>
                </pt>
                <pt idx="12">
                  <v>35376</v>
                </pt>
                <pt idx="13">
                  <v>45400</v>
                </pt>
                <pt idx="14">
                  <v>42665</v>
                </pt>
                <pt idx="15">
                  <v>41338</v>
                </pt>
                <pt idx="16">
                  <v>33071</v>
                </pt>
                <pt idx="17">
                  <v>24947</v>
                </pt>
                <pt idx="18">
                  <v>22091</v>
                </pt>
                <pt idx="19">
                  <v>24586.6</v>
                </pt>
                <pt idx="20">
                  <v>27462</v>
                </pt>
                <pt idx="21">
                  <v>22866</v>
                </pt>
                <pt idx="22">
                  <v>25176</v>
                </pt>
                <pt idx="23">
                  <v>26660</v>
                </pt>
                <pt idx="24">
                  <v>35619</v>
                </pt>
                <pt idx="25">
                  <v>39851</v>
                </pt>
                <pt idx="26">
                  <v>42228</v>
                </pt>
                <pt idx="27">
                  <v>44338</v>
                </pt>
                <pt idx="28">
                  <v>34407</v>
                </pt>
                <pt idx="29">
                  <v>28553</v>
                </pt>
                <pt idx="30">
                  <v>35187</v>
                </pt>
                <pt idx="31">
                  <v>39810.5</v>
                </pt>
                <pt idx="32">
                  <v>39784</v>
                </pt>
                <pt idx="33">
                  <v>40149.6</v>
                </pt>
                <pt idx="34">
                  <v>23296.5</v>
                </pt>
                <pt idx="35">
                  <v>28190.5</v>
                </pt>
                <pt idx="36">
                  <v>30387</v>
                </pt>
                <pt idx="37">
                  <v>30156.5</v>
                </pt>
                <pt idx="38">
                  <v>42615.9</v>
                </pt>
                <pt idx="39">
                  <v>35693.3</v>
                </pt>
                <pt idx="40">
                  <v>29377.9</v>
                </pt>
                <pt idx="41">
                  <v>35652.6</v>
                </pt>
                <pt idx="42">
                  <v>43510.8</v>
                </pt>
                <pt idx="43">
                  <v>39601</v>
                </pt>
                <pt idx="44">
                  <v>40905.3</v>
                </pt>
                <pt idx="45">
                  <v>30060</v>
                </pt>
                <pt idx="46">
                  <v>34108.8</v>
                </pt>
                <pt idx="47">
                  <v>36595.5</v>
                </pt>
                <pt idx="48">
                  <v>46111.7</v>
                </pt>
              </numCache>
            </numRef>
          </val>
        </ser>
        <ser>
          <idx val="5"/>
          <order val="5"/>
          <tx>
            <strRef>
              <f>'Monthly Recycling'!$G$1</f>
              <strCache>
                <ptCount val="1"/>
                <pt idx="0">
                  <v>Animal Bedding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Recycling'!$G$88:$G$136</f>
              <numCache>
                <formatCode>#,##0</formatCode>
                <ptCount val="49"/>
                <pt idx="0">
                  <v>6400</v>
                </pt>
                <pt idx="1">
                  <v>4800</v>
                </pt>
                <pt idx="2">
                  <v>3200</v>
                </pt>
                <pt idx="3">
                  <v>3200</v>
                </pt>
                <pt idx="4">
                  <v>3200</v>
                </pt>
                <pt idx="5">
                  <v>4800</v>
                </pt>
                <pt idx="6">
                  <v>8000</v>
                </pt>
                <pt idx="7">
                  <v>4800</v>
                </pt>
                <pt idx="8">
                  <v>6400</v>
                </pt>
                <pt idx="9">
                  <v>4800</v>
                </pt>
                <pt idx="10">
                  <v>8000</v>
                </pt>
                <pt idx="11">
                  <v>6400</v>
                </pt>
                <pt idx="12">
                  <v>6400</v>
                </pt>
                <pt idx="13">
                  <v>6400</v>
                </pt>
                <pt idx="14">
                  <v>4800</v>
                </pt>
                <pt idx="15">
                  <v>8000</v>
                </pt>
                <pt idx="16">
                  <v>6400</v>
                </pt>
                <pt idx="17">
                  <v>4800</v>
                </pt>
                <pt idx="18">
                  <v>6400</v>
                </pt>
                <pt idx="19">
                  <v>6400</v>
                </pt>
                <pt idx="20">
                  <v>6400</v>
                </pt>
                <pt idx="21">
                  <v>8000</v>
                </pt>
                <pt idx="22">
                  <v>6400</v>
                </pt>
                <pt idx="23">
                  <v>6400</v>
                </pt>
                <pt idx="24">
                  <v>8000</v>
                </pt>
                <pt idx="25">
                  <v>6400</v>
                </pt>
                <pt idx="26">
                  <v>6400</v>
                </pt>
                <pt idx="27">
                  <v>6400</v>
                </pt>
                <pt idx="28">
                  <v>6400</v>
                </pt>
                <pt idx="29">
                  <v>6400</v>
                </pt>
                <pt idx="30">
                  <v>8000</v>
                </pt>
                <pt idx="31">
                  <v>4800</v>
                </pt>
                <pt idx="32">
                  <v>6400</v>
                </pt>
                <pt idx="33">
                  <v>8000</v>
                </pt>
                <pt idx="34">
                  <v>7185</v>
                </pt>
                <pt idx="35">
                  <v>7200</v>
                </pt>
                <pt idx="36">
                  <v>11215</v>
                </pt>
                <pt idx="37">
                  <v>9565</v>
                </pt>
                <pt idx="38">
                  <v>7803</v>
                </pt>
                <pt idx="39">
                  <v>19833</v>
                </pt>
                <pt idx="40">
                  <v>21650</v>
                </pt>
                <pt idx="41">
                  <v>15470</v>
                </pt>
                <pt idx="42">
                  <v>17465</v>
                </pt>
                <pt idx="43">
                  <v>6415</v>
                </pt>
                <pt idx="44">
                  <v>7575</v>
                </pt>
                <pt idx="45">
                  <v>4565</v>
                </pt>
                <pt idx="46">
                  <v>6540</v>
                </pt>
                <pt idx="47">
                  <v>7880</v>
                </pt>
                <pt idx="48">
                  <v>6620</v>
                </pt>
              </numCache>
            </numRef>
          </val>
        </ser>
        <ser>
          <idx val="6"/>
          <order val="6"/>
          <tx>
            <strRef>
              <f>'Monthly Recycling'!$H$1</f>
              <strCache>
                <ptCount val="1"/>
                <pt idx="0">
                  <v>Landscape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Recycling'!$H$88:$H$136</f>
              <numCache>
                <formatCode>#,##0</formatCode>
                <ptCount val="49"/>
                <pt idx="0">
                  <v>21000</v>
                </pt>
                <pt idx="1">
                  <v>24500</v>
                </pt>
                <pt idx="2">
                  <v>21000</v>
                </pt>
                <pt idx="3">
                  <v>10500</v>
                </pt>
                <pt idx="4">
                  <v>24500</v>
                </pt>
                <pt idx="5">
                  <v>14000</v>
                </pt>
                <pt idx="6">
                  <v>17500</v>
                </pt>
                <pt idx="7">
                  <v>14000</v>
                </pt>
                <pt idx="8">
                  <v>17500</v>
                </pt>
                <pt idx="9">
                  <v>24500</v>
                </pt>
                <pt idx="10">
                  <v>21000</v>
                </pt>
                <pt idx="11">
                  <v>35000</v>
                </pt>
                <pt idx="12">
                  <v>28000</v>
                </pt>
                <pt idx="13">
                  <v>35000</v>
                </pt>
                <pt idx="14">
                  <v>35000</v>
                </pt>
                <pt idx="15">
                  <v>31500</v>
                </pt>
                <pt idx="16">
                  <v>28000</v>
                </pt>
                <pt idx="17">
                  <v>14000</v>
                </pt>
                <pt idx="18">
                  <v>24500</v>
                </pt>
                <pt idx="19">
                  <v>24500</v>
                </pt>
                <pt idx="20">
                  <v>31500</v>
                </pt>
                <pt idx="21">
                  <v>35000</v>
                </pt>
                <pt idx="22">
                  <v>24500</v>
                </pt>
                <pt idx="23">
                  <v>31500</v>
                </pt>
                <pt idx="24">
                  <v>31500</v>
                </pt>
                <pt idx="25">
                  <v>28000</v>
                </pt>
                <pt idx="26">
                  <v>31500</v>
                </pt>
                <pt idx="27">
                  <v>28000</v>
                </pt>
                <pt idx="28">
                  <v>31500</v>
                </pt>
                <pt idx="29">
                  <v>21000</v>
                </pt>
                <pt idx="30">
                  <v>24500</v>
                </pt>
                <pt idx="31">
                  <v>17500</v>
                </pt>
                <pt idx="32">
                  <v>24500</v>
                </pt>
                <pt idx="33">
                  <v>24500</v>
                </pt>
                <pt idx="34">
                  <v>14485</v>
                </pt>
                <pt idx="35">
                  <v>20070</v>
                </pt>
                <pt idx="36">
                  <v>37770</v>
                </pt>
                <pt idx="37">
                  <v>20910</v>
                </pt>
                <pt idx="38">
                  <v>15947</v>
                </pt>
                <pt idx="39">
                  <v>7885</v>
                </pt>
                <pt idx="40">
                  <v>7650</v>
                </pt>
                <pt idx="41">
                  <v>6340</v>
                </pt>
                <pt idx="42">
                  <v>6740</v>
                </pt>
                <pt idx="43">
                  <v>13000</v>
                </pt>
                <pt idx="44">
                  <v>11695</v>
                </pt>
                <pt idx="45">
                  <v>14570</v>
                </pt>
                <pt idx="46">
                  <v>13230</v>
                </pt>
                <pt idx="47">
                  <v>16335</v>
                </pt>
                <pt idx="48">
                  <v>17160</v>
                </pt>
              </numCache>
            </numRef>
          </val>
        </ser>
        <ser>
          <idx val="7"/>
          <order val="7"/>
          <tx>
            <strRef>
              <f>'Monthly Recycling'!$I$1</f>
              <strCache>
                <ptCount val="1"/>
                <pt idx="0">
                  <v>Wood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Recycling'!$I$88:$I$136</f>
              <numCache>
                <formatCode>#,##0</formatCode>
                <ptCount val="49"/>
                <pt idx="0">
                  <v>10400</v>
                </pt>
                <pt idx="1">
                  <v>12200</v>
                </pt>
                <pt idx="2">
                  <v>13500</v>
                </pt>
                <pt idx="3">
                  <v>14600</v>
                </pt>
                <pt idx="4">
                  <v>18700</v>
                </pt>
                <pt idx="5">
                  <v>6000</v>
                </pt>
                <pt idx="6">
                  <v>14700</v>
                </pt>
                <pt idx="7">
                  <v>20500</v>
                </pt>
                <pt idx="8">
                  <v>10400</v>
                </pt>
                <pt idx="9">
                  <v>10400</v>
                </pt>
                <pt idx="10">
                  <v>16700</v>
                </pt>
                <pt idx="11">
                  <v>13700</v>
                </pt>
                <pt idx="12">
                  <v>9500</v>
                </pt>
                <pt idx="13">
                  <v>7830</v>
                </pt>
                <pt idx="14">
                  <v>5800</v>
                </pt>
                <pt idx="15">
                  <v>10180</v>
                </pt>
                <pt idx="16">
                  <v>19838</v>
                </pt>
                <pt idx="17">
                  <v>7420</v>
                </pt>
                <pt idx="18">
                  <v>9700</v>
                </pt>
                <pt idx="19">
                  <v>10420</v>
                </pt>
                <pt idx="20">
                  <v>12000</v>
                </pt>
                <pt idx="21">
                  <v>9000</v>
                </pt>
                <pt idx="22">
                  <v>12000</v>
                </pt>
                <pt idx="23">
                  <v>15000</v>
                </pt>
                <pt idx="24">
                  <v>12000</v>
                </pt>
                <pt idx="25">
                  <v>15000</v>
                </pt>
                <pt idx="26">
                  <v>12000</v>
                </pt>
                <pt idx="27">
                  <v>15000</v>
                </pt>
                <pt idx="28">
                  <v>15000</v>
                </pt>
                <pt idx="29">
                  <v>12000</v>
                </pt>
                <pt idx="30">
                  <v>15000</v>
                </pt>
                <pt idx="31">
                  <v>15000</v>
                </pt>
                <pt idx="32">
                  <v>12000</v>
                </pt>
                <pt idx="33">
                  <v>12000</v>
                </pt>
                <pt idx="34">
                  <v>18000</v>
                </pt>
                <pt idx="35">
                  <v>15000</v>
                </pt>
                <pt idx="36">
                  <v>15000</v>
                </pt>
                <pt idx="37">
                  <v>15000</v>
                </pt>
                <pt idx="38">
                  <v>12000</v>
                </pt>
                <pt idx="39">
                  <v>15000</v>
                </pt>
                <pt idx="40">
                  <v>18000</v>
                </pt>
                <pt idx="41">
                  <v>15000</v>
                </pt>
                <pt idx="42">
                  <v>15000</v>
                </pt>
                <pt idx="43">
                  <v>15000</v>
                </pt>
                <pt idx="44">
                  <v>12000</v>
                </pt>
                <pt idx="45">
                  <v>18000</v>
                </pt>
                <pt idx="46">
                  <v>18000</v>
                </pt>
                <pt idx="47">
                  <v>21000</v>
                </pt>
                <pt idx="48">
                  <v>12000</v>
                </pt>
              </numCache>
            </numRef>
          </val>
        </ser>
        <ser>
          <idx val="8"/>
          <order val="8"/>
          <tx>
            <strRef>
              <f>'Monthly Recycling'!$J$1</f>
              <strCache>
                <ptCount val="1"/>
                <pt idx="0">
                  <v>Electrical Appliance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Recycling'!$J$88:$J$136</f>
              <numCache>
                <formatCode>#,##0</formatCode>
                <ptCount val="49"/>
                <pt idx="0">
                  <v>0</v>
                </pt>
                <pt idx="1">
                  <v>792</v>
                </pt>
                <pt idx="2">
                  <v>1427</v>
                </pt>
                <pt idx="3">
                  <v>0</v>
                </pt>
                <pt idx="4">
                  <v>0</v>
                </pt>
                <pt idx="5">
                  <v>652.5</v>
                </pt>
                <pt idx="6">
                  <v>0</v>
                </pt>
                <pt idx="7">
                  <v>0</v>
                </pt>
                <pt idx="8">
                  <v>675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1971</v>
                </pt>
                <pt idx="15">
                  <v>355.5</v>
                </pt>
                <pt idx="16">
                  <v>0</v>
                </pt>
                <pt idx="17">
                  <v>256.5</v>
                </pt>
                <pt idx="18">
                  <v>0</v>
                </pt>
                <pt idx="19">
                  <v>1482</v>
                </pt>
                <pt idx="20">
                  <v>736</v>
                </pt>
                <pt idx="21">
                  <v>819</v>
                </pt>
                <pt idx="22">
                  <v>0</v>
                </pt>
                <pt idx="23">
                  <v>604</v>
                </pt>
                <pt idx="24">
                  <v>0</v>
                </pt>
                <pt idx="25">
                  <v>731</v>
                </pt>
                <pt idx="26">
                  <v>0</v>
                </pt>
                <pt idx="27">
                  <v>0</v>
                </pt>
                <pt idx="28">
                  <v>1109</v>
                </pt>
                <pt idx="29">
                  <v>0</v>
                </pt>
                <pt idx="30">
                  <v>0</v>
                </pt>
                <pt idx="31">
                  <v>1438</v>
                </pt>
                <pt idx="32">
                  <v>0</v>
                </pt>
                <pt idx="33">
                  <v>0</v>
                </pt>
                <pt idx="34">
                  <v>513</v>
                </pt>
                <pt idx="35">
                  <v>435</v>
                </pt>
                <pt idx="36">
                  <v>531</v>
                </pt>
                <pt idx="37">
                  <v>364.5</v>
                </pt>
                <pt idx="38">
                  <v>737.5</v>
                </pt>
                <pt idx="39">
                  <v>1285</v>
                </pt>
                <pt idx="40">
                  <v>917.5</v>
                </pt>
                <pt idx="41">
                  <v>353.1</v>
                </pt>
                <pt idx="42">
                  <v>785</v>
                </pt>
                <pt idx="43">
                  <v>440</v>
                </pt>
                <pt idx="44">
                  <v>359</v>
                </pt>
                <pt idx="45">
                  <v>372.5</v>
                </pt>
                <pt idx="46">
                  <v>1459.5</v>
                </pt>
                <pt idx="47">
                  <v>574</v>
                </pt>
                <pt idx="48">
                  <v>1960</v>
                </pt>
              </numCache>
            </numRef>
          </val>
        </ser>
        <ser>
          <idx val="9"/>
          <order val="9"/>
          <tx>
            <strRef>
              <f>'Monthly Recycling'!$K$1</f>
              <strCache>
                <ptCount val="1"/>
                <pt idx="0">
                  <v>Other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Recycling'!$A$88:$A$136</f>
              <numCache>
                <formatCode>[$-409]mmm\-yy;@</formatCode>
                <ptCount val="49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</numCache>
            </numRef>
          </cat>
          <val>
            <numRef>
              <f>'Monthly Recycling'!$K$88:$K$136</f>
              <numCache>
                <formatCode>#,##0.00</formatCode>
                <ptCount val="49"/>
                <pt idx="0">
                  <v>1283.199</v>
                </pt>
                <pt idx="1">
                  <v>857.62</v>
                </pt>
                <pt idx="2">
                  <v>1284.214</v>
                </pt>
                <pt idx="3">
                  <v>867.928</v>
                </pt>
                <pt idx="4">
                  <v>1079.68</v>
                </pt>
                <pt idx="5">
                  <v>1003.911</v>
                </pt>
                <pt idx="6">
                  <v>708.0630000000001</v>
                </pt>
                <pt idx="7">
                  <v>1450.956</v>
                </pt>
                <pt idx="8">
                  <v>1379.365</v>
                </pt>
                <pt idx="9">
                  <v>1414.268</v>
                </pt>
                <pt idx="10">
                  <v>1454.368</v>
                </pt>
                <pt idx="11">
                  <v>1452.143</v>
                </pt>
                <pt idx="12">
                  <v>1347</v>
                </pt>
                <pt idx="13">
                  <v>1350</v>
                </pt>
                <pt idx="14">
                  <v>1403.634</v>
                </pt>
                <pt idx="15">
                  <v>1150.787</v>
                </pt>
                <pt idx="16">
                  <v>2000</v>
                </pt>
                <pt idx="17">
                  <v>926.331</v>
                </pt>
                <pt idx="18">
                  <v>800</v>
                </pt>
                <pt idx="19">
                  <v>1232.981</v>
                </pt>
                <pt idx="20">
                  <v>680</v>
                </pt>
                <pt idx="21">
                  <v>1452</v>
                </pt>
                <pt idx="22">
                  <v>1585</v>
                </pt>
                <pt idx="23">
                  <v>1915</v>
                </pt>
                <pt idx="24">
                  <v>971.6</v>
                </pt>
                <pt idx="25">
                  <v>1327</v>
                </pt>
                <pt idx="26">
                  <v>1490.5</v>
                </pt>
                <pt idx="27">
                  <v>1548</v>
                </pt>
                <pt idx="28">
                  <v>699.5</v>
                </pt>
                <pt idx="29">
                  <v>1249.4</v>
                </pt>
                <pt idx="30">
                  <v>1328.5</v>
                </pt>
                <pt idx="31">
                  <v>704.5</v>
                </pt>
                <pt idx="32">
                  <v>825</v>
                </pt>
                <pt idx="33">
                  <v>1645</v>
                </pt>
                <pt idx="34">
                  <v>1770</v>
                </pt>
                <pt idx="35">
                  <v>1271.1</v>
                </pt>
                <pt idx="36">
                  <v>1471.6</v>
                </pt>
                <pt idx="37">
                  <v>847</v>
                </pt>
                <pt idx="38">
                  <v>1417.2</v>
                </pt>
                <pt idx="39">
                  <v>1980</v>
                </pt>
                <pt idx="40">
                  <v>1905</v>
                </pt>
                <pt idx="41">
                  <v>1480.7</v>
                </pt>
                <pt idx="42">
                  <v>962.6</v>
                </pt>
                <pt idx="43">
                  <v>1272.8</v>
                </pt>
                <pt idx="44">
                  <v>1500.7</v>
                </pt>
                <pt idx="45">
                  <v>783.7</v>
                </pt>
                <pt idx="46">
                  <v>1421.7</v>
                </pt>
                <pt idx="47">
                  <v>1476.2</v>
                </pt>
                <pt idx="48">
                  <v>838.6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'Yearly Paper Distribution'!$B$1</f>
              <strCache>
                <ptCount val="1"/>
                <pt idx="0">
                  <v>Non-recycled paper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'Yearly Paper Distribution'!$A$2:$A$15</f>
              <strCache>
                <ptCount val="14"/>
                <pt idx="0">
                  <v>2011/12</v>
                </pt>
                <pt idx="1">
                  <v>2012/13</v>
                </pt>
                <pt idx="2">
                  <v>2013/14</v>
                </pt>
                <pt idx="3">
                  <v>2014/15</v>
                </pt>
                <pt idx="4">
                  <v>2015/16</v>
                </pt>
                <pt idx="5">
                  <v>2016/17</v>
                </pt>
                <pt idx="6">
                  <v>2017/18</v>
                </pt>
                <pt idx="7">
                  <v>2018/19</v>
                </pt>
                <pt idx="8">
                  <v>2019/20</v>
                </pt>
                <pt idx="9">
                  <v>2020/21</v>
                </pt>
                <pt idx="10">
                  <v>2021/22</v>
                </pt>
                <pt idx="11">
                  <v>2022/23</v>
                </pt>
                <pt idx="12">
                  <v>2023/24</v>
                </pt>
                <pt idx="13">
                  <v>2024/25</v>
                </pt>
              </strCache>
            </strRef>
          </cat>
          <val>
            <numRef>
              <f>'Yearly Paper Distribution'!$B$2:$B$15</f>
              <numCache>
                <formatCode>#,##0</formatCode>
                <ptCount val="14"/>
                <pt idx="0">
                  <v>37000000</v>
                </pt>
                <pt idx="1">
                  <v>35850000</v>
                </pt>
                <pt idx="2">
                  <v>36765000</v>
                </pt>
                <pt idx="3">
                  <v>31720000</v>
                </pt>
                <pt idx="4">
                  <v>31370000</v>
                </pt>
                <pt idx="5">
                  <v>25635000</v>
                </pt>
                <pt idx="6">
                  <v>20745000</v>
                </pt>
                <pt idx="7">
                  <v>18710000</v>
                </pt>
                <pt idx="8">
                  <v>16141000</v>
                </pt>
                <pt idx="9">
                  <v>11502000</v>
                </pt>
                <pt idx="10">
                  <v>8436000</v>
                </pt>
                <pt idx="11">
                  <v>15930000</v>
                </pt>
                <pt idx="12">
                  <v>8419000</v>
                </pt>
                <pt idx="13">
                  <v>7866000</v>
                </pt>
              </numCache>
            </numRef>
          </val>
        </ser>
        <ser>
          <idx val="1"/>
          <order val="1"/>
          <tx>
            <strRef>
              <f>'Yearly Paper Distribution'!$C$1</f>
              <strCache>
                <ptCount val="1"/>
                <pt idx="0">
                  <v>Recycled paper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'Yearly Paper Distribution'!$A$2:$A$15</f>
              <strCache>
                <ptCount val="14"/>
                <pt idx="0">
                  <v>2011/12</v>
                </pt>
                <pt idx="1">
                  <v>2012/13</v>
                </pt>
                <pt idx="2">
                  <v>2013/14</v>
                </pt>
                <pt idx="3">
                  <v>2014/15</v>
                </pt>
                <pt idx="4">
                  <v>2015/16</v>
                </pt>
                <pt idx="5">
                  <v>2016/17</v>
                </pt>
                <pt idx="6">
                  <v>2017/18</v>
                </pt>
                <pt idx="7">
                  <v>2018/19</v>
                </pt>
                <pt idx="8">
                  <v>2019/20</v>
                </pt>
                <pt idx="9">
                  <v>2020/21</v>
                </pt>
                <pt idx="10">
                  <v>2021/22</v>
                </pt>
                <pt idx="11">
                  <v>2022/23</v>
                </pt>
                <pt idx="12">
                  <v>2023/24</v>
                </pt>
                <pt idx="13">
                  <v>2024/25</v>
                </pt>
              </strCache>
            </strRef>
          </cat>
          <val>
            <numRef>
              <f>'Yearly Paper Distribution'!$C$2:$C$15</f>
              <numCache>
                <formatCode>#,##0</formatCode>
                <ptCount val="14"/>
                <pt idx="0">
                  <v>3265000</v>
                </pt>
                <pt idx="1">
                  <v>6890000</v>
                </pt>
                <pt idx="2">
                  <v>6775000</v>
                </pt>
                <pt idx="3">
                  <v>7600000</v>
                </pt>
                <pt idx="4">
                  <v>7510000</v>
                </pt>
                <pt idx="5">
                  <v>12510000</v>
                </pt>
                <pt idx="6">
                  <v>15195000</v>
                </pt>
                <pt idx="7">
                  <v>15330000</v>
                </pt>
                <pt idx="8">
                  <v>8040000</v>
                </pt>
                <pt idx="9">
                  <v>4546000</v>
                </pt>
                <pt idx="10">
                  <v>11032000</v>
                </pt>
                <pt idx="11">
                  <v>4408000</v>
                </pt>
                <pt idx="12">
                  <v>5395000</v>
                </pt>
                <pt idx="13">
                  <v>7508000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250021895"/>
        <axId val="1250023943"/>
      </barChart>
      <catAx>
        <axId val="1250021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250023943"/>
        <crosses val="autoZero"/>
        <auto val="1"/>
        <lblAlgn val="ctr"/>
        <lblOffset val="100"/>
        <noMultiLvlLbl val="0"/>
      </catAx>
      <valAx>
        <axId val="1250023943"/>
        <scaling>
          <orientation val="minMax"/>
          <max val="450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,\ \K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2500218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tc={B57B95DE-52C6-434D-8FD7-7634516B8186}</author>
    <author>tc={B60DC7FA-42A8-2A41-876E-686E1A396DAA}</author>
    <author>tc={7D74E682-18A8-C248-B3A1-606A50FA46AF}</author>
    <author>tc={C770E971-FEBD-874C-9477-EBF1BD17BAE4}</author>
    <author>tc={89C2378F-F608-1142-B77E-B11490FFD645}</author>
    <author>tc={0B97FBF9-6C5A-1E41-8577-7B63501DA758}</author>
    <author>tc={9F5A5A92-B4FE-414F-973D-96DE8A0F1983}</author>
    <author>tc={AC0CDA43-9164-D84E-B322-E6B9F5EFC117}</author>
    <author>tc={639957F4-86F8-E54F-931F-18F8AFC1B342}</author>
    <author>tc={F3BB8912-4293-0D4A-AA46-28E8B394197C}</author>
    <author>tc={AD4AE63A-F0D9-3C40-9E9C-04D60CF9D014}</author>
    <author>tc={404D9BFB-315F-0B47-A241-D5C95D2A649A}</author>
    <author>tc={BA37FC5F-08FE-1C41-9ABB-967DDD76BF03}</author>
    <author>tc={0A88D4E5-AD74-1045-9D8A-E760A55ABD6B}</author>
    <author>tc={4E3DC510-5DE2-A049-B80C-10265817CD7E}</author>
    <author>tc={5EE27B46-5500-4347-81DC-A2E8B10AD591}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energy consumption at hkust over the years</t>
      </text>
    </comment>
    <comment ref="J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Renewable energy generation compared to electricity consumption</t>
      </text>
    </comment>
    <comment ref="R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Electricity breakdown (percentages)</t>
      </text>
    </comment>
    <comment ref="A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Scope 1&amp;2 ghg emissions trend</t>
      </text>
    </comment>
    <comment ref="AJ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Qs ghg projection</t>
      </text>
    </comment>
    <comment ref="AK7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L7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K8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9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9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1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J16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40% Reduction Target</t>
      </text>
    </comment>
    <comment ref="AJ23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50% Reduction Target</t>
      </text>
    </comment>
  </commentList>
</comments>
</file>

<file path=xl/comments/comment2.xml><?xml version="1.0" encoding="utf-8"?>
<comments xmlns="http://schemas.openxmlformats.org/spreadsheetml/2006/main">
  <authors>
    <author>CHONG, Kam Fai</author>
  </authors>
  <commentList>
    <comment ref="B18" authorId="0" shapeId="0">
      <text>
        <t>CHONG, Kam Fai:
Since Jul 2021, it includes SSQ systems.</t>
      </text>
    </comment>
    <comment ref="B19" authorId="0" shapeId="0">
      <text>
        <t>CHONG, Kam Fai:
Since Aug 2021, it includes SSQ and JSQ systems.</t>
      </text>
    </comment>
  </commentList>
</comments>
</file>

<file path=xl/comments/comment3.xml><?xml version="1.0" encoding="utf-8"?>
<comments xmlns="http://schemas.openxmlformats.org/spreadsheetml/2006/main">
  <authors>
    <author>CHONG, Kam Fai</author>
    <author>tc={DF7057FB-D4CC-C443-BD41-C52D73ADAD20}</author>
    <author>tc={1A477B7F-F4AC-E64E-B99E-B0F62068970E}</author>
    <author>tc={D0FD46A5-8E7F-CA48-A254-7D1EE3E39E95}</author>
    <author>tc={AAC2E27F-12B4-814A-B0BA-9AA3A3785456}</author>
    <author>CHAN, Joyce</author>
    <author>tc={803C24F5-3426-214C-BDC9-CBD2D6C45281}</author>
  </authors>
  <commentList>
    <comment ref="G1" authorId="0" shapeId="0">
      <text>
        <t>CHONG, Kam Fai:
APCF Switches 1-33</t>
      </text>
    </comment>
    <comment ref="H1" authorId="0" shapeId="0">
      <text>
        <t>CHONG, Kam Fai:
NDC All Switches</t>
      </text>
    </comment>
    <comment ref="I1" authorId="0" shapeId="0">
      <text>
        <t>CHONG, Kam Fai:
Include seawater pump</t>
      </text>
    </comment>
    <comment ref="J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building</t>
      </text>
    </comment>
    <comment ref="N1" authorId="0" shapeId="0">
      <text>
        <t>CHONG, Kam Fai:
Include cooling tower</t>
      </text>
    </comment>
    <comment ref="Q1" authorId="0" shapeId="0">
      <text>
        <t xml:space="preserve">CHONG, Kam Fai:
SISC Switches 1-3
</t>
      </text>
    </comment>
    <comment ref="T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1" authorId="0" shapeId="0">
      <text>
        <t>CHONG, Kam Fai:
NewOP GGT 4A Switch</t>
      </text>
    </comment>
    <comment ref="X1" authorId="0" shapeId="0">
      <text>
        <t>CHONG, Kam Fai:
Excluding GRUCs consumptions</t>
      </text>
    </comment>
    <comment ref="Y1" authorId="0" shapeId="0">
      <text>
        <t>CHONG, Kam Fai:
From CLP LPT Group B</t>
      </text>
    </comment>
    <comment ref="AD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E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K2" authorId="0" shapeId="0">
      <text>
        <t>CHONG, Kam Fai:
Waiting old data for revision</t>
      </text>
    </comment>
    <comment ref="N44" authorId="0" shapeId="0">
      <text>
        <t>CHONG, Kam Fai:
By interpolation</t>
      </text>
    </comment>
    <comment ref="G69" authorId="0" shapeId="0">
      <text>
        <t>CHONG, Kam Fai:
First Month in Operation</t>
      </text>
    </comment>
    <comment ref="Q69" authorId="0" shapeId="0">
      <text>
        <t>CHONG, Kam Fai:
First Month In Operation</t>
      </text>
    </comment>
    <comment ref="X93" authorId="5" shapeId="0">
      <text>
        <t xml:space="preserve">CHAN, Joyce:
UG9 reading is lost due to meter replacement. July consumption is used as a reference.  </t>
      </text>
    </comment>
    <comment ref="H95" authorId="5" shapeId="0">
      <text>
        <t xml:space="preserve">CHAN, Joyce:
Data Hall Rm2113 consumption added
</t>
      </text>
    </comment>
    <comment ref="AA14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CMO Electricity Excel Originally Put 287,750 as the value, but it contained no formula. It was corrected by subtracting the "Commercial Outlets" value from the "Staff Quarters &amp; Commercial Outlets" value.</t>
      </text>
    </comment>
  </commentList>
</comments>
</file>

<file path=xl/comments/comment4.xml><?xml version="1.0" encoding="utf-8"?>
<comments xmlns="http://schemas.openxmlformats.org/spreadsheetml/2006/main">
  <authors>
    <author>CHONG, Kam Fai</author>
    <author>tc={E0727F06-152D-0B4D-A4AA-32BD368D6B85}</author>
    <author>tc={602D08FE-827E-FB4A-BB1C-845597CA9409}</author>
    <author>tc={BB06BE06-86F8-F148-BAC6-F37ECB334C04}</author>
    <author>tc={C2B488B0-42A8-4E4E-AC48-DFD258ED2682}</author>
    <author>tc={168573D0-0A37-9E4F-8B1B-0F4B3FF6E8DA}</author>
    <author>tc={07565FD0-F65E-7441-B7E3-D5D521EB2B8A}</author>
    <author>tc={4264AC6F-CFFD-5A4B-91D3-F0762FC37CAD}</author>
    <author>tc={82E81A72-BD18-BB4A-9641-45DF1AADCE47}</author>
  </authors>
  <commentList>
    <comment ref="H1" authorId="0" shapeId="0">
      <text>
        <t>CHONG, Kam Fai:
APCF Switches 1-33</t>
      </text>
    </comment>
    <comment ref="I1" authorId="0" shapeId="0">
      <text>
        <t>CHONG, Kam Fai:
NDC All Switches</t>
      </text>
    </comment>
    <comment ref="J1" authorId="0" shapeId="0">
      <text>
        <t>CHONG, Kam Fai:
Include seawater pump</t>
      </text>
    </comment>
    <comment ref="O1" authorId="0" shapeId="0">
      <text>
        <t>CHONG, Kam Fai:
Include cooling tower</t>
      </text>
    </comment>
    <comment ref="R1" authorId="0" shapeId="0">
      <text>
        <t xml:space="preserve">CHONG, Kam Fai:
SISC Switches 1-3
</t>
      </text>
    </comment>
    <comment ref="X1" authorId="0" shapeId="0">
      <text>
        <t>CHONG, Kam Fai:
NewOP GGT 4A Switch</t>
      </text>
    </comment>
    <comment ref="Y1" authorId="0" shapeId="0">
      <text>
        <t>CHONG, Kam Fai:
Excluding GRUCs consumptions</t>
      </text>
    </comment>
    <comment ref="Z1" authorId="0" shapeId="0">
      <text>
        <t>CHONG, Kam Fai:
From CLP LPT Group B</t>
      </text>
    </comment>
    <comment ref="AE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F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AG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H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I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J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K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E12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coming from data centre - normal</t>
      </text>
    </comment>
  </commentList>
</comments>
</file>

<file path=xl/comments/comment5.xml><?xml version="1.0" encoding="utf-8"?>
<comments xmlns="http://schemas.openxmlformats.org/spreadsheetml/2006/main">
  <authors>
    <author>tc={13518216-810C-2148-8027-F43D992D9336}</author>
    <author>tc={9A3D3E4F-F86E-C448-A2F0-9DCB7E95A653}</author>
    <author>tc={CC3D0F98-27D6-8B49-AA62-66AAAD39A2A7}</author>
    <author>tc={34B4F42C-4E89-704B-B798-F3B625ACE23D}</author>
  </authors>
  <commentList>
    <comment ref="L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
Reply:
    Should remove as it is double-counting. The value is already included in staff quarters</t>
      </text>
    </comment>
    <comment ref="N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R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value from 2025/26 onwards.</t>
      </text>
    </comment>
  </commentList>
</comments>
</file>

<file path=xl/comments/comment6.xml><?xml version="1.0" encoding="utf-8"?>
<comments xmlns="http://schemas.openxmlformats.org/spreadsheetml/2006/main">
  <authors>
    <author>SUST</author>
    <author>tc={2DE92DEA-A486-D448-BDC5-D74D2932CA0D}</author>
    <author>tc={2005D121-60EA-2844-B40E-F2E2239D5798}</author>
    <author>tc={AB5B100D-0C8A-0E4B-84FE-87562974D55D}</author>
    <author>tc={0DD29534-6FE0-484B-B85E-92A0C67824B2}</author>
    <author>tc={329AA420-9C51-FE41-A89F-233EEB4DC17F}</author>
    <author>tc={2822D9EB-A007-9440-8BBD-3150E315BCEF}</author>
    <author>tc={86E1A36D-82FE-9C4D-AE8A-86DE79F9FFC9}</author>
    <author>tc={462BE707-B735-ED4F-8FF8-BFA9E9DC6C27}</author>
  </authors>
  <commentList>
    <comment ref="B1" authorId="0" shapeId="0">
      <text>
        <t>SUST:
CLP MAB + EC + EC + APCF + New Data Center + WWF + Water Sport Center + SISC</t>
      </text>
    </comment>
    <comment ref="J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include Innovation Building as a separate category. Even though it used electricity in 2024/25, do not include it as it was opened to the public only in 2025/26.</t>
      </text>
    </comment>
    <comment ref="L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Staff Quarter Common Area is already included in the Staff Quarters figure. Starting 2025/26, omit this value from reporting to avoid double-counting.</t>
      </text>
    </comment>
    <comment ref="N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B1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B12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M1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yearly overview value because this category includes Student Housing, GGT, and TKOJCH. In the CLP total, TKOJCH is NOT included.</t>
      </text>
    </comment>
    <comment ref="L1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Omit from 2025/26 onwards because it is double counting some parts of Staff Quarters.</t>
      </text>
    </comment>
  </commentList>
</comments>
</file>

<file path=xl/comments/comment7.xml><?xml version="1.0" encoding="utf-8"?>
<comments xmlns="http://schemas.openxmlformats.org/spreadsheetml/2006/main">
  <authors>
    <author>tc={52FBC3D0-134C-C948-92A7-114CB5AE2883}</author>
  </authors>
  <commentList>
    <comment ref="Z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</t>
      </text>
    </comment>
  </commentList>
</comments>
</file>

<file path=xl/comments/comment8.xml><?xml version="1.0" encoding="utf-8"?>
<comments xmlns="http://schemas.openxmlformats.org/spreadsheetml/2006/main">
  <authors>
    <author>SUST</author>
    <author>tc={531046F7-72B4-F34E-9A3B-0C76028260A1}</author>
  </authors>
  <commentList>
    <comment ref="E1" authorId="0" shapeId="0">
      <text>
        <t xml:space="preserve">SUST:
Number of occupied unit in HKUST staff quarter*HK domestic town gas consumption in total/Number of household in HK 
*Conversion factor (20833.33)
</t>
      </text>
    </comment>
    <comment ref="A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Jul-23 until Sep-23 Copied from WasteCombinedCharts.xlsx</t>
      </text>
    </comment>
    <comment ref="E14" authorId="0" shapeId="0">
      <text>
        <t>SUST:
temp no. from average of 2023-24</t>
      </text>
    </comment>
  </commentList>
</comments>
</file>

<file path=xl/comments/comment9.xml><?xml version="1.0" encoding="utf-8"?>
<comments xmlns="http://schemas.openxmlformats.org/spreadsheetml/2006/main">
  <authors>
    <author>tc={BF63B7A2-7E9B-7C42-9693-4CAEAA255FED}</author>
    <author>tc={6DE58029-9EF6-7943-9BBF-4D04BAD613F0}</author>
    <author>tc={ECC6333D-1D8E-5D40-873A-E054E4A3CA7B}</author>
    <author>tc={341E6B11-7CAF-BB4F-A432-62AA25971727}</author>
  </authors>
  <commentList>
    <comment ref="G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H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I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A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</t>
      </text>
    </comment>
  </commentList>
</comments>
</file>

<file path=xl/comments/comment10.xml><?xml version="1.0" encoding="utf-8"?>
<comments xmlns="http://schemas.openxmlformats.org/spreadsheetml/2006/main">
  <authors>
    <author>tc={65656612-12FF-C54C-B2C4-6D6DD5EC3C9E}</author>
    <author>tc={D3030195-1468-5744-A7DF-409C669AFA0D}</author>
    <author>tc={14C54D4A-2A32-244C-B943-2F70315E12EC}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</t>
      </text>
    </comment>
    <comment ref="K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  <comment ref="K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</commentList>
</comments>
</file>

<file path=xl/comments/comment11.xml><?xml version="1.0" encoding="utf-8"?>
<comments xmlns="http://schemas.openxmlformats.org/spreadsheetml/2006/main">
  <authors>
    <author>tc={17027BF5-5105-8746-812F-2FFC7BA88631}</author>
    <author>SUST</author>
    <author>tc={D287156F-7D82-2E44-B654-15016AABFE1B}</author>
    <author>tc={76CFE2D2-7DE9-F74E-87C6-8CC15154BF98}</author>
    <author>tc={759A3EF2-0474-A74E-8FBD-B648B31A1B2C}</author>
    <author>tc={7801E4BB-9AED-2742-81A7-40B3B4CE300F}</author>
    <author>tc={174C70EF-6892-894F-BE27-8517F6EA11AA}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 "Yearly Electricity Reformatted" value as this includes TKOJCH</t>
      </text>
    </comment>
    <comment ref="B2" authorId="1" shapeId="0">
      <text>
        <t>SUST:
CLP MAB + EC + EC + APCF + New Data Center + WWF + Water Sport Center + SISC</t>
      </text>
    </comment>
    <comment ref="J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</t>
      </text>
    </comment>
    <comment ref="J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  <comment ref="J4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</commentList>
</comments>
</file>

<file path=xl/comments/comment12.xml><?xml version="1.0" encoding="utf-8"?>
<comments xmlns="http://schemas.openxmlformats.org/spreadsheetml/2006/main">
  <authors>
    <author>tc={6057154A-696D-FF4E-BCB5-4C6F6501BDB4}</author>
  </authors>
  <commentList>
    <comment ref="I4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formula. 284.27 is the correct value that sums fresh water, sewage, and paper CO2</t>
      </text>
    </comment>
  </commentList>
</comments>
</file>

<file path=xl/comments/comment13.xml><?xml version="1.0" encoding="utf-8"?>
<comments xmlns="http://schemas.openxmlformats.org/spreadsheetml/2006/main">
  <authors>
    <author>tc={4F21DDC4-4C87-D843-AC2F-7F951C8C74FB}</author>
  </authors>
  <commentList>
    <comment ref="A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All values have been rounded off to 2 decimal places AT MOST, except for 1&amp;2 emissions/capita and 1&amp;2 emissions/GFA.</t>
      </text>
    </comment>
  </commentList>
</comments>
</file>

<file path=xl/comments/comment14.xml><?xml version="1.0" encoding="utf-8"?>
<comments xmlns="http://schemas.openxmlformats.org/spreadsheetml/2006/main">
  <authors>
    <author>tc={DFE9F9A2-BCBA-4944-A1B9-8011AF5002E4}</author>
    <author>tc={9027BE26-4223-AF48-8399-B9E39EF25234}</author>
    <author>tc={8DC3290F-0B6A-5A49-BB9B-6534F60AD22E}</author>
    <author>tc={9B5F1F92-DBC2-BD48-A5D9-16AC5B10D040}</author>
    <author>tc={96C92E43-984D-D845-AAC4-017DD16ECFEC}</author>
    <author>tc={1C2A44DC-8D5E-0942-906F-067BD681D949}</author>
    <author>tc={DAAC4C31-A49C-BD48-884E-D43F60086FFF}</author>
    <author>tc={4E92BCCF-2FBB-D843-B145-409B86F96DB8}</author>
  </authors>
  <commentList>
    <comment ref="A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  <comment ref="R3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32 in https://www.clpgroup.com/content/dam/clp-group/channels/sustainability/document/sustainability-report/2022/CLP_Sustainability_Report_2022_en.pdf.coredownload.pdf</t>
      </text>
    </comment>
    <comment ref="S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171 in https://www.clpgroup.com/content/dam/clp-group/channels/sustainability/document/sustainability-report/2023/CLP_Sustainability_Report_2023_en.pdf.coredownload.pdf</t>
      </text>
    </comment>
    <comment ref="T39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8 in https://www.clpgroup.com/content/dam/clp-group/channels/sustainability/document/sustainability-report/2024/CLP_Independent_Assurance_Statement_2024.pdf.coredownload.pdf</t>
      </text>
    </comment>
    <comment ref="R40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38 in https://www.towngas.com/media/getmedia/c6da701c-519b-4e04-aee9-7557b1d509f4/Towngas_ESG2022_EN.pdf</t>
      </text>
    </comment>
    <comment ref="S4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 37 in https://www.towngas.com/media/getmedia/6b774b8d-c94b-4e39-8fda-0e505cf6d10f/towngas_esgr2023_en.pdf</t>
      </text>
    </comment>
    <comment ref="T4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141 in https://www.wsd.gov.hk/filemanager/common/annual_report/2023_24/pdf/WSD_AR23-24.pdf</t>
      </text>
    </comment>
    <comment ref="T4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115 in https://www.dsd.gov.hk/EN/Files/publication/DSD-ESG-Report-2023-24_Full_Report.pdf</t>
      </text>
    </comment>
  </commentList>
</comments>
</file>

<file path=xl/comments/comment15.xml><?xml version="1.0" encoding="utf-8"?>
<comments xmlns="http://schemas.openxmlformats.org/spreadsheetml/2006/main">
  <authors>
    <author>tc={49D364E8-F835-4243-9BAB-6DBF34F2764C}</author>
  </authors>
  <commentList>
    <comment ref="A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</commentList>
</comments>
</file>

<file path=xl/comments/comment16.xml><?xml version="1.0" encoding="utf-8"?>
<comments xmlns="http://schemas.openxmlformats.org/spreadsheetml/2006/main">
  <authors>
    <author>tc={E4A612FD-CFEA-9847-8621-5CE5C9F2CF9A}</author>
    <author>tc={ECED212B-39F1-9D4A-BCF8-D94764B6A174}</author>
    <author>tc={3E4A2541-665F-1448-B6F7-11ECD3A86916}</author>
    <author>tc={A61EC078-450B-DD48-B4E9-0D31596E9B66}</author>
    <author>tc={98E58788-9C40-4525-9EA3-B615CF6812EB}</author>
    <author>tc={6DD27143-4EF4-7E47-91DF-D35AA1CFB3B7}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H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(Number of Household in Staff Quarter*HK average number of people in a household)*(average water consumption of household/1000)*number of days in that month)</t>
      </text>
    </comment>
    <comment ref="D4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1439</t>
      </text>
    </comment>
    <comment ref="J4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24627</t>
      </text>
    </comment>
    <comment ref="P7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I7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surge was due to (1) the temporary usage for flushing purpose at Tower 8-19 due to broken main flushing pipe upstream of Tower 8 which was repaired later in September; and broken underground pipe for cleansing water at Block 11 which will be repaired by BM in October.</t>
      </text>
    </comment>
  </commentList>
</comments>
</file>

<file path=xl/comments/comment17.xml><?xml version="1.0" encoding="utf-8"?>
<comments xmlns="http://schemas.openxmlformats.org/spreadsheetml/2006/main">
  <authors>
    <author>tc={3DBC2FF3-3FF5-1F4A-8093-7B6C20812054}</author>
  </authors>
  <commentList>
    <comment ref="A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revised values for single-counting</t>
      </text>
    </comment>
  </commentList>
</comments>
</file>

<file path=xl/comments/comment18.xml><?xml version="1.0" encoding="utf-8"?>
<comments xmlns="http://schemas.openxmlformats.org/spreadsheetml/2006/main">
  <authors>
    <author>tc={879915F9-F0BA-C14A-ABFF-8029A8F6A63A}</author>
  </authors>
  <commentList>
    <comment ref="B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the first 4 meters account for the entire campus seawater consumption. Don't mind the other meters.</t>
      </text>
    </comment>
  </commentList>
</comments>
</file>

<file path=xl/comments/comment19.xml><?xml version="1.0" encoding="utf-8"?>
<comments xmlns="http://schemas.openxmlformats.org/spreadsheetml/2006/main">
  <authors>
    <author>tc={9AC61B2F-BE54-604B-80C2-5BCF52D45067}</author>
    <author>tc={CD774BD0-BFD5-5145-81F2-58D82E38BC8B}</author>
  </authors>
  <commentList>
    <comment ref="A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2014-2023 Copied from WasteCombinedCharts.xlsx</t>
      </text>
    </comment>
    <comment ref="D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Discrepancy</t>
      </text>
    </comment>
  </commentList>
</comments>
</file>

<file path=xl/comments/comment20.xml><?xml version="1.0" encoding="utf-8"?>
<comments xmlns="http://schemas.openxmlformats.org/spreadsheetml/2006/main">
  <authors>
    <author>tc={D3DB2B84-6673-AD49-AA6E-187B3FD44574}</author>
    <author>tc={677D9029-FCE9-8E4B-9CAB-E5F16DAAE803}</author>
    <author>tc={9F3F3482-E744-1A42-AFC7-C6483CE99FED}</author>
  </authors>
  <commentList>
    <comment ref="BD5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Feb23 - Jun23
Reply:
    Was previously 3,997</t>
      </text>
    </comment>
    <comment ref="BD5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Mar23 - Jul23
Reply:
    Was previously 9,657</t>
      </text>
    </comment>
    <comment ref="A65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/comment21.xml><?xml version="1.0" encoding="utf-8"?>
<comments xmlns="http://schemas.openxmlformats.org/spreadsheetml/2006/main">
  <authors>
    <author>tc={C2C3C5BC-9072-1F42-9FBF-A21CAC838E6B}</author>
  </authors>
  <commentList>
    <comment ref="A6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/comment22.xml><?xml version="1.0" encoding="utf-8"?>
<comments xmlns="http://schemas.openxmlformats.org/spreadsheetml/2006/main">
  <authors>
    <author>tc={AC10E5F0-7627-AF4E-9444-F4126956116B}</author>
    <author>tc={00BE2302-7851-D142-A361-40F904182B0D}</author>
    <author>tc={B09B474A-A86C-0944-A2B8-0C4DBB8FD589}</author>
    <author>tc={D915631A-CD1C-804A-AC98-59DAEECC1DAA}</author>
    <author>tc={471C1004-F1DF-274E-8553-B13231989B8F}</author>
    <author>tc={18A0FB21-A34C-A148-9064-A2A412E29CCF}</author>
    <author>tc={B4E45F71-387A-E942-9678-0181EBE95529}</author>
    <author>tc={A83AA25D-8478-4449-8E5C-649143B26A54}</author>
    <author>tc={C5E94AF8-EE66-DD4C-82EF-5C16D4F79A0B}</author>
    <author>tc={D74D913B-B2A6-A64B-9B61-788658E3B901}</author>
    <author>tc={C3F09E28-37AC-CE43-B7E8-D641A184A9F7}</author>
  </authors>
  <commentList>
    <comment ref="O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P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Q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R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T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W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X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Y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Z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AB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F13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Baseline</t>
      </text>
    </comment>
  </commentList>
</comments>
</file>

<file path=xl/comments/comment23.xml><?xml version="1.0" encoding="utf-8"?>
<comments xmlns="http://schemas.openxmlformats.org/spreadsheetml/2006/main">
  <authors>
    <author>SUST</author>
    <author>tc={4E314518-B4EA-144A-B2AF-1CDE80C037B7}</author>
    <author>tc={13EA20FD-5826-0547-8558-2E91F0C33707}</author>
    <author>tc={1E793133-4C65-6445-8218-E97094A7D6B6}</author>
    <author>tc={F05ECE4B-2969-6A42-AA70-02FC2F966C7F}</author>
    <author>tc={E7C81AB6-8B8F-D349-A1B3-97ABC48480B0}</author>
    <author>tc={A8B5FC4D-47AD-6744-8B0F-68CCC59E403C}</author>
    <author>tc={EA27A9C4-1CFF-DF49-A330-EF756325CEFC}</author>
    <author>tc={58851594-216E-0C4F-A4CE-6A75F27A6A44}</author>
    <author>tc={E676DAE1-8B92-E444-8E49-F7FDE71E4963}</author>
    <author>tc={02BC4A65-D9B0-8E4D-8375-AC4400CA076A}</author>
    <author>tc={E940BA26-BD25-084A-B075-57C671CF7D3A}</author>
    <author>tc={2E0DB3E0-D2B1-A248-A167-74D3D86A69A2}</author>
    <author>tc={3E2FABC6-5229-9F46-8604-41A2EDB9263E}</author>
    <author>tc={8D9E8BF0-9664-B343-9C5B-0AD1528B561A}</author>
    <author>tc={DB5A8E93-33ED-C042-B183-0C2C4D940F19}</author>
    <author>tc={98346250-71E5-A448-905D-FE9C4C37F75E}</author>
    <author>tc={7C331265-08D7-D447-9567-02408AB2E96B}</author>
    <author>tc={107D3DEA-3713-2E4C-9FB7-4347D5826B36}</author>
    <author>tc={54AB0716-F408-A640-A7D6-29DB532F4CFB}</author>
    <author>tc={6D1BAD2F-3A84-534E-AE6B-B019717CADF4}</author>
    <author>tc={A80C6BFE-B6BA-E040-90FA-4B0B7A237987}</author>
    <author>tc={092FE75B-11C6-6944-82D1-A0237AE3B272}</author>
    <author>tc={08FDCECD-5034-984F-B371-85E1BEB510AA}</author>
    <author>tc={CF21930E-08D3-3A43-A9E6-3009AEEBD239}</author>
    <author>tc={DBB11659-E52C-8A48-88F5-6F8F8D7BD44C}</author>
    <author>tc={5340B439-4669-C544-AB67-5C333DE98B95}</author>
    <author>tc={30BE03FE-4892-CA46-A538-CF42EC536013}</author>
    <author>tc={32943604-CCEF-EF44-9A7D-8F00B3AC8F59}</author>
    <author>tc={496E0B1E-077B-8741-A9CE-B7548DFBDDF2}</author>
    <author>tc={37503934-6FA6-EC40-9D85-39CEC4AE6E94}</author>
    <author>tc={411D276A-290E-C44C-B7BF-6E320C99F8D8}</author>
    <author>tc={5AAAEC42-6E04-F34D-9AEF-282CFCC0D960}</author>
    <author>tc={F96E8E3B-3A68-5D42-A496-80EB27951260}</author>
    <author>tc={0978D730-8509-704D-8D66-B809C0FEAC70}</author>
    <author>tc={EE7A3A6F-1578-EE46-A274-BACF2E9F0F41}</author>
    <author>tc={293CCB56-703F-3440-9CF1-DBA273E70020}</author>
    <author>tc={A056EC00-9A6B-A949-9934-F4FD9AE2DB45}</author>
    <author>tc={9770B87E-9726-C14D-A738-CDCEAC493A84}</author>
    <author>tc={DC664FD2-734D-B046-92E6-905833CBE5E7}</author>
    <author>tc={13E10DB9-4D1C-C847-B1D8-04C5625F951A}</author>
    <author>tc={11CCAEEF-6C2C-7F4F-BF8A-2E9D9EFC7CE4}</author>
    <author>Lily Li</author>
  </authors>
  <commentList>
    <comment ref="B1" authorId="0" shapeId="0">
      <text>
        <t>SUST:
From Nixon monthly report</t>
      </text>
    </comment>
    <comment ref="C1" authorId="0" shapeId="0">
      <text>
        <t>SUST:
From Nixon monthly report</t>
      </text>
    </comment>
    <comment ref="E1" authorId="0" shapeId="0">
      <text>
        <t xml:space="preserve">SUST:
From Nixon monthly report
</t>
      </text>
    </comment>
    <comment ref="F1" authorId="0" shapeId="0">
      <text>
        <t xml:space="preserve">SUST:
From Nixon monthly report
</t>
      </text>
    </comment>
    <comment ref="G1" authorId="0" shapeId="0">
      <text>
        <t>SUST:
From Nixon monthly</t>
      </text>
    </comment>
    <comment ref="H1" authorId="0" shapeId="0">
      <text>
        <t>SUST:
From Nixon monthly
report</t>
      </text>
    </comment>
    <comment ref="I1" authorId="0" shapeId="0">
      <text>
        <t>SUST:
Contact Nixon</t>
      </text>
    </comment>
    <comment ref="K1" authorId="0" shapeId="0">
      <text>
        <t>SUST:
From Hong Kong Glass Resoucres email
sometimes it's 0 since they collect on request basis from CMO</t>
      </text>
    </comment>
    <comment ref="L1" authorId="0" shapeId="0">
      <text>
        <t>SUST:From Friend of Earth email</t>
      </text>
    </comment>
    <comment ref="M1" authorId="0" shapeId="0">
      <text>
        <t>SUST:
From physical receipt that send to Teri</t>
      </text>
    </comment>
    <comment ref="N1" authorId="0" shapeId="0">
      <text>
        <t>SUST:
From physical receipt that send to Teri</t>
      </text>
    </comment>
    <comment ref="O1" authorId="0" shapeId="0">
      <text>
        <t>SUST:
From Nixon monthly
report</t>
      </text>
    </comment>
    <comment ref="P1" authorId="0" shapeId="0">
      <text>
        <t>SUST:
from Nixon monthly report</t>
      </text>
    </comment>
    <comment ref="Q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Expressed in PIECES. There is no estimated weight per piece value in other Excel Workbooks.
Reply:
    This value will be EXCLUDED in the “Others” category in Monthly recycling from months including and before June 2020</t>
      </text>
    </comment>
    <comment ref="R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0.34kg per piece and rounded off.</t>
      </text>
    </comment>
    <comment ref="S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0.13kg per piece and rounded off.</t>
      </text>
    </comment>
    <comment ref="T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0.15kg per piece and rounded off.</t>
      </text>
    </comment>
    <comment ref="U1" authorId="0" shapeId="0">
      <text>
        <t>SUST:
From CMO Ricky (Alba data)</t>
      </text>
    </comment>
    <comment ref="V1" authorId="0" shapeId="0">
      <text>
        <t>SUST:
From Ricky Ng (CMO)</t>
      </text>
    </comment>
    <comment ref="X1" authorId="0" shapeId="0">
      <text>
        <t>SUST:
From CMO</t>
      </text>
    </comment>
    <comment ref="Z1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Nixon
</t>
      </text>
    </comment>
    <comment ref="Z1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5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1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2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0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0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Z120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21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1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1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B126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62kg from e-waste sent to landfill by Huaden</t>
      </text>
    </comment>
    <comment ref="U126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additional printer monitor collection by Huaden
Reply:
    Only 391 diverted included. 62 sent to landfill added to trash
Reply:
    How should I cite the data from this cell? Should I list it as 391kg in the monthly recycling tab?</t>
      </text>
    </comment>
    <comment ref="B127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e-waste disposed to landfill</t>
      </text>
    </comment>
    <comment ref="U127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Huaden only. Need to add Alba
</t>
      </text>
    </comment>
    <comment ref="B128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8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29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9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0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1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1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2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E-waste collection this month</t>
      </text>
    </comment>
    <comment ref="U132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3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3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4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5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5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6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6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Z136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 since terminated contract with Mil Mill</t>
      </text>
    </comment>
    <comment ref="N148" authorId="42" shapeId="0">
      <text>
        <t>Lily Li:
should be 400?</t>
      </text>
    </comment>
    <comment ref="M150" authorId="42" shapeId="0">
      <text>
        <t>Lily Li:
Should be 800?</t>
      </text>
    </comment>
    <comment ref="N150" authorId="42" shapeId="0">
      <text>
        <t>Lily Li:
Should be 400?</t>
      </text>
    </comment>
  </commentList>
</comments>
</file>

<file path=xl/comments/comment24.xml><?xml version="1.0" encoding="utf-8"?>
<comments xmlns="http://schemas.openxmlformats.org/spreadsheetml/2006/main">
  <authors>
    <author>tc={D536C5F3-246A-B94C-8264-0B314533B007}</author>
    <author>SUST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sheet was previously called "Location Breakdown (Waste)"</t>
      </text>
    </comment>
    <comment ref="B1" authorId="1" shapeId="0">
      <text>
        <t xml:space="preserve">SUST:
Greenbrid:香港科技大學學生宿舍 </t>
      </text>
    </comment>
    <comment ref="D1" authorId="1" shapeId="0">
      <text>
        <t xml:space="preserve">SUST:
GreenbirdL </t>
      </text>
    </comment>
    <comment ref="J1" authorId="1" shapeId="0">
      <text>
        <t>SUST:
Data availability starts from Mar-25</t>
      </text>
    </comment>
    <comment ref="E7" authorId="1" shapeId="0">
      <text>
        <t xml:space="preserve">SUST:
source: monthly report from Nixon, different from Greenbird (24,790kg)
</t>
      </text>
    </comment>
    <comment ref="E8" authorId="1" shapeId="0">
      <text>
        <t xml:space="preserve">SUST:
source: monthly report from Nixon, different from Greenbird (20,290kg)
</t>
      </text>
    </comment>
    <comment ref="E17" authorId="1" shapeId="0">
      <text>
        <t>SUST:
source: monthly report from Nixon, different from Greenbird (17,110kg)</t>
      </text>
    </comment>
    <comment ref="E19" authorId="1" shapeId="0">
      <text>
        <t>SUST:
data unavailable</t>
      </text>
    </comment>
    <comment ref="A20" authorId="1" shapeId="0">
      <text>
        <t>SUST:
Refuse room closed due to construction, data are from averaging the data from Jul-23 to Jun 25</t>
      </text>
    </comment>
    <comment ref="A21" authorId="1" shapeId="0">
      <text>
        <t xml:space="preserve">SUST:
Refuse room closed due to construction, data are from averaging the data from Jul-23 to Jun 25
</t>
      </text>
    </comment>
    <comment ref="E22" authorId="1" shapeId="0">
      <text>
        <t xml:space="preserve">SUST:
source: monthly report from Nixon, different from Greenbird (19,310kg)
</t>
      </text>
    </comment>
    <comment ref="E25" authorId="1" shapeId="0">
      <text>
        <t xml:space="preserve">SUST:
source: monthly report from Nixon, different from Greenbird (23,560kg)
</t>
      </text>
    </comment>
  </commentList>
</comments>
</file>

<file path=xl/comments/comment25.xml><?xml version="1.0" encoding="utf-8"?>
<comments xmlns="http://schemas.openxmlformats.org/spreadsheetml/2006/main">
  <authors>
    <author>tc={725D30C6-9444-CF41-B822-EFB209E01AA5}</author>
    <author>tc={B0E438D4-21EE-E840-8141-AC7155466BE4}</author>
    <author>tc={4A33CE36-34DA-FF4E-B845-DFCA4E1EEAD8}</author>
    <author>tc={2D2465AB-0639-0E4E-93D9-3EC91B5A5664}</author>
    <author>tc={FF7A9722-DD1F-CA4A-8EC3-3D9F5A93CB5E}</author>
    <author>tc={82CA7D4D-798C-C14D-8E74-72968E6AA4C8}</author>
  </authors>
  <commentList>
    <comment ref="E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23)</t>
      </text>
    </comment>
    <comment ref="L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2023)</t>
      </text>
    </comment>
    <comment ref="P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and regular staff quarters</t>
      </text>
    </comment>
    <comment ref="C8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F8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O82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</commentList>
</comments>
</file>

<file path=xl/comments/comment26.xml><?xml version="1.0" encoding="utf-8"?>
<comments xmlns="http://schemas.openxmlformats.org/spreadsheetml/2006/main">
  <authors>
    <author>tc={A6A704BB-3A51-DF46-B202-5CC0A0B017CD}</author>
    <author>tc={8DB71811-BA3A-0A42-A3A1-882698221BA1}</author>
  </authors>
  <commentList>
    <comment ref="J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 for staff quarters was corrected. </t>
      </text>
    </comment>
    <comment ref="K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was corrected. The correct value is 408294.1</t>
      </text>
    </comment>
  </commentList>
</comments>
</file>

<file path=xl/comments/comment27.xml><?xml version="1.0" encoding="utf-8"?>
<comments xmlns="http://schemas.openxmlformats.org/spreadsheetml/2006/main">
  <authors>
    <author>tc={40D69639-C9A6-134F-A345-EE2D4620C7F4}</author>
    <author>tc={D635BF5B-6172-C941-B19A-207C867A249D}</author>
    <author>tc={BB555957-A161-0946-B1CC-9B56167A6568}</author>
    <author>tc={DE1A4F4D-9FD2-764F-8543-AE950F546E54}</author>
    <author>tc={C5AFFA22-AC89-2647-961C-2A6CE6FE0C4E}</author>
    <author>tc={6DD110ED-69FD-854F-8E51-D33D90A6960A}</author>
    <author>tc={6DAE8C03-743C-BE41-B4A7-B61BD74E76B2}</author>
    <author>tc={DEFD7018-0493-3D44-A048-471BDD3F2177}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(LG7/SSID + corrugated, office, newspaper)</t>
      </text>
    </comment>
    <comment ref="C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(Aluminium + Skip)</t>
      </text>
    </comment>
    <comment ref="D1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(plastic bottles + polystyrene)
</t>
      </text>
    </comment>
    <comment ref="K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(CD, Clothes, Florescent Tube, Bulb, Rechargable Battery, Toner, Ink Cartridge, Tetra Pack)</t>
      </text>
    </comment>
    <comment ref="A8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Jul-20 until Dec-23 Copied from WasteCombinedCharts.xlsx</t>
      </text>
    </comment>
    <comment ref="D12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expanded polystyrene data</t>
      </text>
    </comment>
    <comment ref="J12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partially diverted from landfill</t>
      </text>
    </comment>
    <comment ref="J12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only. Waiting for Alba. Resolve once done.</t>
      </text>
    </comment>
  </commentList>
</comments>
</file>

<file path=xl/comments/comment28.xml><?xml version="1.0" encoding="utf-8"?>
<comments xmlns="http://schemas.openxmlformats.org/spreadsheetml/2006/main">
  <authors>
    <author>tc={F2497914-4567-C74D-92C3-6BD44764BDE1}</author>
    <author>tc={445C6505-6998-6B4B-8463-B7438A0845C5}</author>
  </authors>
  <commentList>
    <comment ref="A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2010-2022 Copied from WasteCombinedCharts.xlsx</t>
      </text>
    </comment>
    <comment ref="A1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data left in the excel sheet without formulas; may vary from 2022/23</t>
      </text>
    </comment>
  </commentList>
</comments>
</file>

<file path=xl/comments/comment29.xml><?xml version="1.0" encoding="utf-8"?>
<comments xmlns="http://schemas.openxmlformats.org/spreadsheetml/2006/main">
  <authors>
    <author>tc={E2CC49CB-BAE2-5C47-81CB-866E29441BBD}</author>
  </authors>
  <commentList>
    <comment ref="A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Entire chart has been copied from “WasteCombinedCharts.xlsx”. </t>
      </text>
    </comment>
  </commentList>
</comments>
</file>

<file path=xl/comments/comment30.xml><?xml version="1.0" encoding="utf-8"?>
<comments xmlns="http://schemas.openxmlformats.org/spreadsheetml/2006/main">
  <authors>
    <author>tc={6516E8C1-E62C-4447-8E8B-DD59EB5685A8}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comments/comment31.xml><?xml version="1.0" encoding="utf-8"?>
<comments xmlns="http://schemas.openxmlformats.org/spreadsheetml/2006/main">
  <authors>
    <author>tc={2B115174-BC0A-4840-BF37-3A10F0E01179}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Relationship Type="http://schemas.openxmlformats.org/officeDocument/2006/relationships/chart" Target="/xl/charts/chart30.xml" Id="rId4"/><Relationship Type="http://schemas.openxmlformats.org/officeDocument/2006/relationships/chart" Target="/xl/charts/chart31.xml" Id="rId5"/><Relationship Type="http://schemas.openxmlformats.org/officeDocument/2006/relationships/chart" Target="/xl/charts/chart32.xml" Id="rId6"/><Relationship Type="http://schemas.openxmlformats.org/officeDocument/2006/relationships/chart" Target="/xl/charts/chart33.xml" Id="rId7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drawing1.xml><?xml version="1.0" encoding="utf-8"?>
<wsDr xmlns="http://schemas.openxmlformats.org/drawingml/2006/spreadsheetDrawing">
  <twoCellAnchor>
    <from>
      <col>0</col>
      <colOff>830318</colOff>
      <row>81</row>
      <rowOff>158319</rowOff>
    </from>
    <to>
      <col>7</col>
      <colOff>707887</colOff>
      <row>117</row>
      <rowOff>153035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3834</colOff>
      <row>14</row>
      <rowOff>5708</rowOff>
    </from>
    <to>
      <col>15</col>
      <colOff>466444</colOff>
      <row>39</row>
      <rowOff>143819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27021</colOff>
      <row>58</row>
      <rowOff>196716</rowOff>
    </from>
    <to>
      <col>33</col>
      <colOff>1364573</colOff>
      <row>83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46</col>
      <colOff>391160</colOff>
      <row>0</row>
      <rowOff>0</rowOff>
    </from>
    <to>
      <col>59</col>
      <colOff>650240</colOff>
      <row>21</row>
      <rowOff>142240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46</col>
      <colOff>377473</colOff>
      <row>22</row>
      <rowOff>30689</rowOff>
    </from>
    <to>
      <col>60</col>
      <colOff>8820</colOff>
      <row>42</row>
      <rowOff>149930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29</col>
      <colOff>11044</colOff>
      <row>19</row>
      <rowOff>149086</rowOff>
    </from>
    <to>
      <col>33</col>
      <colOff>1371600</colOff>
      <row>55</row>
      <rowOff>190500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</col>
      <colOff>109220</colOff>
      <row>14</row>
      <rowOff>167640</rowOff>
    </from>
    <to>
      <col>7</col>
      <colOff>858520</colOff>
      <row>51</row>
      <rowOff>8890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8</col>
      <colOff>869950</colOff>
      <row>3</row>
      <rowOff>12700</rowOff>
    </from>
    <to>
      <col>19</col>
      <colOff>12700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43</col>
      <colOff>956453</colOff>
      <row>7</row>
      <rowOff>190084</rowOff>
    </from>
    <to>
      <col>61</col>
      <colOff>594178</colOff>
      <row>51</row>
      <rowOff>166912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</col>
      <colOff>1559010</colOff>
      <row>21</row>
      <rowOff>186380</rowOff>
    </from>
    <to>
      <col>12</col>
      <colOff>0</colOff>
      <row>46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1528</colOff>
      <row>21</row>
      <rowOff>160980</rowOff>
    </from>
    <to>
      <col>20</col>
      <colOff>0</colOff>
      <row>45</row>
      <rowOff>165100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</col>
      <colOff>4053</colOff>
      <row>9</row>
      <rowOff>175365</rowOff>
    </from>
    <to>
      <col>9</col>
      <colOff>13510</colOff>
      <row>38</row>
      <rowOff>13510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984250</colOff>
      <row>7</row>
      <rowOff>12700</rowOff>
    </from>
    <to>
      <col>10</col>
      <colOff>596900</colOff>
      <row>34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10</col>
      <colOff>228600</colOff>
      <row>1</row>
      <rowOff>133350</rowOff>
    </from>
    <to>
      <col>18</col>
      <colOff>152400</colOff>
      <row>15</row>
      <rowOff>47625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254005</colOff>
      <row>16</row>
      <rowOff>14118</rowOff>
    </from>
    <to>
      <col>21</col>
      <colOff>38100</colOff>
      <row>49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5</col>
      <colOff>114300</colOff>
      <row>64</row>
      <rowOff>152400</rowOff>
    </from>
    <to>
      <col>10</col>
      <colOff>558800</colOff>
      <row>78</row>
      <rowOff>50800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5</col>
      <colOff>114300</colOff>
      <row>64</row>
      <rowOff>152400</rowOff>
    </from>
    <to>
      <col>10</col>
      <colOff>558800</colOff>
      <row>78</row>
      <rowOff>50800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18</col>
      <colOff>224517</colOff>
      <row>12</row>
      <rowOff>171449</rowOff>
    </from>
    <to>
      <col>30</col>
      <colOff>485774</colOff>
      <row>33</row>
      <rowOff>195694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387350</colOff>
      <row>16</row>
      <rowOff>25400</rowOff>
    </from>
    <to>
      <col>11</col>
      <colOff>76200</colOff>
      <row>45</row>
      <rowOff>12700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0</col>
      <colOff>76200</colOff>
      <row>9</row>
      <rowOff>38100</rowOff>
    </from>
    <to>
      <col>8</col>
      <colOff>787400</colOff>
      <row>27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37</row>
      <rowOff>50800</rowOff>
    </from>
    <to>
      <col>8</col>
      <colOff>711200</colOff>
      <row>55</row>
      <rowOff>50800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11</col>
      <colOff>207829</colOff>
      <row>51</row>
      <rowOff>166255</rowOff>
    </from>
    <to>
      <col>17</col>
      <colOff>290957</colOff>
      <row>66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2</col>
      <colOff>22983</colOff>
      <row>15</row>
      <rowOff>4678</rowOff>
    </from>
    <to>
      <col>8</col>
      <colOff>182567</colOff>
      <row>36</row>
      <rowOff>60025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>
    <from>
      <col>3</col>
      <colOff>652208</colOff>
      <row>82</row>
      <rowOff>78468</rowOff>
    </from>
    <to>
      <col>12</col>
      <colOff>285846</colOff>
      <row>115</row>
      <rowOff>104294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>
    <from>
      <col>35</col>
      <colOff>480000</colOff>
      <row>17</row>
      <rowOff>0</rowOff>
    </from>
    <to>
      <col>48</col>
      <colOff>532741</colOff>
      <row>42</row>
      <rowOff>52760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9242</colOff>
      <row>16</row>
      <rowOff>177806</rowOff>
    </from>
    <to>
      <col>12</col>
      <colOff>622299</colOff>
      <row>49</row>
      <rowOff>152400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6.xml><?xml version="1.0" encoding="utf-8"?>
<wsDr xmlns="http://schemas.openxmlformats.org/drawingml/2006/spreadsheetDrawing">
  <twoCellAnchor>
    <from>
      <col>6</col>
      <colOff>73660</colOff>
      <row>1</row>
      <rowOff>76200</rowOff>
    </from>
    <to>
      <col>11</col>
      <colOff>990600</colOff>
      <row>23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20</col>
      <colOff>1003300</colOff>
      <row>6</row>
      <rowOff>25406</rowOff>
    </from>
    <to>
      <col>25</col>
      <colOff>203200</colOff>
      <row>21</row>
      <rowOff>88900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25</col>
      <colOff>533400</colOff>
      <row>6</row>
      <rowOff>12706</rowOff>
    </from>
    <to>
      <col>29</col>
      <colOff>1104900</colOff>
      <row>21</row>
      <rowOff>88900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43</col>
      <colOff>190500</colOff>
      <row>4</row>
      <rowOff>12706</rowOff>
    </from>
    <to>
      <col>48</col>
      <colOff>711200</colOff>
      <row>21</row>
      <rowOff>165100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60</col>
      <colOff>469900</colOff>
      <row>1</row>
      <rowOff>88906</rowOff>
    </from>
    <to>
      <col>66</col>
      <colOff>508000</colOff>
      <row>19</row>
      <rowOff>12700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60</col>
      <colOff>469900</colOff>
      <row>19</row>
      <rowOff>190506</rowOff>
    </from>
    <to>
      <col>66</col>
      <colOff>533400</colOff>
      <row>37</row>
      <rowOff>152400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43</col>
      <colOff>215900</colOff>
      <row>22</row>
      <rowOff>63506</rowOff>
    </from>
    <to>
      <col>48</col>
      <colOff>711200</colOff>
      <row>39</row>
      <rowOff>114300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</wsDr>
</file>

<file path=xl/drawings/drawing17.xml><?xml version="1.0" encoding="utf-8"?>
<wsDr xmlns="http://schemas.openxmlformats.org/drawingml/2006/spreadsheetDrawing">
  <twoCellAnchor>
    <from>
      <col>34</col>
      <colOff>75596</colOff>
      <row>43</row>
      <rowOff>102001</rowOff>
    </from>
    <to>
      <col>39</col>
      <colOff>680962</colOff>
      <row>60</row>
      <rowOff>144939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34</col>
      <colOff>25709</colOff>
      <row>156</row>
      <rowOff>38099</rowOff>
    </from>
    <to>
      <col>49</col>
      <colOff>272143</colOff>
      <row>187</row>
      <rowOff>123976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34</col>
      <colOff>66675</colOff>
      <row>82</row>
      <rowOff>66675</rowOff>
    </from>
    <to>
      <col>42</col>
      <colOff>133350</colOff>
      <row>106</row>
      <rowOff>104775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8.xml><?xml version="1.0" encoding="utf-8"?>
<wsDr xmlns="http://schemas.openxmlformats.org/drawingml/2006/spreadsheetDrawing">
  <twoCellAnchor>
    <from>
      <col>8</col>
      <colOff>398780</colOff>
      <row>5</row>
      <rowOff>59690</rowOff>
    </from>
    <to>
      <col>14</col>
      <colOff>261620</colOff>
      <row>20</row>
      <rowOff>59690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9.xml><?xml version="1.0" encoding="utf-8"?>
<wsDr xmlns="http://schemas.openxmlformats.org/drawingml/2006/spreadsheetDrawing">
  <twoCellAnchor>
    <from>
      <col>10</col>
      <colOff>810260</colOff>
      <row>4</row>
      <rowOff>67310</rowOff>
    </from>
    <to>
      <col>16</col>
      <colOff>673100</colOff>
      <row>19</row>
      <rowOff>67310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0.xml><?xml version="1.0" encoding="utf-8"?>
<wsDr xmlns="http://schemas.openxmlformats.org/drawingml/2006/spreadsheetDrawing">
  <twoCellAnchor>
    <from>
      <col>4</col>
      <colOff>36461</colOff>
      <row>127</row>
      <rowOff>167500</rowOff>
    </from>
    <to>
      <col>17</col>
      <colOff>262538</colOff>
      <row>150</row>
      <rowOff>180613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162566</colOff>
      <row>12</row>
      <rowOff>169435</rowOff>
    </from>
    <to>
      <col>29</col>
      <colOff>144470</colOff>
      <row>47</row>
      <rowOff>170365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1.xml><?xml version="1.0" encoding="utf-8"?>
<wsDr xmlns="http://schemas.openxmlformats.org/drawingml/2006/spreadsheetDrawing">
  <twoCellAnchor>
    <from>
      <col>2</col>
      <colOff>64576</colOff>
      <row>152</row>
      <rowOff>645</rowOff>
    </from>
    <to>
      <col>6</col>
      <colOff>1042905</colOff>
      <row>167</row>
      <rowOff>139913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2.xml><?xml version="1.0" encoding="utf-8"?>
<wsDr xmlns="http://schemas.openxmlformats.org/drawingml/2006/spreadsheetDrawing">
  <twoCellAnchor>
    <from>
      <col>13</col>
      <colOff>406400</colOff>
      <row>111</row>
      <rowOff>30480</rowOff>
    </from>
    <to>
      <col>28</col>
      <colOff>0</colOff>
      <row>132</row>
      <rowOff>203199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3.xml><?xml version="1.0" encoding="utf-8"?>
<wsDr xmlns="http://schemas.openxmlformats.org/drawingml/2006/spreadsheetDrawing">
  <twoCellAnchor>
    <from>
      <col>5</col>
      <colOff>13511</colOff>
      <row>5</row>
      <rowOff>22881</rowOff>
    </from>
    <to>
      <col>15</col>
      <colOff>0</colOff>
      <row>41</row>
      <rowOff>189147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owngas.com/en/About-Us/Hong-Kong-Gas-Business/Gas-Production" TargetMode="External" Id="rId1"/><Relationship Type="http://schemas.openxmlformats.org/officeDocument/2006/relationships/hyperlink" Target="https://www.towngas.com/en/Household/Customer-Services/Tariff" TargetMode="External" Id="rId2"/><Relationship Type="http://schemas.openxmlformats.org/officeDocument/2006/relationships/hyperlink" Target="https://www.towngas.com/en/About-Us/Hong-Kong-Gas-Business/Gas-Production" TargetMode="External" Id="rId3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4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2.xml" Id="rId1"/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1" sqref="A11"/>
    </sheetView>
  </sheetViews>
  <sheetFormatPr baseColWidth="10" defaultColWidth="8.6640625" defaultRowHeight="16"/>
  <cols>
    <col width="31.1640625" bestFit="1" customWidth="1" style="1" min="1" max="1"/>
    <col width="8.6640625" customWidth="1" style="1" min="2" max="2"/>
    <col width="30" bestFit="1" customWidth="1" style="1" min="3" max="3"/>
    <col width="8.6640625" customWidth="1" style="1" min="4" max="4"/>
    <col width="37.33203125" bestFit="1" customWidth="1" style="1" min="5" max="5"/>
    <col width="8.6640625" customWidth="1" style="1" min="6" max="16384"/>
  </cols>
  <sheetData>
    <row r="1">
      <c r="A1" s="13" t="inlineStr">
        <is>
          <t>Annual Report</t>
        </is>
      </c>
      <c r="C1" s="13" t="inlineStr">
        <is>
          <t xml:space="preserve">Monthly Data </t>
        </is>
      </c>
      <c r="E1" s="13" t="inlineStr">
        <is>
          <t>Yearly Data</t>
        </is>
      </c>
    </row>
    <row r="2">
      <c r="A2" s="168" t="inlineStr">
        <is>
          <t>Energy</t>
        </is>
      </c>
      <c r="C2" s="168" t="inlineStr">
        <is>
          <t>Renewable</t>
        </is>
      </c>
      <c r="E2" s="168" t="inlineStr">
        <is>
          <t>Renewable</t>
        </is>
      </c>
    </row>
    <row r="3">
      <c r="A3" s="168" t="inlineStr">
        <is>
          <t>Water</t>
        </is>
      </c>
      <c r="C3" s="168" t="inlineStr">
        <is>
          <t>Electricity (Overview)</t>
        </is>
      </c>
      <c r="E3" s="168" t="inlineStr">
        <is>
          <t>Electricity (Overview)</t>
        </is>
      </c>
    </row>
    <row r="4">
      <c r="A4" s="168" t="inlineStr">
        <is>
          <t>Waste</t>
        </is>
      </c>
      <c r="C4" s="168" t="inlineStr">
        <is>
          <t>Electricity (Reformatted)</t>
        </is>
      </c>
      <c r="E4" s="168" t="inlineStr">
        <is>
          <t>Electricity (Reformatted)</t>
        </is>
      </c>
    </row>
    <row r="5">
      <c r="C5" s="168" t="inlineStr">
        <is>
          <t>Towngas (TGU)</t>
        </is>
      </c>
      <c r="E5" s="168" t="inlineStr">
        <is>
          <t>Towngas (TGU)</t>
        </is>
      </c>
    </row>
    <row r="6">
      <c r="A6" s="13" t="inlineStr">
        <is>
          <t>Half-Year Report</t>
        </is>
      </c>
      <c r="C6" s="168" t="inlineStr">
        <is>
          <t>Potable Water (Overview)</t>
        </is>
      </c>
      <c r="E6" s="168" t="inlineStr">
        <is>
          <t>Fuel</t>
        </is>
      </c>
    </row>
    <row r="7">
      <c r="A7" s="168" t="inlineStr">
        <is>
          <t>Water</t>
        </is>
      </c>
      <c r="C7" s="168" t="inlineStr">
        <is>
          <t>Potable Water (Meters)</t>
        </is>
      </c>
      <c r="E7" s="168" t="inlineStr">
        <is>
          <t>Scope 1 GHG (mtCO2)</t>
        </is>
      </c>
    </row>
    <row r="8">
      <c r="A8" s="168" t="inlineStr">
        <is>
          <t>Waste</t>
        </is>
      </c>
      <c r="C8" s="168" t="inlineStr">
        <is>
          <t>Seawater (m3)</t>
        </is>
      </c>
      <c r="E8" s="168" t="inlineStr">
        <is>
          <t>Scope 2 GHG (mtCO2)</t>
        </is>
      </c>
    </row>
    <row r="9">
      <c r="A9" s="168" t="n"/>
      <c r="C9" s="168" t="inlineStr">
        <is>
          <t>Category Water Data</t>
        </is>
      </c>
      <c r="E9" s="168" t="inlineStr">
        <is>
          <t>Scope 3 GHG (mtCO2)</t>
        </is>
      </c>
    </row>
    <row r="10">
      <c r="A10" s="13" t="inlineStr">
        <is>
          <t>Raw Data</t>
        </is>
      </c>
      <c r="C10" s="168" t="inlineStr">
        <is>
          <t>Monthly Waste by Location (kg)</t>
        </is>
      </c>
      <c r="E10" s="168" t="inlineStr">
        <is>
          <t>GHG (mtCO2)</t>
        </is>
      </c>
    </row>
    <row r="11">
      <c r="A11" s="168" t="inlineStr">
        <is>
          <t>Waste</t>
        </is>
      </c>
      <c r="C11" s="168" t="inlineStr">
        <is>
          <t>Category Waste Data</t>
        </is>
      </c>
      <c r="E11" s="168" t="inlineStr">
        <is>
          <t>Potable Water (Overview)</t>
        </is>
      </c>
    </row>
    <row r="12">
      <c r="A12" s="168" t="inlineStr">
        <is>
          <t>Food Waste</t>
        </is>
      </c>
      <c r="C12" s="168" t="inlineStr">
        <is>
          <t>Recycling (kg)</t>
        </is>
      </c>
      <c r="E12" s="168" t="inlineStr">
        <is>
          <t>Potable Water (Meters)</t>
        </is>
      </c>
    </row>
    <row r="13">
      <c r="C13" s="168" t="inlineStr">
        <is>
          <t>Paper Distribution (kg)</t>
        </is>
      </c>
      <c r="E13" s="168" t="inlineStr">
        <is>
          <t>Seawater (m3)</t>
        </is>
      </c>
    </row>
    <row r="14">
      <c r="A14" s="13" t="inlineStr">
        <is>
          <t>Smart Waste Bin</t>
        </is>
      </c>
      <c r="E14" s="168" t="inlineStr">
        <is>
          <t>Recycling (kg)</t>
        </is>
      </c>
    </row>
    <row r="15">
      <c r="A15" s="168" t="inlineStr">
        <is>
          <t>Staff Quarters</t>
        </is>
      </c>
      <c r="E15" s="168" t="inlineStr">
        <is>
          <t>Food Waste (kg)</t>
        </is>
      </c>
    </row>
    <row r="16">
      <c r="A16" s="168" t="inlineStr">
        <is>
          <t>Canteen</t>
        </is>
      </c>
      <c r="E16" s="168" t="inlineStr">
        <is>
          <t>Paper Distribution (kg)</t>
        </is>
      </c>
    </row>
    <row r="17">
      <c r="E17" s="168" t="inlineStr">
        <is>
          <t>Paper Distribution (match monthly) (kg)</t>
        </is>
      </c>
    </row>
    <row r="18">
      <c r="A18" s="13" t="inlineStr">
        <is>
          <t>Other</t>
        </is>
      </c>
    </row>
    <row r="19">
      <c r="A19" s="168" t="inlineStr">
        <is>
          <t>Emission Factor (Keep Updated)</t>
        </is>
      </c>
    </row>
    <row r="20">
      <c r="A20" s="168" t="inlineStr">
        <is>
          <t>Emission Factor (Original)</t>
        </is>
      </c>
    </row>
    <row r="22">
      <c r="A22" s="560" t="inlineStr">
        <is>
          <t>Daily Data</t>
        </is>
      </c>
    </row>
    <row r="23">
      <c r="A23" s="168" t="inlineStr">
        <is>
          <t>Food Waste</t>
        </is>
      </c>
    </row>
    <row r="41">
      <c r="A41" s="13" t="n"/>
    </row>
  </sheetData>
  <hyperlinks>
    <hyperlink ref="A2" location="'Annual Report (Energy)'!A1" display="Energy"/>
    <hyperlink ref="C2" location="'Monthly Renewable'!A1" display="Renewable"/>
    <hyperlink ref="E2" location="'Yearly Renewable'!A1" display="Renewable"/>
    <hyperlink ref="A3" location="'Annual Report (Water)'!A1" display="Water"/>
    <hyperlink ref="C3" location="'Monthly Electricity (Overview)'!A1" display="Electricity (Overview)"/>
    <hyperlink ref="E3" location="'Yearly Electricity (Overview)'!A1" display="Electricity (Overview)"/>
    <hyperlink ref="A4" location="'Annual Report (Waste)'!A1" display="Waste"/>
    <hyperlink ref="C4" location="'Monthly Electricity Reformatted'!A1" display="Electricity (Reformatted)"/>
    <hyperlink ref="E4" location="'Yearly Electricity Reformatted'!A1" display="Electricity (Reformatted)"/>
    <hyperlink ref="C5" location="'Monthly Towngas (TGU)'!A1" display="Towngas (TGU)"/>
    <hyperlink ref="E5" location="'Yearly Towngas (TGU)'!A1" display="Towngas (TGU)"/>
    <hyperlink ref="C6" location="'Monthly Potable (Overview)'!A1" display="Potable Water (Overview)"/>
    <hyperlink ref="E6" location="'Yearly Fuel'!A1" display="Fuel"/>
    <hyperlink ref="A7" location="'Half-Year Report (Water)'!A1" display="Water"/>
    <hyperlink ref="C7" location="'Monthly Potable (Meters)'!A1" display="Potable Water (Meters)"/>
    <hyperlink ref="E7" location="'Scope 1'!A1" display="Scope 1 GHG (mtCO2)"/>
    <hyperlink ref="A8" location="'Half-Year Report (Waste)'!A1" display="Waste"/>
    <hyperlink ref="C8" location="'Monthly Seawater (m3)'!A1" display="Seawater (m3)"/>
    <hyperlink ref="E8" location="'Scope 2'!A1" display="Scope 2 GHG (mtCO2)"/>
    <hyperlink ref="C9" location="'Category Water Data'!A1" display="Category Water Data"/>
    <hyperlink ref="E9" location="'Scope 3'!A1" display="Scope 3 GHG (mtCO2)"/>
    <hyperlink ref="C10" location="'Monthly Waste by Location (KG)'!A1" display="Monthly Waste by Location (kg)"/>
    <hyperlink ref="E10" location="'Yearly GHG (mCO2)'!A1" display="GHG (mtCO2)"/>
    <hyperlink ref="A11" location="'Raw Data (KG)'!A1" display="Waste"/>
    <hyperlink ref="C11" location="'Category Waste Data'!A1" display="Category Waste Data"/>
    <hyperlink ref="E11" location="'Yearly Potable (Overview)'!A1" display="Potable Water (Overview)"/>
    <hyperlink ref="A12" location="'Raw Food Data (KG)'!A1" display="Food Waste"/>
    <hyperlink ref="C12" location="'Monthly Recycling'!A1" display="Recycling (kg)"/>
    <hyperlink ref="E12" location="'Yearly Potable (meters)'!A1" display="Potable Water (Meters)"/>
    <hyperlink ref="C13" location="'Monthly Paper Distribution'!A1" display="Paper Distribution (kg)"/>
    <hyperlink ref="E13" location="'Yearly Seawater (m3)'!A1" display="Seawater (m3)"/>
    <hyperlink ref="E14" location="'Yearly Recycling'!A1" display="Recycling (kg)"/>
    <hyperlink ref="A15" location="'Smart Waste Bin (Staff Quarter)'!A1" display="Staff Quarters"/>
    <hyperlink ref="E15" location="'Yearly Food Data'!A1" display="Food Waste (kg)"/>
    <hyperlink ref="A16" location="'Smart Waste Bin (Canteen)'!A1" display="Canteen"/>
    <hyperlink ref="E16" location="'Yearly Paper Distribution'!A1" display="Paper Distribution (kg)"/>
    <hyperlink ref="E17" location="'Yearly Paper (match monthly)'!A1" display="Paper Distribution (match monthly) (kg)"/>
    <hyperlink ref="A19" location="'Emission Factor (new)'!A1" display="Emission Factor (Keep Updated)"/>
    <hyperlink ref="A20" location="'Emission Factor'!A1" display="Emission Factor"/>
    <hyperlink ref="A23" location="'Daily Food Data'!A1" display="Foo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9"/>
  <sheetViews>
    <sheetView workbookViewId="0">
      <selection activeCell="H13" sqref="H13"/>
    </sheetView>
  </sheetViews>
  <sheetFormatPr baseColWidth="10" defaultColWidth="8.6640625" defaultRowHeight="16"/>
  <cols>
    <col width="13.33203125" customWidth="1" style="133" min="1" max="1"/>
    <col width="13.1640625" customWidth="1" style="1" min="2" max="2"/>
    <col width="12.6640625" bestFit="1" customWidth="1" style="1" min="3" max="3"/>
    <col width="15.33203125" bestFit="1" customWidth="1" style="1" min="4" max="5"/>
    <col width="11.1640625" customWidth="1" style="1" min="6" max="6"/>
    <col width="12.6640625" customWidth="1" style="1" min="7" max="7"/>
    <col width="19.6640625" customWidth="1" style="1" min="8" max="8"/>
    <col width="3.33203125" customWidth="1" style="134" min="9" max="9"/>
    <col width="10.6640625" customWidth="1" style="98" min="10" max="10"/>
    <col width="23.33203125" customWidth="1" style="1" min="11" max="11"/>
    <col width="20.6640625" customWidth="1" style="1" min="12" max="12"/>
    <col width="16.1640625" customWidth="1" style="1" min="13" max="13"/>
    <col width="12.6640625" customWidth="1" style="1" min="14" max="14"/>
    <col width="10.33203125" customWidth="1" style="1" min="15" max="15"/>
    <col width="7.1640625" customWidth="1" style="1" min="16" max="16"/>
    <col width="3.33203125" customWidth="1" style="134" min="17" max="17"/>
    <col width="13.33203125" customWidth="1" style="1" min="18" max="18"/>
    <col width="15.6640625" customWidth="1" style="1" min="19" max="19"/>
    <col width="13.33203125" customWidth="1" style="1" min="20" max="24"/>
    <col width="15.6640625" customWidth="1" style="1" min="25" max="25"/>
    <col width="13.33203125" customWidth="1" style="1" min="26" max="27"/>
    <col width="15.6640625" customWidth="1" style="1" min="28" max="28"/>
    <col width="3.33203125" customWidth="1" style="134" min="29" max="29"/>
    <col width="8.6640625" customWidth="1" style="98" min="30" max="30"/>
    <col width="15.6640625" customWidth="1" style="1" min="31" max="31"/>
    <col width="18.33203125" customWidth="1" style="1" min="32" max="34"/>
    <col width="3.33203125" customWidth="1" style="134" min="35" max="35"/>
    <col width="10.6640625" customWidth="1" style="159" min="36" max="36"/>
    <col width="10.6640625" customWidth="1" style="15" min="37" max="38"/>
    <col width="10.6640625" customWidth="1" style="1" min="39" max="43"/>
    <col width="8.6640625" customWidth="1" style="1" min="44" max="44"/>
    <col width="13.33203125" customWidth="1" style="1" min="45" max="45"/>
    <col width="9.1640625" bestFit="1" customWidth="1" style="1" min="46" max="46"/>
    <col width="8.6640625" customWidth="1" style="1" min="47" max="16384"/>
  </cols>
  <sheetData>
    <row r="1" ht="68" customHeight="1">
      <c r="A1" s="132" t="inlineStr">
        <is>
          <t>Date</t>
        </is>
      </c>
      <c r="B1" s="129" t="inlineStr">
        <is>
          <t>Liquid Fuels/Diesel</t>
        </is>
      </c>
      <c r="C1" s="130" t="inlineStr">
        <is>
          <t>Towngas</t>
        </is>
      </c>
      <c r="D1" s="130" t="inlineStr">
        <is>
          <t>Electricity</t>
        </is>
      </c>
      <c r="E1" s="130" t="inlineStr">
        <is>
          <t>Energy (kWh)</t>
        </is>
      </c>
      <c r="F1" s="129" t="inlineStr">
        <is>
          <t>Energy per Capita</t>
        </is>
      </c>
      <c r="G1" s="129" t="inlineStr">
        <is>
          <t>Energy per GFA</t>
        </is>
      </c>
      <c r="J1" s="87" t="inlineStr">
        <is>
          <t>Date</t>
        </is>
      </c>
      <c r="K1" s="619" t="inlineStr">
        <is>
          <t>Electricity Consumption</t>
        </is>
      </c>
      <c r="L1" s="619" t="inlineStr">
        <is>
          <t>Renewable Generation (kWh)</t>
        </is>
      </c>
      <c r="M1" s="619" t="inlineStr">
        <is>
          <t>Emission Factor (kg/ KWh)</t>
        </is>
      </c>
      <c r="N1" s="619" t="inlineStr">
        <is>
          <t>Renewable Generation (CO2 tonnes)</t>
        </is>
      </c>
      <c r="O1" s="619" t="n"/>
      <c r="R1" s="248" t="inlineStr">
        <is>
          <t>Date</t>
        </is>
      </c>
      <c r="S1" s="248" t="inlineStr">
        <is>
          <t>Main Acad. Building &amp; Others</t>
        </is>
      </c>
      <c r="T1" s="248" t="inlineStr">
        <is>
          <t>Cheng Yu Tung Building</t>
        </is>
      </c>
      <c r="U1" s="248" t="inlineStr">
        <is>
          <t>Main Chiller Plant</t>
        </is>
      </c>
      <c r="V1" s="248" t="inlineStr">
        <is>
          <t>LSK Chiller Plant</t>
        </is>
      </c>
      <c r="W1" s="248" t="inlineStr">
        <is>
          <t>LSK Building</t>
        </is>
      </c>
      <c r="X1" s="248" t="inlineStr">
        <is>
          <t>IAS Building</t>
        </is>
      </c>
      <c r="Y1" s="248" t="inlineStr">
        <is>
          <t>Conference Lodge</t>
        </is>
      </c>
      <c r="Z1" s="248" t="inlineStr">
        <is>
          <t>Staff Quarter Common Area</t>
        </is>
      </c>
      <c r="AA1" s="248" t="inlineStr">
        <is>
          <t>Student Housing</t>
        </is>
      </c>
      <c r="AB1" s="248" t="inlineStr">
        <is>
          <t>Staff Quarters &amp; Commercial Outlets</t>
        </is>
      </c>
      <c r="AD1" s="104" t="inlineStr">
        <is>
          <t>Year</t>
        </is>
      </c>
      <c r="AE1" s="676" t="inlineStr">
        <is>
          <t>Total S1&amp;2</t>
        </is>
      </c>
      <c r="AF1" s="676" t="inlineStr">
        <is>
          <t>Total S3</t>
        </is>
      </c>
      <c r="AG1" s="619" t="inlineStr">
        <is>
          <t>Emissions per Capita</t>
        </is>
      </c>
      <c r="AH1" s="676" t="inlineStr">
        <is>
          <t>Emissions per GFA</t>
        </is>
      </c>
      <c r="AI1" s="157" t="n"/>
      <c r="AJ1" s="216" t="inlineStr">
        <is>
          <t>Academic Year</t>
        </is>
      </c>
      <c r="AK1" s="215" t="inlineStr">
        <is>
          <t>Actual (including renewables)</t>
        </is>
      </c>
      <c r="AL1" s="215" t="inlineStr">
        <is>
          <t>Actual</t>
        </is>
      </c>
      <c r="AM1" s="201" t="inlineStr">
        <is>
          <t>Projected</t>
        </is>
      </c>
      <c r="AN1" s="669" t="n">
        <v>2028</v>
      </c>
      <c r="AO1" s="669" t="n">
        <v>2035</v>
      </c>
      <c r="AP1" s="201" t="n">
        <v>2045</v>
      </c>
      <c r="AQ1" s="201" t="n">
        <v>2050</v>
      </c>
    </row>
    <row r="2">
      <c r="A2" s="131" t="inlineStr">
        <is>
          <t>2014/15</t>
        </is>
      </c>
      <c r="B2" s="677" t="n">
        <v>280000</v>
      </c>
      <c r="C2" s="678">
        <f>'Yearly Towngas (TGU)'!I6</f>
        <v/>
      </c>
      <c r="D2" s="9" t="n">
        <v>93067207</v>
      </c>
      <c r="E2" s="679">
        <f>SUM(B2:D2)</f>
        <v/>
      </c>
      <c r="F2" s="679">
        <f>E2/'Yearly GHG (mCO2)'!G6</f>
        <v/>
      </c>
      <c r="G2" s="679">
        <f>E2/'Yearly GHG (mCO2)'!H6</f>
        <v/>
      </c>
      <c r="J2" s="87" t="inlineStr">
        <is>
          <t>2014/15</t>
        </is>
      </c>
      <c r="K2" s="9" t="n">
        <v>93067207</v>
      </c>
      <c r="L2" s="8" t="n">
        <v>0</v>
      </c>
      <c r="M2" s="8" t="n"/>
      <c r="N2" s="8" t="n">
        <v>0</v>
      </c>
      <c r="O2" s="8" t="n"/>
      <c r="R2" s="240" t="inlineStr">
        <is>
          <t>2023/24 kWh</t>
        </is>
      </c>
      <c r="S2" s="249" t="n">
        <v>51334417</v>
      </c>
      <c r="T2" s="249" t="n">
        <v>4746630</v>
      </c>
      <c r="U2" s="249" t="n">
        <v>17653437</v>
      </c>
      <c r="V2" s="249" t="n">
        <v>1497696</v>
      </c>
      <c r="W2" s="249" t="n">
        <v>2713600</v>
      </c>
      <c r="X2" s="249" t="n">
        <v>588506</v>
      </c>
      <c r="Y2" s="249" t="n">
        <v>1478893</v>
      </c>
      <c r="Z2" s="249" t="n">
        <v>909181</v>
      </c>
      <c r="AA2" s="249" t="n">
        <v>6604565</v>
      </c>
      <c r="AB2" s="249" t="n">
        <v>9182416</v>
      </c>
      <c r="AD2" s="156" t="inlineStr">
        <is>
          <t>2014/15</t>
        </is>
      </c>
      <c r="AE2" s="680">
        <f>'Yearly GHG (mCO2)'!E6</f>
        <v/>
      </c>
      <c r="AF2" s="244">
        <f>'Yearly GHG (mCO2)'!D6</f>
        <v/>
      </c>
      <c r="AG2" s="154">
        <f>'Yearly GHG (mCO2)'!I6</f>
        <v/>
      </c>
      <c r="AH2" s="154">
        <f>'Yearly GHG (mCO2)'!J6</f>
        <v/>
      </c>
      <c r="AI2" s="158" t="n"/>
      <c r="AJ2" s="200" t="n">
        <v>2014</v>
      </c>
      <c r="AK2" s="217" t="n">
        <v>61233</v>
      </c>
      <c r="AL2" s="217" t="n">
        <v>61233</v>
      </c>
      <c r="AM2" s="217" t="n"/>
      <c r="AN2" s="217">
        <f>AK2</f>
        <v/>
      </c>
      <c r="AO2" s="681" t="n"/>
      <c r="AP2" s="682" t="n"/>
      <c r="AQ2" s="682" t="n"/>
      <c r="AS2" s="1" t="inlineStr">
        <is>
          <t>Reduction</t>
        </is>
      </c>
    </row>
    <row r="3">
      <c r="A3" s="131" t="inlineStr">
        <is>
          <t>2015/16</t>
        </is>
      </c>
      <c r="B3" s="679" t="n">
        <v>370000</v>
      </c>
      <c r="C3" s="678">
        <f>'Yearly Towngas (TGU)'!I7</f>
        <v/>
      </c>
      <c r="D3" s="9" t="n">
        <v>95800070</v>
      </c>
      <c r="E3" s="679">
        <f>SUM(B3:D3)</f>
        <v/>
      </c>
      <c r="F3" s="679">
        <f>E3/'Yearly GHG (mCO2)'!G7</f>
        <v/>
      </c>
      <c r="G3" s="679">
        <f>E3/'Yearly GHG (mCO2)'!H7</f>
        <v/>
      </c>
      <c r="J3" s="87" t="inlineStr">
        <is>
          <t>2015/16</t>
        </is>
      </c>
      <c r="K3" s="9" t="n">
        <v>95800070</v>
      </c>
      <c r="L3" s="8" t="n">
        <v>0</v>
      </c>
      <c r="M3" s="8" t="n"/>
      <c r="N3" s="8" t="n">
        <v>0</v>
      </c>
      <c r="O3" s="8" t="n"/>
      <c r="R3" s="240" t="inlineStr">
        <is>
          <t>2023/24 %</t>
        </is>
      </c>
      <c r="S3" s="250" t="n">
        <v>0.5308</v>
      </c>
      <c r="T3" s="250" t="n">
        <v>0.0491</v>
      </c>
      <c r="U3" s="250" t="n">
        <v>0.1825</v>
      </c>
      <c r="V3" s="250" t="n">
        <v>0.0155</v>
      </c>
      <c r="W3" s="250" t="n">
        <v>0.0281</v>
      </c>
      <c r="X3" s="250" t="n">
        <v>0.0061</v>
      </c>
      <c r="Y3" s="250" t="n">
        <v>0.0153</v>
      </c>
      <c r="Z3" s="250" t="n">
        <v>0.0094</v>
      </c>
      <c r="AA3" s="250" t="n">
        <v>0.0683</v>
      </c>
      <c r="AB3" s="250" t="n">
        <v>0.0949</v>
      </c>
      <c r="AD3" s="156" t="inlineStr">
        <is>
          <t>2015/16</t>
        </is>
      </c>
      <c r="AE3" s="680">
        <f>'Yearly GHG (mCO2)'!E7</f>
        <v/>
      </c>
      <c r="AF3" s="244">
        <f>'Yearly GHG (mCO2)'!D7</f>
        <v/>
      </c>
      <c r="AG3" s="154">
        <f>'Yearly GHG (mCO2)'!I7</f>
        <v/>
      </c>
      <c r="AH3" s="154">
        <f>'Yearly GHG (mCO2)'!J7</f>
        <v/>
      </c>
      <c r="AI3" s="158" t="n"/>
      <c r="AJ3" s="200" t="n">
        <v>2015</v>
      </c>
      <c r="AK3" s="217" t="n">
        <v>53624</v>
      </c>
      <c r="AL3" s="217" t="n">
        <v>53624</v>
      </c>
      <c r="AM3" s="217" t="n"/>
      <c r="AN3" s="14">
        <f>AN2+AT8</f>
        <v/>
      </c>
      <c r="AO3" s="681" t="n"/>
      <c r="AP3" s="683" t="n"/>
      <c r="AQ3" s="683" t="n"/>
      <c r="AS3" s="202" t="n">
        <v>0</v>
      </c>
      <c r="AT3" s="681">
        <f>AK2</f>
        <v/>
      </c>
    </row>
    <row r="4">
      <c r="A4" s="131" t="inlineStr">
        <is>
          <t>2016/17</t>
        </is>
      </c>
      <c r="B4" s="679" t="n">
        <v>201980.5</v>
      </c>
      <c r="C4" s="678">
        <f>'Yearly Towngas (TGU)'!I8</f>
        <v/>
      </c>
      <c r="D4" s="9" t="n">
        <v>94486358</v>
      </c>
      <c r="E4" s="679">
        <f>SUM(B4:D4)</f>
        <v/>
      </c>
      <c r="F4" s="679">
        <f>E4/'Yearly GHG (mCO2)'!G8</f>
        <v/>
      </c>
      <c r="G4" s="679">
        <f>E4/'Yearly GHG (mCO2)'!H8</f>
        <v/>
      </c>
      <c r="J4" s="87" t="inlineStr">
        <is>
          <t>2016/17</t>
        </is>
      </c>
      <c r="K4" s="9" t="n">
        <v>94486358</v>
      </c>
      <c r="L4" s="8" t="n">
        <v>0</v>
      </c>
      <c r="M4" s="8" t="n"/>
      <c r="N4" s="8" t="n">
        <v>0</v>
      </c>
      <c r="O4" s="8" t="n"/>
      <c r="R4" s="135" t="n"/>
      <c r="S4" s="128" t="n"/>
      <c r="AD4" s="156" t="inlineStr">
        <is>
          <t>2016/17</t>
        </is>
      </c>
      <c r="AE4" s="680">
        <f>'Yearly GHG (mCO2)'!E8</f>
        <v/>
      </c>
      <c r="AF4" s="244">
        <f>'Yearly GHG (mCO2)'!D8</f>
        <v/>
      </c>
      <c r="AG4" s="154">
        <f>'Yearly GHG (mCO2)'!I8</f>
        <v/>
      </c>
      <c r="AH4" s="154">
        <f>'Yearly GHG (mCO2)'!J8</f>
        <v/>
      </c>
      <c r="AI4" s="158" t="n"/>
      <c r="AJ4" s="200" t="n">
        <v>2016</v>
      </c>
      <c r="AK4" s="217" t="n">
        <v>52656</v>
      </c>
      <c r="AL4" s="217" t="n">
        <v>52656</v>
      </c>
      <c r="AM4" s="217" t="n"/>
      <c r="AN4" s="14">
        <f>AN3+AT8</f>
        <v/>
      </c>
      <c r="AO4" s="681" t="n"/>
      <c r="AP4" s="683" t="n"/>
      <c r="AQ4" s="683" t="n"/>
      <c r="AS4" s="202" t="n">
        <v>0.4</v>
      </c>
      <c r="AT4" s="681">
        <f>0.6*AK2</f>
        <v/>
      </c>
    </row>
    <row r="5">
      <c r="A5" s="131" t="inlineStr">
        <is>
          <t>2017/18</t>
        </is>
      </c>
      <c r="B5" s="679" t="n">
        <v>221452.21</v>
      </c>
      <c r="C5" s="678">
        <f>'Yearly Towngas (TGU)'!I9</f>
        <v/>
      </c>
      <c r="D5" s="9" t="n">
        <v>92966450</v>
      </c>
      <c r="E5" s="679">
        <f>SUM(B5:D5)</f>
        <v/>
      </c>
      <c r="F5" s="679">
        <f>E5/'Yearly GHG (mCO2)'!G9</f>
        <v/>
      </c>
      <c r="G5" s="679">
        <f>E5/'Yearly GHG (mCO2)'!H9</f>
        <v/>
      </c>
      <c r="J5" s="87" t="inlineStr">
        <is>
          <t>2017/18</t>
        </is>
      </c>
      <c r="K5" s="9" t="n">
        <v>92966450</v>
      </c>
      <c r="L5" s="8" t="n">
        <v>0</v>
      </c>
      <c r="M5" s="8" t="n"/>
      <c r="N5" s="8" t="n">
        <v>0</v>
      </c>
      <c r="O5" s="8" t="n"/>
      <c r="R5" s="135" t="n"/>
      <c r="S5" s="128" t="n"/>
      <c r="AD5" s="156" t="inlineStr">
        <is>
          <t>2017/18</t>
        </is>
      </c>
      <c r="AE5" s="680">
        <f>'Yearly GHG (mCO2)'!E9</f>
        <v/>
      </c>
      <c r="AF5" s="244">
        <f>'Yearly GHG (mCO2)'!D9</f>
        <v/>
      </c>
      <c r="AG5" s="154">
        <f>'Yearly GHG (mCO2)'!I9</f>
        <v/>
      </c>
      <c r="AH5" s="154">
        <f>'Yearly GHG (mCO2)'!J9</f>
        <v/>
      </c>
      <c r="AI5" s="158" t="n"/>
      <c r="AJ5" s="200" t="n">
        <v>2017</v>
      </c>
      <c r="AK5" s="217" t="n">
        <v>48813</v>
      </c>
      <c r="AL5" s="217" t="n">
        <v>48813</v>
      </c>
      <c r="AM5" s="217" t="n"/>
      <c r="AN5" s="14">
        <f>AN4+AT8</f>
        <v/>
      </c>
      <c r="AO5" s="681" t="n"/>
      <c r="AP5" s="683" t="n"/>
      <c r="AQ5" s="683" t="n"/>
      <c r="AS5" s="202" t="n">
        <v>0.5</v>
      </c>
      <c r="AT5" s="681">
        <f>0.5*AK2</f>
        <v/>
      </c>
    </row>
    <row r="6">
      <c r="A6" s="131" t="inlineStr">
        <is>
          <t>2018/19</t>
        </is>
      </c>
      <c r="B6" s="679" t="n">
        <v>205172.45</v>
      </c>
      <c r="C6" s="678">
        <f>'Yearly Towngas (TGU)'!I10</f>
        <v/>
      </c>
      <c r="D6" s="9" t="n">
        <v>90186094</v>
      </c>
      <c r="E6" s="679">
        <f>SUM(B6:D6)</f>
        <v/>
      </c>
      <c r="F6" s="679">
        <f>E6/'Yearly GHG (mCO2)'!G10</f>
        <v/>
      </c>
      <c r="G6" s="679">
        <f>E6/'Yearly GHG (mCO2)'!H10</f>
        <v/>
      </c>
      <c r="J6" s="87" t="inlineStr">
        <is>
          <t>2018/19</t>
        </is>
      </c>
      <c r="K6" s="9" t="n">
        <v>90186094</v>
      </c>
      <c r="L6" s="8" t="n">
        <v>0</v>
      </c>
      <c r="M6" s="8" t="n"/>
      <c r="N6" s="8" t="n">
        <v>0</v>
      </c>
      <c r="O6" s="8" t="n"/>
      <c r="R6" s="135" t="n"/>
      <c r="S6" s="128" t="n"/>
      <c r="AD6" s="156" t="inlineStr">
        <is>
          <t>2018/19</t>
        </is>
      </c>
      <c r="AE6" s="680">
        <f>'Yearly GHG (mCO2)'!E10</f>
        <v/>
      </c>
      <c r="AF6" s="244">
        <f>'Yearly GHG (mCO2)'!D10</f>
        <v/>
      </c>
      <c r="AG6" s="154">
        <f>'Yearly GHG (mCO2)'!I10</f>
        <v/>
      </c>
      <c r="AH6" s="154">
        <f>'Yearly GHG (mCO2)'!J10</f>
        <v/>
      </c>
      <c r="AI6" s="158" t="n"/>
      <c r="AJ6" s="200" t="n">
        <v>2018</v>
      </c>
      <c r="AK6" s="217" t="n">
        <v>47482</v>
      </c>
      <c r="AL6" s="217" t="n">
        <v>47482</v>
      </c>
      <c r="AM6" s="217" t="n"/>
      <c r="AN6" s="14">
        <f>AN5+AT8</f>
        <v/>
      </c>
      <c r="AO6" s="681" t="n"/>
      <c r="AP6" s="683" t="n"/>
      <c r="AQ6" s="683" t="n"/>
    </row>
    <row r="7">
      <c r="A7" s="131" t="inlineStr">
        <is>
          <t>2019/20</t>
        </is>
      </c>
      <c r="B7" s="679" t="n">
        <v>181092.19</v>
      </c>
      <c r="C7" s="678">
        <f>'Yearly Towngas (TGU)'!I11</f>
        <v/>
      </c>
      <c r="D7" s="9" t="n">
        <v>87353244</v>
      </c>
      <c r="E7" s="679">
        <f>SUM(B7:D7)</f>
        <v/>
      </c>
      <c r="F7" s="679">
        <f>E7/'Yearly GHG (mCO2)'!G11</f>
        <v/>
      </c>
      <c r="G7" s="679">
        <f>E7/'Yearly GHG (mCO2)'!H11</f>
        <v/>
      </c>
      <c r="J7" s="87" t="inlineStr">
        <is>
          <t>2019/20</t>
        </is>
      </c>
      <c r="K7" s="9" t="n">
        <v>87353244</v>
      </c>
      <c r="L7" s="9" t="n">
        <v>2920</v>
      </c>
      <c r="M7" s="8" t="n">
        <v>0.51</v>
      </c>
      <c r="N7" s="9">
        <f>(L7*M7)/1000</f>
        <v/>
      </c>
      <c r="O7" s="9" t="n"/>
      <c r="P7" s="684">
        <f>L7/K7</f>
        <v/>
      </c>
      <c r="R7" s="135" t="n"/>
      <c r="S7" s="128" t="n"/>
      <c r="AD7" s="156" t="inlineStr">
        <is>
          <t>2019/20</t>
        </is>
      </c>
      <c r="AE7" s="680">
        <f>'Yearly GHG (mCO2)'!E11</f>
        <v/>
      </c>
      <c r="AF7" s="244">
        <f>'Yearly GHG (mCO2)'!D11</f>
        <v/>
      </c>
      <c r="AG7" s="154">
        <f>'Yearly GHG (mCO2)'!I11</f>
        <v/>
      </c>
      <c r="AH7" s="154">
        <f>'Yearly GHG (mCO2)'!J11</f>
        <v/>
      </c>
      <c r="AI7" s="158" t="n"/>
      <c r="AJ7" s="200" t="n">
        <v>2019</v>
      </c>
      <c r="AK7" s="218">
        <f>44850-N7</f>
        <v/>
      </c>
      <c r="AL7" s="217">
        <f>44850</f>
        <v/>
      </c>
      <c r="AM7" s="217" t="n"/>
      <c r="AN7" s="14">
        <f>AN6+AT8</f>
        <v/>
      </c>
      <c r="AO7" s="681" t="n"/>
      <c r="AP7" s="683" t="n"/>
      <c r="AQ7" s="683" t="n"/>
      <c r="AS7" s="1" t="inlineStr">
        <is>
          <t>Slopes</t>
        </is>
      </c>
    </row>
    <row r="8">
      <c r="A8" s="131" t="inlineStr">
        <is>
          <t>2020/21</t>
        </is>
      </c>
      <c r="B8" s="679" t="n">
        <v>224833.4</v>
      </c>
      <c r="C8" s="678">
        <f>'Yearly Towngas (TGU)'!I12</f>
        <v/>
      </c>
      <c r="D8" s="9" t="n">
        <v>88318175</v>
      </c>
      <c r="E8" s="679">
        <f>SUM(B8:D8)</f>
        <v/>
      </c>
      <c r="F8" s="679">
        <f>E8/'Yearly GHG (mCO2)'!G12</f>
        <v/>
      </c>
      <c r="G8" s="679">
        <f>E8/'Yearly GHG (mCO2)'!H12</f>
        <v/>
      </c>
      <c r="J8" s="87" t="inlineStr">
        <is>
          <t>2020/21</t>
        </is>
      </c>
      <c r="K8" s="9" t="n">
        <v>88318175</v>
      </c>
      <c r="L8" s="9" t="n">
        <v>391443</v>
      </c>
      <c r="M8" s="8" t="n">
        <v>0.37</v>
      </c>
      <c r="N8" s="9">
        <f>(L8*M8)/1000</f>
        <v/>
      </c>
      <c r="O8" s="9" t="n"/>
      <c r="P8" s="684">
        <f>L8/K8</f>
        <v/>
      </c>
      <c r="R8" s="136" t="n"/>
      <c r="S8" s="128" t="n"/>
      <c r="AD8" s="156" t="inlineStr">
        <is>
          <t>2020/21</t>
        </is>
      </c>
      <c r="AE8" s="680">
        <f>'Yearly GHG (mCO2)'!E12</f>
        <v/>
      </c>
      <c r="AF8" s="244">
        <f>'Yearly GHG (mCO2)'!D12</f>
        <v/>
      </c>
      <c r="AG8" s="154">
        <f>'Yearly GHG (mCO2)'!I12</f>
        <v/>
      </c>
      <c r="AH8" s="154">
        <f>'Yearly GHG (mCO2)'!J12</f>
        <v/>
      </c>
      <c r="AI8" s="158" t="n"/>
      <c r="AJ8" s="200" t="n">
        <v>2020</v>
      </c>
      <c r="AK8" s="218">
        <f>33904-N8</f>
        <v/>
      </c>
      <c r="AL8" s="217">
        <f>33904</f>
        <v/>
      </c>
      <c r="AM8" s="217" t="n"/>
      <c r="AN8" s="14">
        <f>AN7+AT8</f>
        <v/>
      </c>
      <c r="AO8" s="681" t="n"/>
      <c r="AP8" s="683" t="n"/>
      <c r="AQ8" s="683" t="n"/>
      <c r="AS8" s="1" t="inlineStr">
        <is>
          <t>2028 Slope</t>
        </is>
      </c>
      <c r="AT8" s="681">
        <f>(AN16-AN2)/14</f>
        <v/>
      </c>
    </row>
    <row r="9">
      <c r="A9" s="131" t="inlineStr">
        <is>
          <t>2021/22</t>
        </is>
      </c>
      <c r="B9" s="679" t="n">
        <v>234812</v>
      </c>
      <c r="C9" s="678">
        <f>'Yearly Towngas (TGU)'!I13</f>
        <v/>
      </c>
      <c r="D9" s="9" t="n">
        <v>89692408</v>
      </c>
      <c r="E9" s="679">
        <f>SUM(B9:D9)</f>
        <v/>
      </c>
      <c r="F9" s="679">
        <f>E9/'Yearly GHG (mCO2)'!G13</f>
        <v/>
      </c>
      <c r="G9" s="679">
        <f>E9/'Yearly GHG (mCO2)'!H13</f>
        <v/>
      </c>
      <c r="J9" s="87" t="inlineStr">
        <is>
          <t>2021/22</t>
        </is>
      </c>
      <c r="K9" s="9" t="n">
        <v>89692408</v>
      </c>
      <c r="L9" s="9" t="n">
        <v>1912724</v>
      </c>
      <c r="M9" s="8" t="n">
        <v>0.39</v>
      </c>
      <c r="N9" s="9">
        <f>(L9*M9)/1000</f>
        <v/>
      </c>
      <c r="O9" s="9" t="n"/>
      <c r="P9" s="684">
        <f>L9/K9</f>
        <v/>
      </c>
      <c r="AD9" s="156" t="inlineStr">
        <is>
          <t>2021/22</t>
        </is>
      </c>
      <c r="AE9" s="680">
        <f>'Yearly GHG (mCO2)'!E13</f>
        <v/>
      </c>
      <c r="AF9" s="244">
        <f>'Yearly GHG (mCO2)'!D13</f>
        <v/>
      </c>
      <c r="AG9" s="154">
        <f>'Yearly GHG (mCO2)'!I13</f>
        <v/>
      </c>
      <c r="AH9" s="154">
        <f>'Yearly GHG (mCO2)'!J13</f>
        <v/>
      </c>
      <c r="AI9" s="158" t="n"/>
      <c r="AJ9" s="200" t="n">
        <v>2021</v>
      </c>
      <c r="AK9" s="218">
        <f>36252-N9</f>
        <v/>
      </c>
      <c r="AL9" s="217">
        <f>36252</f>
        <v/>
      </c>
      <c r="AM9" s="217" t="n"/>
      <c r="AN9" s="14">
        <f>AN8+AT8</f>
        <v/>
      </c>
      <c r="AO9" s="681" t="n"/>
      <c r="AP9" s="683" t="n"/>
      <c r="AQ9" s="683" t="n"/>
      <c r="AS9" s="1" t="inlineStr">
        <is>
          <t>2035 Slope</t>
        </is>
      </c>
      <c r="AT9" s="681">
        <f>(AO23-AO16)/(22-15)</f>
        <v/>
      </c>
    </row>
    <row r="10">
      <c r="A10" s="131" t="inlineStr">
        <is>
          <t>2022/23</t>
        </is>
      </c>
      <c r="B10" s="679" t="n">
        <v>292973.4277</v>
      </c>
      <c r="C10" s="678">
        <f>'Yearly Towngas (TGU)'!I14</f>
        <v/>
      </c>
      <c r="D10" s="9" t="n">
        <v>93932338</v>
      </c>
      <c r="E10" s="679">
        <f>SUM(B10:D10)</f>
        <v/>
      </c>
      <c r="F10" s="679">
        <f>E10/'Yearly GHG (mCO2)'!G14</f>
        <v/>
      </c>
      <c r="G10" s="679">
        <f>E10/'Yearly GHG (mCO2)'!H14</f>
        <v/>
      </c>
      <c r="H10" s="153" t="n"/>
      <c r="J10" s="87" t="inlineStr">
        <is>
          <t>2022/23</t>
        </is>
      </c>
      <c r="K10" s="9" t="n">
        <v>93932338</v>
      </c>
      <c r="L10" s="9" t="n">
        <v>2319773</v>
      </c>
      <c r="M10" s="8" t="n">
        <v>0.39</v>
      </c>
      <c r="N10" s="9">
        <f>(L10*M10)/1000</f>
        <v/>
      </c>
      <c r="O10" s="139">
        <f>(L10-L9)/L9</f>
        <v/>
      </c>
      <c r="P10" s="684">
        <f>L10/K10</f>
        <v/>
      </c>
      <c r="AD10" s="156" t="inlineStr">
        <is>
          <t>2022/23</t>
        </is>
      </c>
      <c r="AE10" s="680">
        <f>'Yearly GHG (mCO2)'!E14</f>
        <v/>
      </c>
      <c r="AF10" s="244">
        <f>'Yearly GHG (mCO2)'!D14</f>
        <v/>
      </c>
      <c r="AG10" s="154">
        <f>'Yearly GHG (mCO2)'!I14</f>
        <v/>
      </c>
      <c r="AH10" s="154">
        <f>'Yearly GHG (mCO2)'!J14</f>
        <v/>
      </c>
      <c r="AI10" s="158" t="n"/>
      <c r="AJ10" s="200" t="n">
        <v>2022</v>
      </c>
      <c r="AK10" s="218">
        <f>38014-N10</f>
        <v/>
      </c>
      <c r="AL10" s="217">
        <f>38014</f>
        <v/>
      </c>
      <c r="AM10" s="217" t="n"/>
      <c r="AN10" s="14">
        <f>AN9+AT8</f>
        <v/>
      </c>
      <c r="AO10" s="681" t="n"/>
      <c r="AP10" s="683" t="n"/>
      <c r="AQ10" s="683" t="n"/>
      <c r="AS10" s="1" t="inlineStr">
        <is>
          <t>2045 Slope</t>
        </is>
      </c>
      <c r="AT10" s="681">
        <f>(AP33-AP23)/(32-22)</f>
        <v/>
      </c>
    </row>
    <row r="11">
      <c r="A11" s="133" t="inlineStr">
        <is>
          <t>2023/24</t>
        </is>
      </c>
      <c r="B11" s="679" t="n">
        <v>243473.34</v>
      </c>
      <c r="C11" s="678">
        <f>'Yearly Towngas (TGU)'!I15</f>
        <v/>
      </c>
      <c r="D11" s="9" t="n">
        <v>96709341</v>
      </c>
      <c r="E11" s="679">
        <f>SUM(B11:D11)</f>
        <v/>
      </c>
      <c r="F11" s="679">
        <f>E11/'Yearly GHG (mCO2)'!G15</f>
        <v/>
      </c>
      <c r="G11" s="679">
        <f>E11/'Yearly GHG (mCO2)'!H15</f>
        <v/>
      </c>
      <c r="H11" s="153" t="n"/>
      <c r="J11" s="98" t="inlineStr">
        <is>
          <t>2023/24</t>
        </is>
      </c>
      <c r="K11" s="14" t="n">
        <v>96709341</v>
      </c>
      <c r="L11" s="14" t="n">
        <v>2334777</v>
      </c>
      <c r="M11" s="1" t="n">
        <v>0.39</v>
      </c>
      <c r="N11" s="494">
        <f>(L11*M11)/1000</f>
        <v/>
      </c>
      <c r="AD11" s="156" t="inlineStr">
        <is>
          <t>2023/24</t>
        </is>
      </c>
      <c r="AE11" s="680">
        <f>'Yearly GHG (mCO2)'!E15</f>
        <v/>
      </c>
      <c r="AF11" s="244">
        <f>'Yearly GHG (mCO2)'!D15</f>
        <v/>
      </c>
      <c r="AG11" s="154">
        <f>'Yearly GHG (mCO2)'!I15</f>
        <v/>
      </c>
      <c r="AH11" s="154">
        <f>'Yearly GHG (mCO2)'!J15</f>
        <v/>
      </c>
      <c r="AI11" s="158" t="n"/>
      <c r="AJ11" s="200" t="n">
        <v>2023</v>
      </c>
      <c r="AK11" s="218">
        <f>AL11-N11</f>
        <v/>
      </c>
      <c r="AL11" s="217" t="n">
        <v>40466</v>
      </c>
      <c r="AM11" s="219" t="n">
        <v>38236.3857018</v>
      </c>
      <c r="AN11" s="14">
        <f>AN10+AT8</f>
        <v/>
      </c>
      <c r="AO11" s="681" t="n"/>
      <c r="AP11" s="683" t="n"/>
      <c r="AQ11" s="683" t="n"/>
      <c r="AS11" s="1" t="inlineStr">
        <is>
          <t>2050 Slope</t>
        </is>
      </c>
      <c r="AT11" s="681">
        <f>(AQ38-AQ23)/(37-22)</f>
        <v/>
      </c>
    </row>
    <row r="12">
      <c r="A12" s="133" t="inlineStr">
        <is>
          <t>2024/25</t>
        </is>
      </c>
      <c r="B12" s="679">
        <f>'Yearly Fuel'!K16</f>
        <v/>
      </c>
      <c r="C12" s="678">
        <f>'Yearly Towngas (TGU)'!I16</f>
        <v/>
      </c>
      <c r="D12" s="9">
        <f>'Yearly Electricity Reformatted'!Q13</f>
        <v/>
      </c>
      <c r="E12" s="679">
        <f>SUM(B12:D12)</f>
        <v/>
      </c>
      <c r="F12" s="679">
        <f>E12/'Yearly GHG (mCO2)'!G16</f>
        <v/>
      </c>
      <c r="G12" s="679">
        <f>E12/'Yearly GHG (mCO2)'!H16</f>
        <v/>
      </c>
      <c r="H12" s="684" t="n"/>
      <c r="J12" s="98" t="inlineStr">
        <is>
          <t>2024/25</t>
        </is>
      </c>
      <c r="K12" s="14">
        <f>'Yearly Electricity Reformatted'!Q13</f>
        <v/>
      </c>
      <c r="L12" s="14">
        <f>'Yearly Renewable'!F11</f>
        <v/>
      </c>
      <c r="M12" s="1" t="n">
        <v>0.39</v>
      </c>
      <c r="N12" s="494">
        <f>(L12*M12)/1000</f>
        <v/>
      </c>
      <c r="AD12" s="156" t="inlineStr">
        <is>
          <t>2024/25</t>
        </is>
      </c>
      <c r="AE12" s="680">
        <f>'Yearly GHG (mCO2)'!E16</f>
        <v/>
      </c>
      <c r="AF12" s="244">
        <f>'Yearly GHG (mCO2)'!D16</f>
        <v/>
      </c>
      <c r="AG12" s="154">
        <f>'Yearly GHG (mCO2)'!I16</f>
        <v/>
      </c>
      <c r="AH12" s="154">
        <f>'Yearly GHG (mCO2)'!J16</f>
        <v/>
      </c>
      <c r="AI12" s="158" t="n"/>
      <c r="AJ12" s="200" t="n">
        <v>2024</v>
      </c>
      <c r="AK12" s="682" t="n"/>
      <c r="AL12" s="217" t="n">
        <v>41443</v>
      </c>
      <c r="AM12" s="219" t="n">
        <v>37131.51541671</v>
      </c>
      <c r="AN12" s="14">
        <f>AN11+AT8</f>
        <v/>
      </c>
      <c r="AO12" s="681" t="n"/>
      <c r="AP12" s="527" t="n"/>
      <c r="AQ12" s="683" t="n"/>
    </row>
    <row r="13">
      <c r="A13" s="133" t="inlineStr">
        <is>
          <t>2025/26</t>
        </is>
      </c>
      <c r="B13" s="685">
        <f>'Yearly Fuel'!K17</f>
        <v/>
      </c>
      <c r="C13" s="686">
        <f>'Yearly Towngas (TGU)'!I17</f>
        <v/>
      </c>
      <c r="D13" s="364">
        <f>'Yearly Electricity Reformatted'!Q14</f>
        <v/>
      </c>
      <c r="E13" s="685">
        <f>SUM(B13:D13)</f>
        <v/>
      </c>
      <c r="F13" s="685">
        <f>E13/'Yearly GHG (mCO2)'!G17</f>
        <v/>
      </c>
      <c r="G13" s="685">
        <f>E13/'Yearly GHG (mCO2)'!H17</f>
        <v/>
      </c>
      <c r="H13" s="684" t="n"/>
      <c r="O13" s="163" t="n"/>
      <c r="AD13" s="156" t="n"/>
      <c r="AE13" s="153">
        <f>AE12/AE2-1</f>
        <v/>
      </c>
      <c r="AF13" s="153">
        <f>AF12/AF2-1</f>
        <v/>
      </c>
      <c r="AG13" s="153">
        <f>AG12/AG2-1</f>
        <v/>
      </c>
      <c r="AH13" s="153">
        <f>AH12/AH2-1</f>
        <v/>
      </c>
      <c r="AI13" s="158" t="n"/>
      <c r="AJ13" s="200" t="n">
        <v>2025</v>
      </c>
      <c r="AK13" s="682" t="n"/>
      <c r="AL13" s="682" t="n"/>
      <c r="AM13" s="219" t="n">
        <v>37121.7524708745</v>
      </c>
      <c r="AN13" s="14">
        <f>AN12+AT8</f>
        <v/>
      </c>
      <c r="AO13" s="681" t="n"/>
      <c r="AP13" s="683" t="n"/>
      <c r="AQ13" s="683" t="n"/>
      <c r="AS13" s="1" t="n">
        <v>2022</v>
      </c>
      <c r="AT13" s="163">
        <f>(AK2-AK10)/AK2</f>
        <v/>
      </c>
    </row>
    <row r="14">
      <c r="D14" s="153" t="n"/>
      <c r="E14" s="153" t="n"/>
      <c r="F14" s="153" t="n"/>
      <c r="H14" s="536" t="n"/>
      <c r="AE14" s="153">
        <f>AE12/AE11-1</f>
        <v/>
      </c>
      <c r="AF14" s="153">
        <f>AF12/AF11-1</f>
        <v/>
      </c>
      <c r="AG14" s="153">
        <f>AG12/AG11-1</f>
        <v/>
      </c>
      <c r="AH14" s="153">
        <f>AH12/AH11-1</f>
        <v/>
      </c>
      <c r="AJ14" s="200" t="n">
        <v>2026</v>
      </c>
      <c r="AK14" s="682" t="n"/>
      <c r="AL14" s="682" t="n"/>
      <c r="AM14" s="219" t="n">
        <v>43405.67154</v>
      </c>
      <c r="AN14" s="14">
        <f>AN13+AT8</f>
        <v/>
      </c>
      <c r="AO14" s="681" t="n"/>
      <c r="AP14" s="683" t="n"/>
      <c r="AQ14" s="683" t="n"/>
      <c r="AS14" s="1" t="n">
        <v>2021</v>
      </c>
      <c r="AT14" s="163">
        <f>(AK9-AK2)/AK2</f>
        <v/>
      </c>
    </row>
    <row r="15">
      <c r="AJ15" s="200" t="n">
        <v>2027</v>
      </c>
      <c r="AK15" s="682" t="n"/>
      <c r="AL15" s="682" t="n"/>
      <c r="AM15" s="219" t="n">
        <v>41891.02478</v>
      </c>
      <c r="AN15" s="14">
        <f>AN14+AT8</f>
        <v/>
      </c>
      <c r="AO15" s="681" t="n"/>
      <c r="AP15" s="683" t="n"/>
      <c r="AQ15" s="683" t="n"/>
      <c r="AS15" s="1" t="n">
        <v>2023</v>
      </c>
      <c r="AT15" s="163">
        <f>(AL11-AK2)/AK2</f>
        <v/>
      </c>
    </row>
    <row r="16">
      <c r="AJ16" s="203" t="n">
        <v>2028</v>
      </c>
      <c r="AK16" s="682" t="n"/>
      <c r="AL16" s="682" t="n"/>
      <c r="AM16" s="219" t="n">
        <v>47439.7014</v>
      </c>
      <c r="AN16" s="14">
        <f>AT4</f>
        <v/>
      </c>
      <c r="AO16" s="14">
        <f>AN16</f>
        <v/>
      </c>
      <c r="AP16" s="683" t="n"/>
      <c r="AQ16" s="683" t="n"/>
      <c r="AS16" s="1" t="n">
        <v>2024</v>
      </c>
      <c r="AT16" s="163">
        <f>(AL12-AK2)/AK2</f>
        <v/>
      </c>
    </row>
    <row r="17">
      <c r="AJ17" s="200" t="n">
        <v>2029</v>
      </c>
      <c r="AK17" s="682" t="n"/>
      <c r="AL17" s="682" t="n"/>
      <c r="AM17" s="219" t="n">
        <v>45117.05464</v>
      </c>
      <c r="AN17" s="681" t="n"/>
      <c r="AO17" s="14">
        <f>AO16+AT9</f>
        <v/>
      </c>
      <c r="AP17" s="683" t="n"/>
      <c r="AQ17" s="683" t="n"/>
    </row>
    <row r="18">
      <c r="AJ18" s="200" t="n">
        <v>2030</v>
      </c>
      <c r="AK18" s="682" t="n"/>
      <c r="AL18" s="682" t="n"/>
      <c r="AM18" s="219" t="n">
        <v>49445.73126000001</v>
      </c>
      <c r="AN18" s="681" t="n"/>
      <c r="AO18" s="14">
        <f>AO17+AT9</f>
        <v/>
      </c>
      <c r="AP18" s="683" t="n"/>
      <c r="AQ18" s="683" t="n"/>
      <c r="AT18" s="1">
        <f>(AL10-AL2)/AL2*100</f>
        <v/>
      </c>
    </row>
    <row r="19">
      <c r="AJ19" s="200" t="n">
        <v>2031</v>
      </c>
      <c r="AK19" s="682" t="n"/>
      <c r="AL19" s="682" t="n"/>
      <c r="AM19" s="219" t="n">
        <v>47614.40788000001</v>
      </c>
      <c r="AN19" s="681" t="n"/>
      <c r="AO19" s="14">
        <f>AO18+AT9</f>
        <v/>
      </c>
      <c r="AP19" s="683" t="n"/>
      <c r="AQ19" s="683" t="n"/>
      <c r="AR19" s="681" t="n"/>
      <c r="AT19" s="1">
        <f>(AL11-AL2)/AL2*100</f>
        <v/>
      </c>
    </row>
    <row r="20">
      <c r="AJ20" s="200" t="n">
        <v>2032</v>
      </c>
      <c r="AK20" s="682" t="n"/>
      <c r="AL20" s="682" t="n"/>
      <c r="AM20" s="219" t="n">
        <v>44815.76112</v>
      </c>
      <c r="AN20" s="681" t="n"/>
      <c r="AO20" s="14">
        <f>AO19+AT9</f>
        <v/>
      </c>
      <c r="AP20" s="683" t="n"/>
      <c r="AQ20" s="683" t="n"/>
    </row>
    <row r="21">
      <c r="AJ21" s="200" t="n">
        <v>2033</v>
      </c>
      <c r="AK21" s="682" t="n"/>
      <c r="AL21" s="682" t="n"/>
      <c r="AM21" s="219" t="n">
        <v>42948.43774</v>
      </c>
      <c r="AN21" s="681" t="n"/>
      <c r="AO21" s="14">
        <f>AO20+AT9</f>
        <v/>
      </c>
      <c r="AP21" s="683" t="n"/>
      <c r="AQ21" s="683" t="n"/>
    </row>
    <row r="22">
      <c r="AJ22" s="200" t="n">
        <v>2034</v>
      </c>
      <c r="AK22" s="682" t="n"/>
      <c r="AL22" s="682" t="n"/>
      <c r="AM22" s="219" t="n">
        <v>41741.11436</v>
      </c>
      <c r="AN22" s="681" t="n"/>
      <c r="AO22" s="14">
        <f>AO21+AT9</f>
        <v/>
      </c>
      <c r="AP22" s="683" t="n"/>
      <c r="AQ22" s="683" t="n"/>
    </row>
    <row r="23">
      <c r="AJ23" s="203" t="n">
        <v>2035</v>
      </c>
      <c r="AK23" s="682" t="n"/>
      <c r="AL23" s="682" t="n"/>
      <c r="AM23" s="219" t="n">
        <v>39843.79098</v>
      </c>
      <c r="AN23" s="681" t="n"/>
      <c r="AO23" s="14">
        <f>AT5</f>
        <v/>
      </c>
      <c r="AP23" s="219">
        <f>AO23</f>
        <v/>
      </c>
      <c r="AQ23" s="219">
        <f>AP23</f>
        <v/>
      </c>
    </row>
    <row r="24">
      <c r="AJ24" s="200" t="n">
        <v>2036</v>
      </c>
      <c r="AK24" s="682" t="n"/>
      <c r="AL24" s="682" t="n"/>
      <c r="AM24" s="219" t="n">
        <v>39066.4676</v>
      </c>
      <c r="AN24" s="681" t="n"/>
      <c r="AO24" s="681" t="n"/>
      <c r="AP24" s="219">
        <f>AP23+AT10</f>
        <v/>
      </c>
      <c r="AQ24" s="219">
        <f>AQ23+AT11</f>
        <v/>
      </c>
    </row>
    <row r="25">
      <c r="AJ25" s="200" t="n">
        <v>2037</v>
      </c>
      <c r="AK25" s="682" t="n"/>
      <c r="AL25" s="682" t="n"/>
      <c r="AM25" s="219" t="n">
        <v>37113.14422</v>
      </c>
      <c r="AN25" s="681" t="n"/>
      <c r="AO25" s="681" t="n"/>
      <c r="AP25" s="219">
        <f>AP24+AT10</f>
        <v/>
      </c>
      <c r="AQ25" s="219">
        <f>AQ24+AT11</f>
        <v/>
      </c>
    </row>
    <row r="26">
      <c r="AJ26" s="200" t="n">
        <v>2038</v>
      </c>
      <c r="AK26" s="682" t="n"/>
      <c r="AL26" s="682" t="n"/>
      <c r="AM26" s="219" t="n">
        <v>35699.82083999999</v>
      </c>
      <c r="AN26" s="681" t="n"/>
      <c r="AO26" s="681" t="n"/>
      <c r="AP26" s="219">
        <f>AP25+AT10</f>
        <v/>
      </c>
      <c r="AQ26" s="219">
        <f>AQ25+AT11</f>
        <v/>
      </c>
    </row>
    <row r="27">
      <c r="AJ27" s="200" t="n">
        <v>2039</v>
      </c>
      <c r="AK27" s="682" t="n"/>
      <c r="AL27" s="682" t="n"/>
      <c r="AM27" s="219" t="n">
        <v>33716.49746</v>
      </c>
      <c r="AN27" s="681" t="n"/>
      <c r="AO27" s="681" t="n"/>
      <c r="AP27" s="219">
        <f>AP26+AT10</f>
        <v/>
      </c>
      <c r="AQ27" s="219">
        <f>AQ26+AT11</f>
        <v/>
      </c>
    </row>
    <row r="28">
      <c r="AJ28" s="200" t="n">
        <v>2040</v>
      </c>
      <c r="AK28" s="682" t="n"/>
      <c r="AL28" s="682" t="n"/>
      <c r="AM28" s="219" t="n">
        <v>32613.17408</v>
      </c>
      <c r="AN28" s="681" t="n"/>
      <c r="AO28" s="681" t="n"/>
      <c r="AP28" s="219">
        <f>AP27+AT10</f>
        <v/>
      </c>
      <c r="AQ28" s="219">
        <f>AQ27+AT11</f>
        <v/>
      </c>
    </row>
    <row r="29">
      <c r="AJ29" s="200" t="n">
        <v>2041</v>
      </c>
      <c r="AK29" s="682" t="n"/>
      <c r="AL29" s="682" t="n"/>
      <c r="AM29" s="219" t="n">
        <v>30574.8507</v>
      </c>
      <c r="AN29" s="681" t="n"/>
      <c r="AO29" s="681" t="n"/>
      <c r="AP29" s="219">
        <f>AP28+AT10</f>
        <v/>
      </c>
      <c r="AQ29" s="219">
        <f>AQ28+AT11</f>
        <v/>
      </c>
    </row>
    <row r="30">
      <c r="AJ30" s="200" t="n">
        <v>2042</v>
      </c>
      <c r="AK30" s="682" t="n"/>
      <c r="AL30" s="682" t="n"/>
      <c r="AM30" s="219" t="n">
        <v>31114.8507</v>
      </c>
      <c r="AN30" s="681" t="n"/>
      <c r="AO30" s="681" t="n"/>
      <c r="AP30" s="219">
        <f>AP29+AT10</f>
        <v/>
      </c>
      <c r="AQ30" s="219">
        <f>AQ29+AT11</f>
        <v/>
      </c>
    </row>
    <row r="31">
      <c r="AJ31" s="200" t="n">
        <v>2043</v>
      </c>
      <c r="AK31" s="682" t="n"/>
      <c r="AL31" s="682" t="n"/>
      <c r="AM31" s="219" t="n">
        <v>29040.52732</v>
      </c>
      <c r="AN31" s="681" t="n"/>
      <c r="AO31" s="681" t="n"/>
      <c r="AP31" s="219">
        <f>AP30+AT10</f>
        <v/>
      </c>
      <c r="AQ31" s="219">
        <f>AQ30+AT11</f>
        <v/>
      </c>
    </row>
    <row r="32">
      <c r="AJ32" s="200" t="n">
        <v>2044</v>
      </c>
      <c r="AK32" s="682" t="n"/>
      <c r="AL32" s="682" t="n"/>
      <c r="AM32" s="219" t="n">
        <v>27434.20394</v>
      </c>
      <c r="AN32" s="681" t="n"/>
      <c r="AO32" s="681" t="n"/>
      <c r="AP32" s="219">
        <f>AP31+AT10</f>
        <v/>
      </c>
      <c r="AQ32" s="219">
        <f>AQ31+AT11</f>
        <v/>
      </c>
    </row>
    <row r="33">
      <c r="AJ33" s="203" t="n">
        <v>2045</v>
      </c>
      <c r="AK33" s="682" t="n"/>
      <c r="AL33" s="682" t="n"/>
      <c r="AM33" s="219" t="n">
        <v>25323.88056</v>
      </c>
      <c r="AN33" s="681" t="n"/>
      <c r="AO33" s="681" t="n"/>
      <c r="AP33" s="219" t="n">
        <v>0</v>
      </c>
      <c r="AQ33" s="219">
        <f>AQ32+AT11</f>
        <v/>
      </c>
    </row>
    <row r="34">
      <c r="AJ34" s="200" t="n">
        <v>2046</v>
      </c>
      <c r="AK34" s="682" t="n"/>
      <c r="AL34" s="682" t="n"/>
      <c r="AM34" s="219" t="n">
        <v>25983.88056</v>
      </c>
      <c r="AN34" s="681" t="n"/>
      <c r="AO34" s="683" t="n"/>
      <c r="AP34" s="681" t="n"/>
      <c r="AQ34" s="219">
        <f>AQ33+AT11</f>
        <v/>
      </c>
    </row>
    <row r="35">
      <c r="AJ35" s="200" t="n">
        <v>2047</v>
      </c>
      <c r="AK35" s="682" t="n"/>
      <c r="AL35" s="682" t="n"/>
      <c r="AM35" s="219" t="n">
        <v>23818.55718</v>
      </c>
      <c r="AN35" s="681" t="n"/>
      <c r="AO35" s="683" t="n"/>
      <c r="AP35" s="681" t="n"/>
      <c r="AQ35" s="219">
        <f>AQ34+AT11</f>
        <v/>
      </c>
    </row>
    <row r="36">
      <c r="AJ36" s="200" t="n">
        <v>2048</v>
      </c>
      <c r="AK36" s="682" t="n"/>
      <c r="AL36" s="682" t="n"/>
      <c r="AM36" s="217" t="n">
        <v>24214.55718</v>
      </c>
      <c r="AN36" s="681" t="n"/>
      <c r="AO36" s="683" t="n"/>
      <c r="AP36" s="681" t="n"/>
      <c r="AQ36" s="219">
        <f>AQ35+AT11</f>
        <v/>
      </c>
    </row>
    <row r="37">
      <c r="AJ37" s="200" t="n">
        <v>2049</v>
      </c>
      <c r="AK37" s="682" t="n"/>
      <c r="AL37" s="682" t="n"/>
      <c r="AM37" s="217" t="n">
        <v>22013.2338</v>
      </c>
      <c r="AN37" s="681" t="n"/>
      <c r="AO37" s="683" t="n"/>
      <c r="AP37" s="681" t="n"/>
      <c r="AQ37" s="219">
        <f>AQ36+AT11</f>
        <v/>
      </c>
    </row>
    <row r="38">
      <c r="AJ38" s="203" t="n">
        <v>2050</v>
      </c>
      <c r="AK38" s="681" t="n"/>
      <c r="AL38" s="681" t="n"/>
      <c r="AM38" s="681" t="n"/>
      <c r="AN38" s="681" t="n"/>
      <c r="AO38" s="682" t="n"/>
      <c r="AP38" s="681" t="n"/>
      <c r="AQ38" s="217" t="n">
        <v>0</v>
      </c>
    </row>
    <row r="53">
      <c r="G53" s="331" t="n"/>
    </row>
    <row r="54">
      <c r="G54" s="332" t="n"/>
    </row>
    <row r="55">
      <c r="G55" s="332" t="n"/>
    </row>
    <row r="56">
      <c r="G56" s="332" t="n"/>
    </row>
    <row r="57">
      <c r="G57" s="332" t="n"/>
    </row>
    <row r="58">
      <c r="G58" s="332" t="n"/>
    </row>
    <row r="59">
      <c r="G59" s="332" t="n"/>
    </row>
    <row r="60">
      <c r="G60" s="332" t="n"/>
    </row>
    <row r="61">
      <c r="G61" s="332" t="n"/>
    </row>
    <row r="62">
      <c r="G62" s="332" t="n"/>
    </row>
    <row r="63">
      <c r="G63" s="332" t="n"/>
    </row>
    <row r="64">
      <c r="G64" s="333" t="n"/>
    </row>
    <row r="65">
      <c r="G65" s="334" t="n"/>
    </row>
    <row r="66">
      <c r="G66" s="335" t="n"/>
    </row>
    <row r="67">
      <c r="G67" s="331" t="n"/>
    </row>
    <row r="68">
      <c r="G68" s="331" t="n"/>
    </row>
    <row r="69">
      <c r="G69" s="331" t="n"/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baseColWidth="10" defaultColWidth="11.5" defaultRowHeight="16"/>
  <cols>
    <col width="11.5" customWidth="1" style="8" min="1" max="16384"/>
  </cols>
  <sheetData>
    <row r="1" ht="52" customHeight="1" thickBot="1">
      <c r="A1" s="603" t="inlineStr">
        <is>
          <t>Period</t>
        </is>
      </c>
      <c r="B1" s="596" t="inlineStr">
        <is>
          <t>LPT Bill</t>
        </is>
      </c>
      <c r="C1" s="596" t="inlineStr">
        <is>
          <t>SSQ Bill</t>
        </is>
      </c>
      <c r="D1" s="596" t="inlineStr">
        <is>
          <t>JSQ Bill</t>
        </is>
      </c>
      <c r="E1" s="596" t="inlineStr">
        <is>
          <t>VC &amp; Guest Lodge</t>
        </is>
      </c>
      <c r="F1" s="596" t="inlineStr">
        <is>
          <t>Total</t>
        </is>
      </c>
      <c r="G1" s="596" t="inlineStr">
        <is>
          <t>12-Month Rolling Sum</t>
        </is>
      </c>
    </row>
    <row r="2">
      <c r="A2" s="687" t="n">
        <v>43891</v>
      </c>
      <c r="B2" s="8" t="n">
        <v>552</v>
      </c>
      <c r="F2" s="8" t="n">
        <v>552</v>
      </c>
      <c r="G2" s="9">
        <f>SUM(F2:F13)</f>
        <v/>
      </c>
    </row>
    <row r="3">
      <c r="A3" s="687" t="n">
        <v>43922</v>
      </c>
      <c r="B3" s="8" t="n">
        <v>832</v>
      </c>
      <c r="F3" s="8" t="n">
        <v>832</v>
      </c>
      <c r="G3" s="9">
        <f>SUM(F3:F14)</f>
        <v/>
      </c>
    </row>
    <row r="4">
      <c r="A4" s="687" t="n">
        <v>43952</v>
      </c>
      <c r="B4" s="8" t="n">
        <v>756</v>
      </c>
      <c r="F4" s="8" t="n">
        <v>756</v>
      </c>
      <c r="G4" s="9">
        <f>SUM(F4:F15)</f>
        <v/>
      </c>
    </row>
    <row r="5">
      <c r="A5" s="687" t="n">
        <v>43983</v>
      </c>
      <c r="B5" s="8" t="n">
        <v>780</v>
      </c>
      <c r="F5" s="8" t="n">
        <v>780</v>
      </c>
      <c r="G5" s="9">
        <f>SUM(F5:F16)</f>
        <v/>
      </c>
    </row>
    <row r="6">
      <c r="A6" s="687" t="n">
        <v>44013</v>
      </c>
      <c r="B6" s="8" t="n">
        <v>954</v>
      </c>
      <c r="F6" s="8" t="n">
        <v>954</v>
      </c>
      <c r="G6" s="9">
        <f>SUM(F6:F17)</f>
        <v/>
      </c>
    </row>
    <row r="7">
      <c r="A7" s="687" t="n">
        <v>44044</v>
      </c>
      <c r="B7" s="9" t="n">
        <v>1462</v>
      </c>
      <c r="F7" s="9" t="n">
        <v>1462</v>
      </c>
      <c r="G7" s="9">
        <f>SUM(F7:F18)</f>
        <v/>
      </c>
    </row>
    <row r="8">
      <c r="A8" s="687" t="n">
        <v>44075</v>
      </c>
      <c r="B8" s="9" t="n">
        <v>1419</v>
      </c>
      <c r="F8" s="9" t="n">
        <v>1419</v>
      </c>
      <c r="G8" s="9">
        <f>SUM(F8:F19)</f>
        <v/>
      </c>
    </row>
    <row r="9">
      <c r="A9" s="687" t="n">
        <v>44105</v>
      </c>
      <c r="B9" s="9" t="n">
        <v>1699</v>
      </c>
      <c r="F9" s="9" t="n">
        <v>1699</v>
      </c>
      <c r="G9" s="9">
        <f>SUM(F9:F20)</f>
        <v/>
      </c>
    </row>
    <row r="10">
      <c r="A10" s="687" t="n">
        <v>44136</v>
      </c>
      <c r="B10" s="9" t="n">
        <v>1498</v>
      </c>
      <c r="F10" s="9" t="n">
        <v>1498</v>
      </c>
      <c r="G10" s="9">
        <f>SUM(F10:F21)</f>
        <v/>
      </c>
    </row>
    <row r="11">
      <c r="A11" s="687" t="n">
        <v>44166</v>
      </c>
      <c r="B11" s="9" t="n">
        <v>7001</v>
      </c>
      <c r="F11" s="9" t="n">
        <v>7001</v>
      </c>
      <c r="G11" s="9">
        <f>SUM(F11:F22)</f>
        <v/>
      </c>
    </row>
    <row r="12">
      <c r="A12" s="688" t="n">
        <v>44197</v>
      </c>
      <c r="B12" s="9" t="n">
        <v>8076</v>
      </c>
      <c r="F12" s="9" t="n">
        <v>8076</v>
      </c>
      <c r="G12" s="9">
        <f>SUM(F12:F23)</f>
        <v/>
      </c>
    </row>
    <row r="13">
      <c r="A13" s="688" t="n">
        <v>44228</v>
      </c>
      <c r="B13" s="9" t="n">
        <v>23018</v>
      </c>
      <c r="F13" s="9" t="n">
        <v>23018</v>
      </c>
      <c r="G13" s="9">
        <f>SUM(F13:F24)</f>
        <v/>
      </c>
    </row>
    <row r="14">
      <c r="A14" s="688" t="n">
        <v>44256</v>
      </c>
      <c r="B14" s="9" t="n">
        <v>49829</v>
      </c>
      <c r="F14" s="9" t="n">
        <v>49829</v>
      </c>
      <c r="G14" s="9">
        <f>SUM(F14:F25)</f>
        <v/>
      </c>
    </row>
    <row r="15">
      <c r="A15" s="688" t="n">
        <v>44287</v>
      </c>
      <c r="B15" s="9" t="n">
        <v>55827</v>
      </c>
      <c r="F15" s="9" t="n">
        <v>55827</v>
      </c>
      <c r="G15" s="9">
        <f>SUM(F15:F26)</f>
        <v/>
      </c>
    </row>
    <row r="16">
      <c r="A16" s="688" t="n">
        <v>44317</v>
      </c>
      <c r="B16" s="9" t="n">
        <v>129702</v>
      </c>
      <c r="F16" s="9" t="n">
        <v>129702</v>
      </c>
      <c r="G16" s="9">
        <f>SUM(F16:F27)</f>
        <v/>
      </c>
    </row>
    <row r="17">
      <c r="A17" s="688" t="n">
        <v>44348</v>
      </c>
      <c r="B17" s="9" t="n">
        <v>110958</v>
      </c>
      <c r="F17" s="9" t="n">
        <v>110958</v>
      </c>
      <c r="G17" s="9">
        <f>SUM(F17:F28)</f>
        <v/>
      </c>
    </row>
    <row r="18">
      <c r="A18" s="688" t="n">
        <v>44378</v>
      </c>
      <c r="B18" s="9" t="n">
        <v>160133</v>
      </c>
      <c r="C18" s="8" t="n">
        <v>0</v>
      </c>
      <c r="F18" s="9" t="n">
        <v>160133</v>
      </c>
      <c r="G18" s="9">
        <f>SUM(F18:F29)</f>
        <v/>
      </c>
    </row>
    <row r="19">
      <c r="A19" s="688" t="n">
        <v>44409</v>
      </c>
      <c r="B19" s="9" t="n">
        <v>147598</v>
      </c>
      <c r="C19" s="9" t="n">
        <v>8279</v>
      </c>
      <c r="D19" s="9" t="n">
        <v>3427</v>
      </c>
      <c r="F19" s="9" t="n">
        <v>159304</v>
      </c>
      <c r="G19" s="9">
        <f>SUM(F19:F30)</f>
        <v/>
      </c>
    </row>
    <row r="20">
      <c r="A20" s="688" t="n">
        <v>44440</v>
      </c>
      <c r="B20" s="9" t="n">
        <v>180730</v>
      </c>
      <c r="C20" s="9" t="n">
        <v>23799</v>
      </c>
      <c r="D20" s="9" t="n">
        <v>11349</v>
      </c>
      <c r="F20" s="9" t="n">
        <v>215878</v>
      </c>
      <c r="G20" s="9">
        <f>SUM(F20:F31)</f>
        <v/>
      </c>
    </row>
    <row r="21">
      <c r="A21" s="688" t="n">
        <v>44470</v>
      </c>
      <c r="B21" s="9" t="n">
        <v>122185</v>
      </c>
      <c r="C21" s="9" t="n">
        <v>9107</v>
      </c>
      <c r="D21" s="9" t="n">
        <v>7922</v>
      </c>
      <c r="F21" s="9" t="n">
        <v>139214</v>
      </c>
      <c r="G21" s="9">
        <f>SUM(F21:F32)</f>
        <v/>
      </c>
    </row>
    <row r="22">
      <c r="A22" s="688" t="n">
        <v>44501</v>
      </c>
      <c r="B22" s="9" t="n">
        <v>144397</v>
      </c>
      <c r="C22" s="9" t="n">
        <v>13911</v>
      </c>
      <c r="D22" s="9" t="n">
        <v>11770</v>
      </c>
      <c r="F22" s="9" t="n">
        <v>170078</v>
      </c>
      <c r="G22" s="9">
        <f>SUM(F22:F33)</f>
        <v/>
      </c>
    </row>
    <row r="23">
      <c r="A23" s="688" t="n">
        <v>44531</v>
      </c>
      <c r="B23" s="9" t="n">
        <v>117181</v>
      </c>
      <c r="C23" s="9" t="n">
        <v>6562</v>
      </c>
      <c r="D23" s="9" t="n">
        <v>5230</v>
      </c>
      <c r="F23" s="9" t="n">
        <v>128973</v>
      </c>
      <c r="G23" s="9">
        <f>SUM(F23:F34)</f>
        <v/>
      </c>
    </row>
    <row r="24">
      <c r="A24" s="689" t="n">
        <v>44562</v>
      </c>
      <c r="B24" s="9" t="n">
        <v>94201</v>
      </c>
      <c r="C24" s="9" t="n">
        <v>4908</v>
      </c>
      <c r="D24" s="9" t="n">
        <v>4004</v>
      </c>
      <c r="F24" s="9" t="n">
        <v>103113</v>
      </c>
      <c r="G24" s="9">
        <f>SUM(F24:F35)</f>
        <v/>
      </c>
    </row>
    <row r="25">
      <c r="A25" s="689" t="n">
        <v>44594</v>
      </c>
      <c r="B25" s="9" t="n">
        <v>107196</v>
      </c>
      <c r="C25" s="9" t="n">
        <v>4891</v>
      </c>
      <c r="D25" s="9" t="n">
        <v>4180</v>
      </c>
      <c r="F25" s="9" t="n">
        <v>116267</v>
      </c>
      <c r="G25" s="9">
        <f>SUM(F25:F36)</f>
        <v/>
      </c>
    </row>
    <row r="26">
      <c r="A26" s="689" t="n">
        <v>44626</v>
      </c>
      <c r="B26" s="9" t="n">
        <v>145751</v>
      </c>
      <c r="C26" s="9" t="n">
        <v>7025</v>
      </c>
      <c r="D26" s="9" t="n">
        <v>6137</v>
      </c>
      <c r="F26" s="9" t="n">
        <v>158916</v>
      </c>
      <c r="G26" s="9">
        <f>SUM(F26:F37)</f>
        <v/>
      </c>
    </row>
    <row r="27">
      <c r="A27" s="689" t="n">
        <v>44652</v>
      </c>
      <c r="B27" s="9" t="n">
        <v>201510</v>
      </c>
      <c r="C27" s="9" t="n">
        <v>8833</v>
      </c>
      <c r="D27" s="9" t="n">
        <v>7666</v>
      </c>
      <c r="F27" s="9" t="n">
        <v>218009</v>
      </c>
      <c r="G27" s="9">
        <f>SUM(F27:F38)</f>
        <v/>
      </c>
    </row>
    <row r="28">
      <c r="A28" s="689" t="n">
        <v>44682</v>
      </c>
      <c r="B28" s="9" t="n">
        <v>144961</v>
      </c>
      <c r="C28" s="9" t="n">
        <v>6611</v>
      </c>
      <c r="D28" s="9" t="n">
        <v>5788</v>
      </c>
      <c r="F28" s="9" t="n">
        <v>157360</v>
      </c>
      <c r="G28" s="9">
        <f>SUM(F28:F39)</f>
        <v/>
      </c>
    </row>
    <row r="29">
      <c r="A29" s="689" t="n">
        <v>44713</v>
      </c>
      <c r="B29" s="9" t="n">
        <v>171373</v>
      </c>
      <c r="C29" s="9" t="n">
        <v>7469</v>
      </c>
      <c r="D29" s="9" t="n">
        <v>6637</v>
      </c>
      <c r="F29" s="9" t="n">
        <v>185479</v>
      </c>
      <c r="G29" s="9">
        <f>SUM(F29:F40)</f>
        <v/>
      </c>
    </row>
    <row r="30">
      <c r="A30" s="689" t="n">
        <v>44743</v>
      </c>
      <c r="B30" s="9" t="n">
        <v>230422</v>
      </c>
      <c r="C30" s="9" t="n">
        <v>9293</v>
      </c>
      <c r="D30" s="9" t="n">
        <v>8264</v>
      </c>
      <c r="F30" s="9" t="n">
        <v>247979</v>
      </c>
      <c r="G30" s="9">
        <f>SUM(F30:F41)</f>
        <v/>
      </c>
    </row>
    <row r="31">
      <c r="A31" s="689" t="n">
        <v>44774</v>
      </c>
      <c r="B31" s="9" t="n">
        <v>203653</v>
      </c>
      <c r="C31" s="9" t="n">
        <v>8863</v>
      </c>
      <c r="D31" s="9" t="n">
        <v>8537</v>
      </c>
      <c r="F31" s="9" t="n">
        <v>221053</v>
      </c>
      <c r="G31" s="9">
        <f>SUM(F31:F42)</f>
        <v/>
      </c>
    </row>
    <row r="32">
      <c r="A32" s="689" t="n">
        <v>44805</v>
      </c>
      <c r="B32" s="9" t="n">
        <v>233094</v>
      </c>
      <c r="C32" s="9" t="n">
        <v>9819</v>
      </c>
      <c r="D32" s="9" t="n">
        <v>11761</v>
      </c>
      <c r="F32" s="9" t="n">
        <v>254674</v>
      </c>
      <c r="G32" s="9">
        <f>SUM(F32:F43)</f>
        <v/>
      </c>
    </row>
    <row r="33">
      <c r="A33" s="689" t="n">
        <v>44835</v>
      </c>
      <c r="B33" s="9" t="n">
        <v>200012</v>
      </c>
      <c r="C33" s="9" t="n">
        <v>8625</v>
      </c>
      <c r="D33" s="9" t="n">
        <v>10888</v>
      </c>
      <c r="F33" s="9" t="n">
        <v>219525</v>
      </c>
      <c r="G33" s="9">
        <f>SUM(F33:F44)</f>
        <v/>
      </c>
    </row>
    <row r="34">
      <c r="A34" s="689" t="n">
        <v>44866</v>
      </c>
      <c r="B34" s="9" t="n">
        <v>121174</v>
      </c>
      <c r="C34" s="9" t="n">
        <v>5168</v>
      </c>
      <c r="D34" s="9" t="n">
        <v>6564</v>
      </c>
      <c r="F34" s="9" t="n">
        <v>132906</v>
      </c>
      <c r="G34" s="9">
        <f>SUM(F34:F45)</f>
        <v/>
      </c>
    </row>
    <row r="35">
      <c r="A35" s="689" t="n">
        <v>44896</v>
      </c>
      <c r="B35" s="9" t="n">
        <v>149807</v>
      </c>
      <c r="C35" s="9" t="n">
        <v>6724</v>
      </c>
      <c r="D35" s="9" t="n">
        <v>8310</v>
      </c>
      <c r="F35" s="9" t="n">
        <v>164841</v>
      </c>
      <c r="G35" s="9">
        <f>SUM(F35:F46)</f>
        <v/>
      </c>
    </row>
    <row r="36">
      <c r="A36" s="690" t="n">
        <v>44927</v>
      </c>
      <c r="B36" s="9" t="n">
        <v>139675</v>
      </c>
      <c r="C36" s="9" t="n">
        <v>6044</v>
      </c>
      <c r="D36" s="9" t="n">
        <v>7489</v>
      </c>
      <c r="F36" s="9" t="n">
        <v>153208</v>
      </c>
      <c r="G36" s="9">
        <f>SUM(F36:F47)</f>
        <v/>
      </c>
    </row>
    <row r="37">
      <c r="A37" s="690" t="n">
        <v>44958</v>
      </c>
      <c r="B37" s="9" t="n">
        <v>166577</v>
      </c>
      <c r="C37" s="9" t="n">
        <v>6916</v>
      </c>
      <c r="D37" s="9" t="n">
        <v>8582</v>
      </c>
      <c r="F37" s="9" t="n">
        <v>182075</v>
      </c>
      <c r="G37" s="9">
        <f>SUM(F37:F48)</f>
        <v/>
      </c>
    </row>
    <row r="38">
      <c r="A38" s="690" t="n">
        <v>44986</v>
      </c>
      <c r="B38" s="9" t="n">
        <v>166701</v>
      </c>
      <c r="C38" s="9" t="n">
        <v>6502</v>
      </c>
      <c r="D38" s="9" t="n">
        <v>8075</v>
      </c>
      <c r="E38" s="9" t="n">
        <v>2742</v>
      </c>
      <c r="F38" s="9" t="n">
        <v>184020</v>
      </c>
      <c r="G38" s="9">
        <f>SUM(F38:F49)</f>
        <v/>
      </c>
    </row>
    <row r="39">
      <c r="A39" s="690" t="n">
        <v>45017</v>
      </c>
      <c r="B39" s="9" t="n">
        <v>117085</v>
      </c>
      <c r="C39" s="9" t="n">
        <v>4635</v>
      </c>
      <c r="D39" s="9" t="n">
        <v>5779</v>
      </c>
      <c r="E39" s="8" t="n">
        <v>781</v>
      </c>
      <c r="F39" s="9" t="n">
        <v>128280</v>
      </c>
      <c r="G39" s="9">
        <f>SUM(F39:F50)</f>
        <v/>
      </c>
    </row>
    <row r="40">
      <c r="A40" s="690" t="n">
        <v>45047</v>
      </c>
      <c r="B40" s="9" t="n">
        <v>177122</v>
      </c>
      <c r="C40" s="9" t="n">
        <v>6807</v>
      </c>
      <c r="D40" s="9" t="n">
        <v>8365</v>
      </c>
      <c r="E40" s="9" t="n">
        <v>1158</v>
      </c>
      <c r="F40" s="9" t="n">
        <v>193452</v>
      </c>
      <c r="G40" s="9">
        <f>SUM(F40:F51)</f>
        <v/>
      </c>
    </row>
    <row r="41">
      <c r="A41" s="690" t="n">
        <v>45078</v>
      </c>
      <c r="B41" s="9" t="n">
        <v>224897</v>
      </c>
      <c r="C41" s="9" t="n">
        <v>7772</v>
      </c>
      <c r="D41" s="9" t="n">
        <v>9772</v>
      </c>
      <c r="E41" s="9" t="n">
        <v>1352</v>
      </c>
      <c r="F41" s="9" t="n">
        <v>243793</v>
      </c>
      <c r="G41" s="9">
        <f>SUM(F41:F52)</f>
        <v/>
      </c>
    </row>
    <row r="42">
      <c r="A42" s="690" t="n">
        <v>45108</v>
      </c>
      <c r="B42" s="9" t="n">
        <v>255467</v>
      </c>
      <c r="C42" s="9" t="n">
        <v>9081</v>
      </c>
      <c r="D42" s="9" t="n">
        <v>12814</v>
      </c>
      <c r="E42" s="9" t="n">
        <v>1557</v>
      </c>
      <c r="F42" s="9" t="n">
        <v>278919</v>
      </c>
      <c r="G42" s="9">
        <f>SUM(F42:F53)</f>
        <v/>
      </c>
      <c r="I42" s="9" t="n"/>
    </row>
    <row r="43">
      <c r="A43" s="690" t="n">
        <v>45139</v>
      </c>
      <c r="B43" s="9" t="n">
        <v>260667</v>
      </c>
      <c r="C43" s="9" t="n">
        <v>8733</v>
      </c>
      <c r="D43" s="9" t="n">
        <v>14748</v>
      </c>
      <c r="E43" s="9" t="n">
        <v>1494</v>
      </c>
      <c r="F43" s="9" t="n">
        <v>285642</v>
      </c>
      <c r="G43" s="9">
        <f>SUM(F43:F54)</f>
        <v/>
      </c>
      <c r="I43" s="9" t="n"/>
    </row>
    <row r="44">
      <c r="A44" s="690" t="n">
        <v>45170</v>
      </c>
      <c r="B44" s="9" t="n">
        <v>193050</v>
      </c>
      <c r="C44" s="9" t="n">
        <v>6417</v>
      </c>
      <c r="D44" s="9" t="n">
        <v>10761</v>
      </c>
      <c r="E44" s="9" t="n">
        <v>1102</v>
      </c>
      <c r="F44" s="9" t="n">
        <v>211330</v>
      </c>
      <c r="G44" s="9">
        <f>SUM(F44:F55)</f>
        <v/>
      </c>
      <c r="I44" s="9" t="n"/>
    </row>
    <row r="45">
      <c r="A45" s="690" t="n">
        <v>45200</v>
      </c>
      <c r="B45" s="9" t="n">
        <v>187049</v>
      </c>
      <c r="C45" s="9" t="n">
        <v>6214</v>
      </c>
      <c r="D45" s="9" t="n">
        <v>10597</v>
      </c>
      <c r="E45" s="8" t="n">
        <v>997</v>
      </c>
      <c r="F45" s="9" t="n">
        <v>204857</v>
      </c>
      <c r="G45" s="9">
        <f>SUM(F45:F56)</f>
        <v/>
      </c>
      <c r="I45" s="9" t="n"/>
    </row>
    <row r="46">
      <c r="A46" s="690" t="n">
        <v>45231</v>
      </c>
      <c r="B46" s="9" t="n">
        <v>199647</v>
      </c>
      <c r="C46" s="9" t="n">
        <v>6841</v>
      </c>
      <c r="D46" s="9" t="n">
        <v>11363</v>
      </c>
      <c r="E46" s="9" t="n">
        <v>1007</v>
      </c>
      <c r="F46" s="9" t="n">
        <v>218858</v>
      </c>
      <c r="G46" s="9">
        <f>SUM(F46:F57)</f>
        <v/>
      </c>
      <c r="I46" s="9" t="n"/>
    </row>
    <row r="47">
      <c r="A47" s="690" t="n">
        <v>45262</v>
      </c>
      <c r="B47" s="9" t="n">
        <v>129813</v>
      </c>
      <c r="C47" s="9" t="n">
        <v>4941</v>
      </c>
      <c r="D47" s="9" t="n">
        <v>7827</v>
      </c>
      <c r="E47" s="8" t="n">
        <v>697</v>
      </c>
      <c r="F47" s="9" t="n">
        <v>143278</v>
      </c>
      <c r="G47" s="9">
        <f>SUM(F47:F58)</f>
        <v/>
      </c>
      <c r="I47" s="9" t="n"/>
    </row>
    <row r="48">
      <c r="A48" s="688" t="n">
        <v>45292</v>
      </c>
      <c r="B48" s="9" t="n">
        <v>174410</v>
      </c>
      <c r="C48" s="9" t="n">
        <v>6432</v>
      </c>
      <c r="D48" s="9" t="n">
        <v>9963</v>
      </c>
      <c r="E48" s="8" t="n">
        <v>893</v>
      </c>
      <c r="F48" s="9" t="n">
        <v>191698</v>
      </c>
      <c r="G48" s="9">
        <f>SUM(F48:F59)</f>
        <v/>
      </c>
      <c r="I48" s="9" t="n"/>
    </row>
    <row r="49">
      <c r="A49" s="688" t="n">
        <v>45323</v>
      </c>
      <c r="B49" s="9" t="n">
        <v>121311</v>
      </c>
      <c r="C49" s="9" t="n">
        <v>4299</v>
      </c>
      <c r="D49" s="9" t="n">
        <v>6964</v>
      </c>
      <c r="E49" s="8" t="n">
        <v>663</v>
      </c>
      <c r="F49" s="9" t="n">
        <v>133237</v>
      </c>
      <c r="G49" s="9">
        <f>SUM(F49:F60)</f>
        <v/>
      </c>
      <c r="I49" s="9" t="n"/>
    </row>
    <row r="50">
      <c r="A50" s="688" t="n">
        <v>45352</v>
      </c>
      <c r="B50" s="9" t="n">
        <v>134186</v>
      </c>
      <c r="C50" s="9" t="n">
        <v>4480</v>
      </c>
      <c r="D50" s="9" t="n">
        <v>7675</v>
      </c>
      <c r="E50" s="8" t="n">
        <v>780</v>
      </c>
      <c r="F50" s="9" t="n">
        <v>147121</v>
      </c>
      <c r="G50" s="9">
        <f>SUM(F50:F61)</f>
        <v/>
      </c>
      <c r="I50" s="9" t="n"/>
    </row>
    <row r="51">
      <c r="A51" s="688" t="n">
        <v>45383</v>
      </c>
      <c r="B51" s="9" t="n">
        <v>158138</v>
      </c>
      <c r="C51" s="9" t="n">
        <v>4962</v>
      </c>
      <c r="D51" s="9" t="n">
        <v>8465</v>
      </c>
      <c r="E51" s="8" t="n">
        <v>911</v>
      </c>
      <c r="F51" s="9" t="n">
        <v>172476</v>
      </c>
      <c r="G51" s="9">
        <f>SUM(F51:F62)</f>
        <v/>
      </c>
      <c r="I51" s="9" t="n"/>
    </row>
    <row r="52">
      <c r="A52" s="688" t="n">
        <v>45413</v>
      </c>
      <c r="B52" s="9" t="n">
        <v>148658</v>
      </c>
      <c r="C52" s="9" t="n">
        <v>4817</v>
      </c>
      <c r="D52" s="9" t="n">
        <v>8203</v>
      </c>
      <c r="E52" s="8" t="n">
        <v>877</v>
      </c>
      <c r="F52" s="9" t="n">
        <v>162555</v>
      </c>
      <c r="G52" s="9">
        <f>SUM(F52:F63)</f>
        <v/>
      </c>
      <c r="I52" s="9" t="n"/>
    </row>
    <row r="53">
      <c r="A53" s="688" t="n">
        <v>45444</v>
      </c>
      <c r="B53" s="9" t="n">
        <v>169781</v>
      </c>
      <c r="C53" s="9" t="n">
        <v>5346</v>
      </c>
      <c r="D53" s="9" t="n">
        <v>8682</v>
      </c>
      <c r="E53" s="8" t="n">
        <v>997</v>
      </c>
      <c r="F53" s="9" t="n">
        <v>184806</v>
      </c>
      <c r="G53" s="9">
        <f>SUM(F53:F64)</f>
        <v/>
      </c>
      <c r="I53" s="9" t="n"/>
    </row>
    <row r="54">
      <c r="A54" s="688" t="n">
        <v>45474</v>
      </c>
      <c r="B54" s="9" t="n">
        <v>271216</v>
      </c>
      <c r="C54" s="9" t="n">
        <v>8017</v>
      </c>
      <c r="D54" s="9" t="n">
        <v>13210</v>
      </c>
      <c r="E54" s="9" t="n">
        <v>1478</v>
      </c>
      <c r="F54" s="9" t="n">
        <v>293921</v>
      </c>
      <c r="G54" s="9">
        <f>SUM(F54:F65)</f>
        <v/>
      </c>
    </row>
    <row r="55">
      <c r="A55" s="688" t="n">
        <v>45505</v>
      </c>
      <c r="B55" s="9" t="n">
        <v>247484</v>
      </c>
      <c r="C55" s="9" t="n">
        <v>7185</v>
      </c>
      <c r="D55" s="9" t="n">
        <v>13032</v>
      </c>
      <c r="E55" s="9" t="n">
        <v>1478</v>
      </c>
      <c r="F55" s="9" t="n">
        <v>269179</v>
      </c>
      <c r="G55" s="9">
        <f>SUM(F55:F66)</f>
        <v/>
      </c>
    </row>
    <row r="56">
      <c r="A56" s="691" t="n">
        <v>45536</v>
      </c>
      <c r="B56" s="9" t="n">
        <v>229493</v>
      </c>
      <c r="C56" s="9" t="n">
        <v>7308</v>
      </c>
      <c r="D56" s="9" t="n">
        <v>12763</v>
      </c>
      <c r="E56" s="9" t="n">
        <v>1253</v>
      </c>
      <c r="F56" s="9" t="n">
        <v>250817</v>
      </c>
      <c r="G56" s="9">
        <f>SUM(F56:F67)</f>
        <v/>
      </c>
      <c r="I56" s="9" t="n"/>
    </row>
    <row r="57">
      <c r="A57" s="691" t="n">
        <v>45566</v>
      </c>
      <c r="B57" s="9" t="n">
        <v>228267</v>
      </c>
      <c r="C57" s="9" t="n">
        <v>8164</v>
      </c>
      <c r="D57" s="9" t="n">
        <v>13658</v>
      </c>
      <c r="E57" s="9" t="n">
        <v>1187</v>
      </c>
      <c r="F57" s="9" t="n">
        <v>251276</v>
      </c>
      <c r="G57" s="9">
        <f>SUM(F57:F68)</f>
        <v/>
      </c>
    </row>
    <row r="58">
      <c r="A58" s="691" t="n">
        <v>45597</v>
      </c>
      <c r="B58" s="9" t="n">
        <v>159696</v>
      </c>
      <c r="C58" s="9" t="n">
        <v>5892</v>
      </c>
      <c r="D58" s="9" t="n">
        <v>9501</v>
      </c>
      <c r="E58" s="9" t="n">
        <v>822</v>
      </c>
      <c r="F58" s="9" t="n">
        <v>175911</v>
      </c>
      <c r="G58" s="9">
        <f>SUM(F58:F69)</f>
        <v/>
      </c>
    </row>
    <row r="59">
      <c r="A59" s="691" t="n">
        <v>45627</v>
      </c>
      <c r="B59" s="9" t="n">
        <v>183992</v>
      </c>
      <c r="C59" s="9" t="n">
        <v>6211</v>
      </c>
      <c r="D59" s="9" t="n">
        <v>10830</v>
      </c>
      <c r="E59" s="9" t="n">
        <v>936</v>
      </c>
      <c r="F59" s="9" t="n">
        <v>201969</v>
      </c>
      <c r="G59" s="9">
        <f>SUM(F59:F70)</f>
        <v/>
      </c>
    </row>
    <row r="60">
      <c r="A60" s="692" t="n">
        <v>45658</v>
      </c>
      <c r="B60" s="9" t="n">
        <v>183992</v>
      </c>
      <c r="C60" s="9" t="n">
        <v>6211</v>
      </c>
      <c r="D60" s="9" t="n">
        <v>10830</v>
      </c>
      <c r="E60" s="9" t="n">
        <v>936</v>
      </c>
      <c r="F60" s="9" t="n">
        <v>201969</v>
      </c>
      <c r="G60" s="693">
        <f>SUM(F60:F71)</f>
        <v/>
      </c>
    </row>
    <row r="61">
      <c r="A61" s="692" t="n">
        <v>45690</v>
      </c>
      <c r="B61" s="9" t="n">
        <v>170083</v>
      </c>
      <c r="C61" s="9" t="n">
        <v>5821</v>
      </c>
      <c r="D61" s="9" t="n">
        <v>10743</v>
      </c>
      <c r="E61" s="9" t="n">
        <v>911</v>
      </c>
      <c r="F61" s="9" t="n">
        <v>187558</v>
      </c>
      <c r="G61" s="693">
        <f>SUM(F61:F72)</f>
        <v/>
      </c>
    </row>
    <row r="62">
      <c r="A62" s="692" t="n">
        <v>45719</v>
      </c>
      <c r="B62" s="9" t="n">
        <v>186259</v>
      </c>
      <c r="C62" s="9" t="n">
        <v>6551</v>
      </c>
      <c r="D62" s="9" t="n">
        <v>11065</v>
      </c>
      <c r="E62" s="9" t="n">
        <v>993</v>
      </c>
      <c r="F62" s="9" t="n">
        <v>204868</v>
      </c>
      <c r="G62" s="693">
        <f>SUM(F62:F73)</f>
        <v/>
      </c>
    </row>
    <row r="63">
      <c r="A63" s="692" t="n">
        <v>45751</v>
      </c>
      <c r="B63" s="9" t="n">
        <v>210888</v>
      </c>
      <c r="C63" s="9" t="n">
        <v>7707</v>
      </c>
      <c r="D63" s="9" t="n">
        <v>13077</v>
      </c>
      <c r="E63" s="9" t="n">
        <v>1207</v>
      </c>
      <c r="F63" s="9" t="n">
        <v>232879</v>
      </c>
      <c r="G63" s="693">
        <f>SUM(F63:F74)</f>
        <v/>
      </c>
    </row>
    <row r="64">
      <c r="A64" s="692" t="n">
        <v>45783</v>
      </c>
      <c r="B64" s="9" t="n">
        <v>201460</v>
      </c>
      <c r="C64" s="9" t="n">
        <v>6772</v>
      </c>
      <c r="D64" s="9" t="n">
        <v>11948</v>
      </c>
      <c r="E64" s="9" t="n">
        <v>1166</v>
      </c>
      <c r="F64" s="9" t="n">
        <v>221346</v>
      </c>
      <c r="G64" s="693">
        <f>SUM(F64:F75)</f>
        <v/>
      </c>
    </row>
    <row r="65">
      <c r="A65" s="692" t="n">
        <v>45815</v>
      </c>
      <c r="B65" s="9" t="n">
        <v>215889</v>
      </c>
      <c r="C65" s="9" t="n">
        <v>7092</v>
      </c>
      <c r="D65" s="9" t="n">
        <v>12710</v>
      </c>
      <c r="E65" s="9" t="n">
        <v>1235</v>
      </c>
      <c r="F65" s="9" t="n">
        <v>236926</v>
      </c>
      <c r="G65" s="693">
        <f>SUM(F65:F76)</f>
        <v/>
      </c>
    </row>
    <row r="66">
      <c r="A66" s="611" t="n">
        <v>45839</v>
      </c>
      <c r="B66" s="9" t="n">
        <v>235104</v>
      </c>
      <c r="C66" s="9" t="n">
        <v>6438</v>
      </c>
      <c r="D66" s="9" t="n">
        <v>13474</v>
      </c>
      <c r="E66" s="9" t="n">
        <v>1382</v>
      </c>
      <c r="F66" s="9" t="n">
        <v>256398</v>
      </c>
      <c r="G66" s="693">
        <f>SUM(F66:F77)</f>
        <v/>
      </c>
    </row>
    <row r="67">
      <c r="A67" s="611" t="n">
        <v>45870</v>
      </c>
      <c r="B67" s="9" t="n">
        <v>194526</v>
      </c>
      <c r="C67" s="9" t="n">
        <v>6293</v>
      </c>
      <c r="D67" s="9" t="n">
        <v>10745</v>
      </c>
      <c r="E67" s="9" t="n">
        <v>1172</v>
      </c>
      <c r="F67" s="9" t="n">
        <v>212736</v>
      </c>
      <c r="G67" s="693">
        <f>SUM(F67:F78)</f>
        <v/>
      </c>
    </row>
    <row r="68">
      <c r="A68" s="611" t="n">
        <v>45901</v>
      </c>
      <c r="B68" s="9" t="n">
        <v>268734</v>
      </c>
      <c r="C68" s="9" t="n">
        <v>8767</v>
      </c>
      <c r="D68" s="9" t="n">
        <v>15720</v>
      </c>
      <c r="E68" s="9" t="n">
        <v>1410</v>
      </c>
      <c r="F68" s="9" t="n">
        <v>294631</v>
      </c>
      <c r="G68" s="693">
        <f>SUM(F68:F79)</f>
        <v/>
      </c>
    </row>
    <row r="69">
      <c r="A69" s="611" t="n">
        <v>45931</v>
      </c>
      <c r="B69" s="9" t="n">
        <v>213881</v>
      </c>
      <c r="C69" s="9" t="n">
        <v>6593</v>
      </c>
      <c r="D69" s="9" t="n">
        <v>12570</v>
      </c>
      <c r="E69" s="9" t="n">
        <v>1094</v>
      </c>
      <c r="F69" s="9" t="n">
        <v>234138</v>
      </c>
      <c r="G69" s="693">
        <f>SUM(F69:F80)</f>
        <v/>
      </c>
    </row>
    <row r="70">
      <c r="A70" s="611" t="n">
        <v>45962</v>
      </c>
      <c r="B70" s="9" t="n">
        <v>183033</v>
      </c>
      <c r="C70" s="9" t="n">
        <v>6649</v>
      </c>
      <c r="D70" s="9" t="n">
        <v>10753</v>
      </c>
      <c r="E70" s="8" t="n">
        <v>940</v>
      </c>
      <c r="F70" s="9" t="n">
        <v>201375</v>
      </c>
      <c r="G70" s="693">
        <f>SUM(F70:F81)</f>
        <v/>
      </c>
    </row>
    <row r="71">
      <c r="A71" s="611" t="n">
        <v>45992</v>
      </c>
      <c r="B71" s="9" t="n">
        <v>166831</v>
      </c>
      <c r="C71" s="9" t="n">
        <v>6518</v>
      </c>
      <c r="D71" s="9" t="n">
        <v>10697</v>
      </c>
      <c r="E71" s="8" t="n">
        <v>882</v>
      </c>
      <c r="F71" s="9" t="n">
        <v>184928</v>
      </c>
      <c r="G71" s="693">
        <f>SUM(F71:F82)</f>
        <v/>
      </c>
    </row>
    <row r="72">
      <c r="A72" s="612" t="n">
        <v>46023</v>
      </c>
      <c r="B72" s="9" t="n">
        <v>206435</v>
      </c>
      <c r="C72" s="9" t="n">
        <v>7907</v>
      </c>
      <c r="D72" s="9" t="n">
        <v>12851</v>
      </c>
      <c r="E72" s="9" t="n">
        <v>1049</v>
      </c>
      <c r="F72" s="9" t="n">
        <v>228242</v>
      </c>
      <c r="G72" s="693">
        <f>SUM(F72:F83)</f>
        <v/>
      </c>
    </row>
    <row r="73">
      <c r="A73" s="612" t="n">
        <v>46054</v>
      </c>
      <c r="B73" s="9" t="n">
        <v>165194</v>
      </c>
      <c r="C73" s="9" t="n">
        <v>6124</v>
      </c>
      <c r="D73" s="9" t="n">
        <v>9986</v>
      </c>
      <c r="E73" s="9" t="n">
        <v>866</v>
      </c>
      <c r="F73" s="9" t="n">
        <v>182170</v>
      </c>
      <c r="G73" s="693">
        <f>SUM(F73:F84)</f>
        <v/>
      </c>
    </row>
    <row r="74">
      <c r="A74" s="612" t="n">
        <v>46082</v>
      </c>
      <c r="B74" s="9" t="n">
        <v>214489</v>
      </c>
      <c r="C74" s="9" t="n">
        <v>6344</v>
      </c>
      <c r="D74" s="9" t="n">
        <v>11531</v>
      </c>
      <c r="E74" s="9" t="n">
        <v>1030</v>
      </c>
      <c r="F74" s="9" t="n">
        <v>233394</v>
      </c>
      <c r="G74" s="693">
        <f>SUM(F74:F85)</f>
        <v/>
      </c>
    </row>
    <row r="75">
      <c r="A75" s="612" t="n">
        <v>46113</v>
      </c>
      <c r="B75" s="9" t="n">
        <v>210768</v>
      </c>
      <c r="C75" s="9" t="n">
        <v>6276</v>
      </c>
      <c r="D75" s="9" t="n">
        <v>10432</v>
      </c>
      <c r="E75" s="9" t="n">
        <v>1021</v>
      </c>
      <c r="F75" s="9" t="n">
        <v>228497</v>
      </c>
      <c r="G75" s="693">
        <f>SUM(F75:F86)</f>
        <v/>
      </c>
    </row>
    <row r="76">
      <c r="A76" s="612" t="n">
        <v>46143</v>
      </c>
    </row>
    <row r="77">
      <c r="A77" s="612" t="n">
        <v>46174</v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F15" sqref="F15"/>
    </sheetView>
  </sheetViews>
  <sheetFormatPr baseColWidth="10" defaultColWidth="11.5" defaultRowHeight="14"/>
  <cols>
    <col width="11.5" customWidth="1" style="615" min="1" max="1"/>
    <col width="10.83203125" customWidth="1" style="240" min="2" max="4"/>
    <col width="13.33203125" customWidth="1" style="240" min="5" max="5"/>
    <col width="20.83203125" customWidth="1" style="240" min="6" max="7"/>
    <col width="11.5" customWidth="1" style="240" min="8" max="16384"/>
  </cols>
  <sheetData>
    <row r="1" ht="30" customHeight="1">
      <c r="A1" s="613" t="inlineStr">
        <is>
          <t>Date</t>
        </is>
      </c>
      <c r="B1" s="614" t="inlineStr">
        <is>
          <t>LPT Bill</t>
        </is>
      </c>
      <c r="C1" s="313" t="inlineStr">
        <is>
          <t>SSQ Bill</t>
        </is>
      </c>
      <c r="D1" s="313" t="inlineStr">
        <is>
          <t>JSQ Bill</t>
        </is>
      </c>
      <c r="E1" s="313" t="inlineStr">
        <is>
          <t>VC &amp; Guest Lodge</t>
        </is>
      </c>
      <c r="F1" s="313" t="inlineStr">
        <is>
          <t xml:space="preserve">Renewable energy generation </t>
        </is>
      </c>
      <c r="G1" s="616" t="inlineStr">
        <is>
          <t xml:space="preserve">% of total electricity </t>
        </is>
      </c>
    </row>
    <row r="2" ht="15" customHeight="1">
      <c r="A2" s="615" t="inlineStr">
        <is>
          <t>2015/16</t>
        </is>
      </c>
      <c r="F2" s="312" t="n">
        <v>0</v>
      </c>
      <c r="G2" s="312" t="n"/>
    </row>
    <row r="3" ht="15" customHeight="1">
      <c r="A3" s="615" t="inlineStr">
        <is>
          <t>2016/17</t>
        </is>
      </c>
      <c r="F3" s="312" t="n">
        <v>0</v>
      </c>
      <c r="G3" s="312" t="n"/>
    </row>
    <row r="4" ht="15" customHeight="1">
      <c r="A4" s="615" t="inlineStr">
        <is>
          <t>2017/18</t>
        </is>
      </c>
      <c r="F4" s="312" t="n">
        <v>0</v>
      </c>
      <c r="G4" s="312" t="n"/>
    </row>
    <row r="5" ht="15" customHeight="1">
      <c r="A5" s="615" t="inlineStr">
        <is>
          <t>2018/19</t>
        </is>
      </c>
      <c r="F5" s="312" t="n">
        <v>0</v>
      </c>
    </row>
    <row r="6" ht="15" customHeight="1">
      <c r="A6" s="615" t="inlineStr">
        <is>
          <t>2019/20</t>
        </is>
      </c>
      <c r="B6" s="241">
        <f>SUM('Monthly Renewable'!B2:B5)</f>
        <v/>
      </c>
      <c r="C6" s="240">
        <f>SUM('Monthly Renewable'!C2:C5)</f>
        <v/>
      </c>
      <c r="D6" s="240">
        <f>SUM('Monthly Renewable'!D2:D5)</f>
        <v/>
      </c>
      <c r="E6" s="240">
        <f>SUM('Monthly Renewable'!E2:E5)</f>
        <v/>
      </c>
      <c r="F6" s="241">
        <f>SUM('Monthly Renewable'!B2:B5)</f>
        <v/>
      </c>
      <c r="G6" s="361">
        <f>F6/'Yearly Electricity (Overview)'!C7</f>
        <v/>
      </c>
    </row>
    <row r="7" ht="15" customHeight="1">
      <c r="A7" s="615" t="inlineStr">
        <is>
          <t>2020/21</t>
        </is>
      </c>
      <c r="B7" s="241">
        <f>SUM('Monthly Renewable'!B6:B17)</f>
        <v/>
      </c>
      <c r="C7" s="240">
        <f>SUM('Monthly Renewable'!C6:C17)</f>
        <v/>
      </c>
      <c r="D7" s="240">
        <f>SUM('Monthly Renewable'!D6:D17)</f>
        <v/>
      </c>
      <c r="E7" s="240">
        <f>SUM('Monthly Renewable'!E6:E17)</f>
        <v/>
      </c>
      <c r="F7" s="241">
        <f>SUM('Monthly Renewable'!B6:B17)</f>
        <v/>
      </c>
      <c r="G7" s="694">
        <f>F7/'Yearly Electricity (Overview)'!C8</f>
        <v/>
      </c>
    </row>
    <row r="8" ht="15" customHeight="1">
      <c r="A8" s="615" t="inlineStr">
        <is>
          <t>2021/22</t>
        </is>
      </c>
      <c r="B8" s="241">
        <f>SUM('Monthly Renewable'!B18:B29)</f>
        <v/>
      </c>
      <c r="C8" s="241">
        <f>SUM('Monthly Renewable'!C18:C29)</f>
        <v/>
      </c>
      <c r="D8" s="241">
        <f>SUM('Monthly Renewable'!D18:D29)</f>
        <v/>
      </c>
      <c r="E8" s="241">
        <f>SUM('Monthly Renewable'!E18:E29)</f>
        <v/>
      </c>
      <c r="F8" s="241">
        <f>SUM('Monthly Renewable'!F18:F29)</f>
        <v/>
      </c>
      <c r="G8" s="694">
        <f>F8/'Yearly Electricity (Overview)'!C9</f>
        <v/>
      </c>
    </row>
    <row r="9" ht="15" customHeight="1">
      <c r="A9" s="615" t="inlineStr">
        <is>
          <t>2022/23</t>
        </is>
      </c>
      <c r="B9" s="241">
        <f>SUM('Monthly Renewable'!B30:B41)</f>
        <v/>
      </c>
      <c r="C9" s="241">
        <f>SUM('Monthly Renewable'!C30:C41)</f>
        <v/>
      </c>
      <c r="D9" s="241">
        <f>SUM('Monthly Renewable'!D30:D41)</f>
        <v/>
      </c>
      <c r="E9" s="241">
        <f>SUM('Monthly Renewable'!E30:E41)</f>
        <v/>
      </c>
      <c r="F9" s="241">
        <f>SUM('Monthly Renewable'!F30:F41)</f>
        <v/>
      </c>
      <c r="G9" s="694">
        <f>F9/'Yearly Electricity (Overview)'!C10</f>
        <v/>
      </c>
    </row>
    <row r="10" ht="15" customHeight="1">
      <c r="A10" s="615" t="inlineStr">
        <is>
          <t>2023/24</t>
        </is>
      </c>
      <c r="B10" s="241">
        <f>SUM('Monthly Renewable'!B42:B53)</f>
        <v/>
      </c>
      <c r="C10" s="241">
        <f>SUM('Monthly Renewable'!C42:C53)</f>
        <v/>
      </c>
      <c r="D10" s="241">
        <f>SUM('Monthly Renewable'!D42:D53)</f>
        <v/>
      </c>
      <c r="E10" s="241">
        <f>SUM('Monthly Renewable'!E42:E53)</f>
        <v/>
      </c>
      <c r="F10" s="241">
        <f>SUM('Monthly Renewable'!F42:F53)</f>
        <v/>
      </c>
      <c r="G10" s="694">
        <f>F10/'Yearly Electricity (Overview)'!C11</f>
        <v/>
      </c>
      <c r="I10" s="250" t="n"/>
    </row>
    <row r="11" ht="15" customHeight="1">
      <c r="A11" s="615" t="inlineStr">
        <is>
          <t>2024/25</t>
        </is>
      </c>
      <c r="B11" s="241">
        <f>SUM('Monthly Renewable'!B54:B65)</f>
        <v/>
      </c>
      <c r="C11" s="241">
        <f>SUM('Monthly Renewable'!C54:C65)</f>
        <v/>
      </c>
      <c r="D11" s="241">
        <f>SUM('Monthly Renewable'!D54:D65)</f>
        <v/>
      </c>
      <c r="E11" s="241">
        <f>SUM('Monthly Renewable'!E54:E65)</f>
        <v/>
      </c>
      <c r="F11" s="241">
        <f>SUM('Monthly Renewable'!F54:F65)</f>
        <v/>
      </c>
      <c r="G11" s="694">
        <f>F11/'Yearly Electricity (Overview)'!C12</f>
        <v/>
      </c>
    </row>
    <row r="12" ht="15" customHeight="1">
      <c r="A12" s="615" t="inlineStr">
        <is>
          <t>2025/26</t>
        </is>
      </c>
      <c r="B12" s="617">
        <f>SUM('Monthly Renewable'!B66:B77)</f>
        <v/>
      </c>
      <c r="C12" s="617">
        <f>SUM('Monthly Renewable'!C66:C77)</f>
        <v/>
      </c>
      <c r="D12" s="617">
        <f>SUM('Monthly Renewable'!D66:D77)</f>
        <v/>
      </c>
      <c r="E12" s="617">
        <f>SUM('Monthly Renewable'!E66:E77)</f>
        <v/>
      </c>
      <c r="F12" s="617">
        <f>SUM('Monthly Renewable'!F66:F77)</f>
        <v/>
      </c>
      <c r="G12" s="695">
        <f>F12/'Yearly Electricity (Overview)'!C13</f>
        <v/>
      </c>
    </row>
    <row r="13">
      <c r="F13" s="249" t="n"/>
    </row>
    <row r="14">
      <c r="F14" s="249" t="n"/>
    </row>
    <row r="15">
      <c r="F15" s="249" t="n"/>
    </row>
    <row r="16">
      <c r="F16" s="249" t="n"/>
    </row>
    <row r="17">
      <c r="F17" s="249" t="n"/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6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49" sqref="B149"/>
    </sheetView>
  </sheetViews>
  <sheetFormatPr baseColWidth="10" defaultColWidth="8.6640625" defaultRowHeight="16"/>
  <cols>
    <col width="10.1640625" bestFit="1" customWidth="1" style="55" min="1" max="1"/>
    <col width="13.33203125" customWidth="1" style="55" min="2" max="2"/>
    <col width="15.6640625" customWidth="1" style="55" min="3" max="3"/>
    <col width="13.1640625" customWidth="1" style="55" min="4" max="4"/>
    <col width="13.33203125" customWidth="1" style="55" min="5" max="5"/>
    <col width="9.33203125" bestFit="1" customWidth="1" style="55" min="6" max="6"/>
    <col width="10.6640625" customWidth="1" style="55" min="7" max="7"/>
    <col width="13.33203125" customWidth="1" style="55" min="8" max="8"/>
    <col width="16.1640625" customWidth="1" style="55" min="9" max="9"/>
    <col width="10.6640625" customWidth="1" style="55" min="10" max="10"/>
    <col width="9.33203125" bestFit="1" customWidth="1" style="55" min="11" max="11"/>
    <col width="13.33203125" customWidth="1" style="55" min="12" max="12"/>
    <col hidden="1" width="9" customWidth="1" style="55" min="13" max="13"/>
    <col width="10.6640625" customWidth="1" style="55" min="14" max="14"/>
    <col width="9.33203125" bestFit="1" customWidth="1" style="55" min="15" max="17"/>
    <col width="9.33203125" customWidth="1" style="55" min="18" max="22"/>
    <col width="10.6640625" customWidth="1" style="55" min="23" max="24"/>
    <col width="15.6640625" customWidth="1" style="55" min="25" max="25"/>
    <col width="13.33203125" customWidth="1" style="55" min="26" max="26"/>
    <col width="10.6640625" customWidth="1" style="55" min="27" max="27"/>
    <col width="12.33203125" customWidth="1" style="55" min="28" max="28"/>
    <col width="3.33203125" customWidth="1" style="177" min="29" max="29"/>
    <col width="10.6640625" customWidth="1" style="55" min="30" max="30"/>
    <col width="13.33203125" bestFit="1" customWidth="1" style="55" min="31" max="31"/>
    <col width="13.33203125" customWidth="1" style="55" min="32" max="36"/>
    <col width="18.33203125" customWidth="1" style="55" min="37" max="37"/>
    <col width="13.33203125" customWidth="1" style="55" min="38" max="38"/>
    <col width="15.6640625" customWidth="1" style="55" min="39" max="39"/>
    <col width="13.33203125" customWidth="1" style="55" min="40" max="40"/>
    <col width="8.6640625" customWidth="1" style="55" min="41" max="43"/>
    <col width="12.6640625" bestFit="1" customWidth="1" style="55" min="44" max="44"/>
    <col width="8.6640625" customWidth="1" style="55" min="45" max="16384"/>
  </cols>
  <sheetData>
    <row r="1" ht="86" customFormat="1" customHeight="1" s="619" thickBot="1">
      <c r="A1" s="251" t="inlineStr">
        <is>
          <t>Period</t>
        </is>
      </c>
      <c r="B1" s="252" t="inlineStr">
        <is>
          <t>CLP Total</t>
        </is>
      </c>
      <c r="C1" s="169" t="inlineStr">
        <is>
          <t>Main Academic Buildings &amp; Other Public Facilities</t>
        </is>
      </c>
      <c r="D1" s="170" t="inlineStr">
        <is>
          <t>EC</t>
        </is>
      </c>
      <c r="E1" s="170" t="inlineStr">
        <is>
          <t>CYT</t>
        </is>
      </c>
      <c r="F1" s="170" t="inlineStr">
        <is>
          <t>Shaw Auditorium</t>
        </is>
      </c>
      <c r="G1" s="170" t="inlineStr">
        <is>
          <t>APCF 
(R/F Zone L)</t>
        </is>
      </c>
      <c r="H1" s="170" t="inlineStr">
        <is>
          <t>New Data Centre 
(2/F Zone L)</t>
        </is>
      </c>
      <c r="I1" s="170" t="inlineStr">
        <is>
          <t>Main Chiller Plant</t>
        </is>
      </c>
      <c r="J1" s="172" t="inlineStr">
        <is>
          <t>LSKBB</t>
        </is>
      </c>
      <c r="K1" s="172" t="inlineStr">
        <is>
          <t>IAS</t>
        </is>
      </c>
      <c r="L1" s="172" t="inlineStr">
        <is>
          <t>Conference Lodge</t>
        </is>
      </c>
      <c r="M1" s="172" t="inlineStr">
        <is>
          <t>LSK Hostel</t>
        </is>
      </c>
      <c r="N1" s="172" t="inlineStr">
        <is>
          <t>LSK Chiller Plant</t>
        </is>
      </c>
      <c r="O1" s="174" t="inlineStr">
        <is>
          <t>WWT</t>
        </is>
      </c>
      <c r="P1" s="174" t="inlineStr">
        <is>
          <t>Water Sport Centre</t>
        </is>
      </c>
      <c r="Q1" s="174" t="inlineStr">
        <is>
          <t>SISC</t>
        </is>
      </c>
      <c r="R1" s="573" t="inlineStr">
        <is>
          <t>HPC6</t>
        </is>
      </c>
      <c r="S1" s="574" t="inlineStr">
        <is>
          <t>RB2</t>
        </is>
      </c>
      <c r="T1" s="170" t="inlineStr">
        <is>
          <t>IB</t>
        </is>
      </c>
      <c r="U1" s="175" t="inlineStr">
        <is>
          <t>SRD (UG10-13)</t>
        </is>
      </c>
      <c r="V1" s="175" t="inlineStr">
        <is>
          <t>TA-B</t>
        </is>
      </c>
      <c r="W1" s="175" t="inlineStr">
        <is>
          <t>GGT</t>
        </is>
      </c>
      <c r="X1" s="175" t="inlineStr">
        <is>
          <t>Student Housing UG1-UG9, PG1-PG2</t>
        </is>
      </c>
      <c r="Y1" s="516" t="inlineStr">
        <is>
          <t xml:space="preserve">Staff Quarters &amp; Commercial Outlets </t>
        </is>
      </c>
      <c r="Z1" s="517" t="inlineStr">
        <is>
          <t>Commercial Outlets</t>
        </is>
      </c>
      <c r="AA1" s="516" t="inlineStr">
        <is>
          <t>Staff Quarters</t>
        </is>
      </c>
      <c r="AB1" s="253" t="inlineStr">
        <is>
          <t>Combined Chiller Plants</t>
        </is>
      </c>
      <c r="AC1" s="575" t="n"/>
      <c r="AD1" s="576" t="inlineStr">
        <is>
          <t>TKO JC Hall</t>
        </is>
      </c>
      <c r="AE1" s="577" t="inlineStr">
        <is>
          <t>EC 3/F Data Centre (Elect)</t>
        </is>
      </c>
      <c r="AF1" s="577" t="inlineStr">
        <is>
          <t>EC 3/F Data Centre (Chiller kWhe)</t>
        </is>
      </c>
      <c r="AG1" s="578" t="inlineStr">
        <is>
          <t>SRD (Chiller kWhe)</t>
        </is>
      </c>
      <c r="AH1" s="578" t="inlineStr">
        <is>
          <t>IB (Chiller kWhe)</t>
        </is>
      </c>
      <c r="AI1" s="579" t="inlineStr">
        <is>
          <t>BMW EV Charger kWh (LG7 &amp; WWT)</t>
        </is>
      </c>
      <c r="AJ1" s="579" t="inlineStr">
        <is>
          <t>Corner Stone EV Charger kWh</t>
        </is>
      </c>
      <c r="AK1" s="619" t="inlineStr">
        <is>
          <t>On-Campus Buildings 12-Month Rolling Sum</t>
        </is>
      </c>
      <c r="AL1" s="619" t="inlineStr">
        <is>
          <t>Total + TKOJCH</t>
        </is>
      </c>
      <c r="AM1" s="619" t="inlineStr">
        <is>
          <t>On-Campus Buildings Monthly Total</t>
        </is>
      </c>
      <c r="AN1" s="619" t="inlineStr">
        <is>
          <t>Monthly Total + TKOJCH</t>
        </is>
      </c>
    </row>
    <row r="2">
      <c r="A2" s="254" t="n">
        <v>41640</v>
      </c>
      <c r="B2" s="255" t="n">
        <v>5938547</v>
      </c>
      <c r="C2" s="255" t="n">
        <v>3924710</v>
      </c>
      <c r="D2" s="255" t="n">
        <v>190811</v>
      </c>
      <c r="E2" s="255" t="n">
        <v>41274</v>
      </c>
      <c r="F2" s="255" t="n">
        <v>0</v>
      </c>
      <c r="G2" s="255" t="n">
        <v>0</v>
      </c>
      <c r="H2" s="255" t="n">
        <v>0</v>
      </c>
      <c r="I2" s="255" t="n">
        <v>500427</v>
      </c>
      <c r="J2" s="255" t="n">
        <v>205345</v>
      </c>
      <c r="K2" s="256" t="n">
        <v>44678</v>
      </c>
      <c r="L2" s="255" t="n">
        <v>0</v>
      </c>
      <c r="M2" s="255" t="n">
        <v>0</v>
      </c>
      <c r="N2" s="255" t="n">
        <v>48446</v>
      </c>
      <c r="O2" s="255" t="n">
        <v>59654</v>
      </c>
      <c r="P2" s="255" t="n">
        <v>0</v>
      </c>
      <c r="Q2" s="255" t="n">
        <v>0</v>
      </c>
      <c r="R2" s="255" t="n"/>
      <c r="S2" s="255" t="n"/>
      <c r="T2" s="255" t="n"/>
      <c r="U2" s="255" t="n"/>
      <c r="V2" s="255" t="n"/>
      <c r="W2" s="255" t="n">
        <v>0</v>
      </c>
      <c r="X2" s="255" t="n">
        <v>361571</v>
      </c>
      <c r="Y2" s="255" t="n">
        <v>561631</v>
      </c>
      <c r="Z2" s="257" t="n">
        <v>229909</v>
      </c>
      <c r="AA2" s="258" t="n">
        <v>331722</v>
      </c>
      <c r="AB2" s="258" t="n">
        <v>548873</v>
      </c>
      <c r="AC2" s="580" t="n"/>
      <c r="AD2" s="581" t="n">
        <v>0</v>
      </c>
      <c r="AE2" s="255" t="n">
        <v>0</v>
      </c>
      <c r="AF2" s="255" t="n">
        <v>0</v>
      </c>
      <c r="AG2" s="255" t="n">
        <v>0</v>
      </c>
      <c r="AH2" s="255" t="n">
        <v>0</v>
      </c>
      <c r="AI2" s="255" t="n"/>
      <c r="AJ2" s="255" t="n"/>
      <c r="AK2" s="56" t="n"/>
      <c r="AM2" s="56">
        <f>SUM(C2:Y2)</f>
        <v/>
      </c>
      <c r="AN2" s="56">
        <f>AM2+AD2</f>
        <v/>
      </c>
    </row>
    <row r="3">
      <c r="A3" s="254" t="n">
        <v>41671</v>
      </c>
      <c r="B3" s="255" t="n">
        <v>5888877</v>
      </c>
      <c r="C3" s="259" t="n">
        <v>3565612</v>
      </c>
      <c r="D3" s="255" t="n">
        <v>252064</v>
      </c>
      <c r="E3" s="259" t="n">
        <v>28315</v>
      </c>
      <c r="F3" s="255" t="n">
        <v>0</v>
      </c>
      <c r="G3" s="255" t="n">
        <v>0</v>
      </c>
      <c r="H3" s="255" t="n">
        <v>0</v>
      </c>
      <c r="I3" s="259" t="n">
        <v>502155</v>
      </c>
      <c r="J3" s="259" t="n">
        <v>290449</v>
      </c>
      <c r="K3" s="260" t="n">
        <v>56447</v>
      </c>
      <c r="L3" s="259" t="n">
        <v>0</v>
      </c>
      <c r="M3" s="255" t="n">
        <v>0</v>
      </c>
      <c r="N3" s="259" t="n">
        <v>47613</v>
      </c>
      <c r="O3" s="259" t="n">
        <v>47313</v>
      </c>
      <c r="P3" s="255" t="n">
        <v>0</v>
      </c>
      <c r="Q3" s="255" t="n">
        <v>0</v>
      </c>
      <c r="R3" s="255" t="n"/>
      <c r="S3" s="255" t="n"/>
      <c r="T3" s="255" t="n"/>
      <c r="U3" s="255" t="n"/>
      <c r="V3" s="255" t="n"/>
      <c r="W3" s="255" t="n">
        <v>0</v>
      </c>
      <c r="X3" s="259" t="n">
        <v>504993</v>
      </c>
      <c r="Y3" s="259" t="n">
        <v>593916</v>
      </c>
      <c r="Z3" s="261" t="n">
        <v>220164</v>
      </c>
      <c r="AA3" s="262" t="n">
        <v>373752</v>
      </c>
      <c r="AB3" s="262" t="n">
        <v>549768</v>
      </c>
      <c r="AC3" s="582" t="n"/>
      <c r="AD3" s="301" t="n">
        <v>0</v>
      </c>
      <c r="AE3" s="255" t="n">
        <v>0</v>
      </c>
      <c r="AF3" s="259" t="n">
        <v>0</v>
      </c>
      <c r="AG3" s="259" t="n">
        <v>0</v>
      </c>
      <c r="AH3" s="259" t="n">
        <v>0</v>
      </c>
      <c r="AI3" s="259" t="n"/>
      <c r="AJ3" s="259" t="n"/>
      <c r="AK3" s="56" t="n"/>
      <c r="AM3" s="56">
        <f>SUM(C3:Y3)</f>
        <v/>
      </c>
      <c r="AN3" s="56">
        <f>AM3+AD3</f>
        <v/>
      </c>
    </row>
    <row r="4">
      <c r="A4" s="254" t="n">
        <v>41699</v>
      </c>
      <c r="B4" s="255" t="n">
        <v>6018786</v>
      </c>
      <c r="C4" s="259" t="n">
        <v>3680694</v>
      </c>
      <c r="D4" s="255" t="n">
        <v>185065</v>
      </c>
      <c r="E4" s="259" t="n">
        <v>40257</v>
      </c>
      <c r="F4" s="255" t="n">
        <v>0</v>
      </c>
      <c r="G4" s="255" t="n">
        <v>0</v>
      </c>
      <c r="H4" s="255" t="n">
        <v>0</v>
      </c>
      <c r="I4" s="259" t="n">
        <v>754593</v>
      </c>
      <c r="J4" s="259" t="n">
        <v>182485</v>
      </c>
      <c r="K4" s="260" t="n">
        <v>34491</v>
      </c>
      <c r="L4" s="259" t="n">
        <v>0</v>
      </c>
      <c r="M4" s="255" t="n">
        <v>0</v>
      </c>
      <c r="N4" s="259" t="n">
        <v>46854</v>
      </c>
      <c r="O4" s="259" t="n">
        <v>43566</v>
      </c>
      <c r="P4" s="255" t="n">
        <v>0</v>
      </c>
      <c r="Q4" s="255" t="n">
        <v>0</v>
      </c>
      <c r="R4" s="255" t="n"/>
      <c r="S4" s="255" t="n"/>
      <c r="T4" s="255" t="n"/>
      <c r="U4" s="255" t="n"/>
      <c r="V4" s="255" t="n"/>
      <c r="W4" s="255" t="n">
        <v>0</v>
      </c>
      <c r="X4" s="259" t="n">
        <v>511265</v>
      </c>
      <c r="Y4" s="259" t="n">
        <v>539516</v>
      </c>
      <c r="Z4" s="261" t="n">
        <v>247766</v>
      </c>
      <c r="AA4" s="262" t="n">
        <v>291750</v>
      </c>
      <c r="AB4" s="262" t="n">
        <v>801447</v>
      </c>
      <c r="AC4" s="582" t="n"/>
      <c r="AD4" s="301" t="n">
        <v>0</v>
      </c>
      <c r="AE4" s="255" t="n">
        <v>0</v>
      </c>
      <c r="AF4" s="259" t="n">
        <v>0</v>
      </c>
      <c r="AG4" s="259" t="n">
        <v>0</v>
      </c>
      <c r="AH4" s="259" t="n">
        <v>0</v>
      </c>
      <c r="AI4" s="259" t="n"/>
      <c r="AJ4" s="259" t="n"/>
      <c r="AK4" s="56" t="n"/>
      <c r="AM4" s="56">
        <f>SUM(C4:Y4)</f>
        <v/>
      </c>
      <c r="AN4" s="56">
        <f>AM4+AD4</f>
        <v/>
      </c>
    </row>
    <row r="5">
      <c r="A5" s="254" t="n">
        <v>41730</v>
      </c>
      <c r="B5" s="255" t="n">
        <v>7488350</v>
      </c>
      <c r="C5" s="259" t="n">
        <v>4459315</v>
      </c>
      <c r="D5" s="255" t="n">
        <v>203049</v>
      </c>
      <c r="E5" s="259" t="n">
        <v>56946</v>
      </c>
      <c r="F5" s="255" t="n">
        <v>0</v>
      </c>
      <c r="G5" s="255" t="n">
        <v>0</v>
      </c>
      <c r="H5" s="255" t="n">
        <v>0</v>
      </c>
      <c r="I5" s="259" t="n">
        <v>1100944</v>
      </c>
      <c r="J5" s="259" t="n">
        <v>213938</v>
      </c>
      <c r="K5" s="260" t="n">
        <v>46284</v>
      </c>
      <c r="L5" s="259" t="n">
        <v>0</v>
      </c>
      <c r="M5" s="255" t="n">
        <v>0</v>
      </c>
      <c r="N5" s="259" t="n">
        <v>141417</v>
      </c>
      <c r="O5" s="259" t="n">
        <v>73814</v>
      </c>
      <c r="P5" s="255" t="n">
        <v>0</v>
      </c>
      <c r="Q5" s="255" t="n">
        <v>0</v>
      </c>
      <c r="R5" s="255" t="n"/>
      <c r="S5" s="255" t="n"/>
      <c r="T5" s="255" t="n"/>
      <c r="U5" s="255" t="n"/>
      <c r="V5" s="255" t="n"/>
      <c r="W5" s="255" t="n">
        <v>0</v>
      </c>
      <c r="X5" s="259" t="n">
        <v>612777</v>
      </c>
      <c r="Y5" s="259" t="n">
        <v>579866</v>
      </c>
      <c r="Z5" s="261" t="n">
        <v>295835</v>
      </c>
      <c r="AA5" s="262" t="n">
        <v>284031</v>
      </c>
      <c r="AB5" s="262" t="n">
        <v>1242361</v>
      </c>
      <c r="AC5" s="582" t="n"/>
      <c r="AD5" s="301" t="n">
        <v>0</v>
      </c>
      <c r="AE5" s="255" t="n">
        <v>0</v>
      </c>
      <c r="AF5" s="259" t="n">
        <v>0</v>
      </c>
      <c r="AG5" s="259" t="n">
        <v>0</v>
      </c>
      <c r="AH5" s="259" t="n">
        <v>0</v>
      </c>
      <c r="AI5" s="259" t="n"/>
      <c r="AJ5" s="259" t="n"/>
      <c r="AK5" s="56" t="n"/>
      <c r="AM5" s="56">
        <f>SUM(C5:Y5)</f>
        <v/>
      </c>
      <c r="AN5" s="56">
        <f>AM5+AD5</f>
        <v/>
      </c>
    </row>
    <row r="6">
      <c r="A6" s="254" t="n">
        <v>41760</v>
      </c>
      <c r="B6" s="255" t="n">
        <v>7986119</v>
      </c>
      <c r="C6" s="259" t="n">
        <v>3816523</v>
      </c>
      <c r="D6" s="255" t="n">
        <v>345876</v>
      </c>
      <c r="E6" s="259" t="n">
        <v>89452</v>
      </c>
      <c r="F6" s="255" t="n">
        <v>0</v>
      </c>
      <c r="G6" s="255" t="n">
        <v>0</v>
      </c>
      <c r="H6" s="255" t="n">
        <v>0</v>
      </c>
      <c r="I6" s="259" t="n">
        <v>1749797</v>
      </c>
      <c r="J6" s="259" t="n">
        <v>224043</v>
      </c>
      <c r="K6" s="260" t="n">
        <v>103456</v>
      </c>
      <c r="L6" s="259" t="n">
        <v>0</v>
      </c>
      <c r="M6" s="255" t="n">
        <v>0</v>
      </c>
      <c r="N6" s="259" t="n">
        <v>170062</v>
      </c>
      <c r="O6" s="259" t="n">
        <v>82044</v>
      </c>
      <c r="P6" s="255" t="n">
        <v>0</v>
      </c>
      <c r="Q6" s="255" t="n">
        <v>0</v>
      </c>
      <c r="R6" s="255" t="n"/>
      <c r="S6" s="255" t="n"/>
      <c r="T6" s="255" t="n"/>
      <c r="U6" s="255" t="n"/>
      <c r="V6" s="255" t="n"/>
      <c r="W6" s="255" t="n">
        <v>0</v>
      </c>
      <c r="X6" s="259" t="n">
        <v>692230</v>
      </c>
      <c r="Y6" s="259" t="n">
        <v>712636</v>
      </c>
      <c r="Z6" s="261" t="n">
        <v>281303</v>
      </c>
      <c r="AA6" s="262" t="n">
        <v>431333</v>
      </c>
      <c r="AB6" s="262" t="n">
        <v>1919859</v>
      </c>
      <c r="AC6" s="582" t="n"/>
      <c r="AD6" s="301" t="n">
        <v>0</v>
      </c>
      <c r="AE6" s="255" t="n">
        <v>0</v>
      </c>
      <c r="AF6" s="259" t="n">
        <v>0</v>
      </c>
      <c r="AG6" s="259" t="n">
        <v>0</v>
      </c>
      <c r="AH6" s="259" t="n">
        <v>0</v>
      </c>
      <c r="AI6" s="259" t="n"/>
      <c r="AJ6" s="259" t="n"/>
      <c r="AK6" s="56" t="n"/>
      <c r="AM6" s="56">
        <f>SUM(C6:Y6)</f>
        <v/>
      </c>
      <c r="AN6" s="56">
        <f>AM6+AD6</f>
        <v/>
      </c>
    </row>
    <row r="7">
      <c r="A7" s="254" t="n">
        <v>41791</v>
      </c>
      <c r="B7" s="255" t="n">
        <v>8876152</v>
      </c>
      <c r="C7" s="259" t="n">
        <v>4173507</v>
      </c>
      <c r="D7" s="255" t="n">
        <v>250379</v>
      </c>
      <c r="E7" s="259" t="n">
        <v>92936</v>
      </c>
      <c r="F7" s="255" t="n">
        <v>0</v>
      </c>
      <c r="G7" s="255" t="n">
        <v>0</v>
      </c>
      <c r="H7" s="255" t="n">
        <v>0</v>
      </c>
      <c r="I7" s="259" t="n">
        <v>2204099</v>
      </c>
      <c r="J7" s="259" t="n">
        <v>250703</v>
      </c>
      <c r="K7" s="260" t="n">
        <v>71494</v>
      </c>
      <c r="L7" s="259" t="n">
        <v>0</v>
      </c>
      <c r="M7" s="255" t="n">
        <v>0</v>
      </c>
      <c r="N7" s="259" t="n">
        <v>273139</v>
      </c>
      <c r="O7" s="259" t="n">
        <v>97780</v>
      </c>
      <c r="P7" s="255" t="n">
        <v>0</v>
      </c>
      <c r="Q7" s="255" t="n">
        <v>0</v>
      </c>
      <c r="R7" s="255" t="n"/>
      <c r="S7" s="255" t="n"/>
      <c r="T7" s="255" t="n"/>
      <c r="U7" s="255" t="n"/>
      <c r="V7" s="255" t="n"/>
      <c r="W7" s="255" t="n">
        <v>0</v>
      </c>
      <c r="X7" s="259" t="n">
        <v>574711</v>
      </c>
      <c r="Y7" s="259" t="n">
        <v>887404</v>
      </c>
      <c r="Z7" s="261" t="n">
        <v>266840</v>
      </c>
      <c r="AA7" s="262" t="n">
        <v>620564</v>
      </c>
      <c r="AB7" s="262" t="n">
        <v>2477238</v>
      </c>
      <c r="AC7" s="582" t="n"/>
      <c r="AD7" s="301" t="n">
        <v>0</v>
      </c>
      <c r="AE7" s="255" t="n">
        <v>0</v>
      </c>
      <c r="AF7" s="259" t="n">
        <v>0</v>
      </c>
      <c r="AG7" s="259" t="n">
        <v>0</v>
      </c>
      <c r="AH7" s="259" t="n">
        <v>0</v>
      </c>
      <c r="AI7" s="259" t="n"/>
      <c r="AJ7" s="259" t="n"/>
      <c r="AK7" s="56" t="n"/>
      <c r="AM7" s="56">
        <f>SUM(C7:Y7)</f>
        <v/>
      </c>
      <c r="AN7" s="56">
        <f>AM7+AD7</f>
        <v/>
      </c>
    </row>
    <row r="8">
      <c r="A8" s="254" t="n">
        <v>41821</v>
      </c>
      <c r="B8" s="255" t="n">
        <v>9340526</v>
      </c>
      <c r="C8" s="255" t="n">
        <v>4361073</v>
      </c>
      <c r="D8" s="255" t="n">
        <v>221804</v>
      </c>
      <c r="E8" s="255" t="n">
        <v>97729</v>
      </c>
      <c r="F8" s="255" t="n">
        <v>0</v>
      </c>
      <c r="G8" s="255" t="n">
        <v>0</v>
      </c>
      <c r="H8" s="255" t="n">
        <v>0</v>
      </c>
      <c r="I8" s="255" t="n">
        <v>2443732</v>
      </c>
      <c r="J8" s="255" t="n">
        <v>225313</v>
      </c>
      <c r="K8" s="256" t="n">
        <v>48903</v>
      </c>
      <c r="L8" s="255" t="n">
        <v>0</v>
      </c>
      <c r="M8" s="255" t="n">
        <v>0</v>
      </c>
      <c r="N8" s="255" t="n">
        <v>246402</v>
      </c>
      <c r="O8" s="255" t="n">
        <v>109439</v>
      </c>
      <c r="P8" s="255" t="n">
        <v>0</v>
      </c>
      <c r="Q8" s="255" t="n">
        <v>0</v>
      </c>
      <c r="R8" s="255" t="n"/>
      <c r="S8" s="255" t="n"/>
      <c r="T8" s="255" t="n"/>
      <c r="U8" s="255" t="n"/>
      <c r="V8" s="255" t="n"/>
      <c r="W8" s="255" t="n">
        <v>0</v>
      </c>
      <c r="X8" s="263" t="n">
        <v>687729</v>
      </c>
      <c r="Y8" s="259" t="n">
        <v>898402</v>
      </c>
      <c r="Z8" s="261" t="n">
        <v>274134</v>
      </c>
      <c r="AA8" s="262" t="n">
        <v>624268</v>
      </c>
      <c r="AB8" s="262" t="n">
        <v>2690134</v>
      </c>
      <c r="AC8" s="582" t="n"/>
      <c r="AD8" s="301" t="n">
        <v>0</v>
      </c>
      <c r="AE8" s="255" t="n">
        <v>0</v>
      </c>
      <c r="AF8" s="259" t="n">
        <v>0</v>
      </c>
      <c r="AG8" s="259" t="n">
        <v>0</v>
      </c>
      <c r="AH8" s="259" t="n">
        <v>0</v>
      </c>
      <c r="AI8" s="259" t="n"/>
      <c r="AJ8" s="259" t="n"/>
      <c r="AK8" s="56" t="n"/>
      <c r="AM8" s="56">
        <f>SUM(C8:Y8)</f>
        <v/>
      </c>
      <c r="AN8" s="56">
        <f>AM8+AD8</f>
        <v/>
      </c>
      <c r="AO8" s="619" t="inlineStr">
        <is>
          <t>New building: after 2014</t>
        </is>
      </c>
    </row>
    <row r="9">
      <c r="A9" s="264" t="n">
        <v>41852</v>
      </c>
      <c r="B9" s="259" t="n">
        <v>8583907</v>
      </c>
      <c r="C9" s="259" t="n">
        <v>3673176</v>
      </c>
      <c r="D9" s="255" t="n">
        <v>228122</v>
      </c>
      <c r="E9" s="259" t="n">
        <v>146934</v>
      </c>
      <c r="F9" s="255" t="n">
        <v>0</v>
      </c>
      <c r="G9" s="255" t="n">
        <v>0</v>
      </c>
      <c r="H9" s="255" t="n">
        <v>0</v>
      </c>
      <c r="I9" s="259" t="n">
        <v>2460070</v>
      </c>
      <c r="J9" s="259" t="n">
        <v>232978</v>
      </c>
      <c r="K9" s="260" t="n">
        <v>53454</v>
      </c>
      <c r="L9" s="259" t="n">
        <v>0</v>
      </c>
      <c r="M9" s="255" t="n">
        <v>0</v>
      </c>
      <c r="N9" s="259" t="n">
        <v>275655</v>
      </c>
      <c r="O9" s="265" t="n">
        <v>99316</v>
      </c>
      <c r="P9" s="255" t="n">
        <v>0</v>
      </c>
      <c r="Q9" s="255" t="n">
        <v>0</v>
      </c>
      <c r="R9" s="255" t="n"/>
      <c r="S9" s="255" t="n"/>
      <c r="T9" s="255" t="n"/>
      <c r="U9" s="255" t="n"/>
      <c r="V9" s="255" t="n"/>
      <c r="W9" s="255" t="n">
        <v>0</v>
      </c>
      <c r="X9" s="265" t="n">
        <v>624042</v>
      </c>
      <c r="Y9" s="259" t="n">
        <v>790160</v>
      </c>
      <c r="Z9" s="261" t="n">
        <v>264880</v>
      </c>
      <c r="AA9" s="262" t="n">
        <v>525280</v>
      </c>
      <c r="AB9" s="262" t="n">
        <v>2735725</v>
      </c>
      <c r="AC9" s="582" t="n"/>
      <c r="AD9" s="301" t="n">
        <v>0</v>
      </c>
      <c r="AE9" s="255" t="n">
        <v>0</v>
      </c>
      <c r="AF9" s="259" t="n">
        <v>0</v>
      </c>
      <c r="AG9" s="259" t="n">
        <v>0</v>
      </c>
      <c r="AH9" s="259" t="n">
        <v>0</v>
      </c>
      <c r="AI9" s="259" t="n"/>
      <c r="AJ9" s="259" t="n"/>
      <c r="AK9" s="56" t="n"/>
      <c r="AM9" s="56">
        <f>SUM(C9:Y9)</f>
        <v/>
      </c>
      <c r="AN9" s="56">
        <f>AM9+AD9</f>
        <v/>
      </c>
      <c r="AO9" s="619" t="inlineStr">
        <is>
          <t>Old building: before 2014</t>
        </is>
      </c>
    </row>
    <row r="10">
      <c r="A10" s="264" t="n">
        <v>41883</v>
      </c>
      <c r="B10" s="259" t="n">
        <v>10023872</v>
      </c>
      <c r="C10" s="259" t="n">
        <v>4469625</v>
      </c>
      <c r="D10" s="255" t="n">
        <v>276014</v>
      </c>
      <c r="E10" s="259" t="n">
        <v>132812</v>
      </c>
      <c r="F10" s="255" t="n">
        <v>0</v>
      </c>
      <c r="G10" s="255" t="n">
        <v>0</v>
      </c>
      <c r="H10" s="255" t="n">
        <v>0</v>
      </c>
      <c r="I10" s="259" t="n">
        <v>2515785</v>
      </c>
      <c r="J10" s="259" t="n">
        <v>269881</v>
      </c>
      <c r="K10" s="260" t="n">
        <v>79871</v>
      </c>
      <c r="L10" s="259" t="n">
        <v>0</v>
      </c>
      <c r="M10" s="255" t="n">
        <v>0</v>
      </c>
      <c r="N10" s="259" t="n">
        <v>307475</v>
      </c>
      <c r="O10" s="265" t="n">
        <v>89352</v>
      </c>
      <c r="P10" s="255" t="n">
        <v>0</v>
      </c>
      <c r="Q10" s="255" t="n">
        <v>0</v>
      </c>
      <c r="R10" s="255" t="n"/>
      <c r="S10" s="255" t="n"/>
      <c r="T10" s="255" t="n"/>
      <c r="U10" s="255" t="n"/>
      <c r="V10" s="255" t="n"/>
      <c r="W10" s="255" t="n">
        <v>0</v>
      </c>
      <c r="X10" s="265" t="n">
        <v>956639</v>
      </c>
      <c r="Y10" s="259" t="n">
        <v>926418</v>
      </c>
      <c r="Z10" s="261" t="n">
        <v>311968</v>
      </c>
      <c r="AA10" s="262" t="n">
        <v>614450</v>
      </c>
      <c r="AB10" s="262" t="n">
        <v>2823260</v>
      </c>
      <c r="AC10" s="582" t="n"/>
      <c r="AD10" s="301" t="n">
        <v>0</v>
      </c>
      <c r="AE10" s="255" t="n">
        <v>0</v>
      </c>
      <c r="AF10" s="259" t="n">
        <v>0</v>
      </c>
      <c r="AG10" s="259" t="n">
        <v>0</v>
      </c>
      <c r="AH10" s="259" t="n">
        <v>0</v>
      </c>
      <c r="AI10" s="259" t="n"/>
      <c r="AJ10" s="259" t="n"/>
      <c r="AK10" s="56" t="n"/>
      <c r="AM10" s="56">
        <f>SUM(C10:Y10)</f>
        <v/>
      </c>
      <c r="AN10" s="56">
        <f>AM10+AD10</f>
        <v/>
      </c>
    </row>
    <row r="11">
      <c r="A11" s="264" t="n">
        <v>41913</v>
      </c>
      <c r="B11" s="259" t="n">
        <v>8035429</v>
      </c>
      <c r="C11" s="259" t="n">
        <v>4049333</v>
      </c>
      <c r="D11" s="255" t="n">
        <v>203926</v>
      </c>
      <c r="E11" s="259" t="n">
        <v>145929</v>
      </c>
      <c r="F11" s="255" t="n">
        <v>0</v>
      </c>
      <c r="G11" s="255" t="n">
        <v>0</v>
      </c>
      <c r="H11" s="255" t="n">
        <v>0</v>
      </c>
      <c r="I11" s="259" t="n">
        <v>1763222</v>
      </c>
      <c r="J11" s="259" t="n">
        <v>248622</v>
      </c>
      <c r="K11" s="260" t="n">
        <v>39903</v>
      </c>
      <c r="L11" s="259" t="n">
        <v>0</v>
      </c>
      <c r="M11" s="255" t="n">
        <v>0</v>
      </c>
      <c r="N11" s="259" t="n">
        <v>153059</v>
      </c>
      <c r="O11" s="265" t="n">
        <v>89097</v>
      </c>
      <c r="P11" s="255" t="n">
        <v>0</v>
      </c>
      <c r="Q11" s="255" t="n">
        <v>0</v>
      </c>
      <c r="R11" s="255" t="n"/>
      <c r="S11" s="255" t="n"/>
      <c r="T11" s="255" t="n"/>
      <c r="U11" s="255" t="n"/>
      <c r="V11" s="255" t="n"/>
      <c r="W11" s="255" t="n">
        <v>0</v>
      </c>
      <c r="X11" s="265" t="n">
        <v>708839</v>
      </c>
      <c r="Y11" s="259" t="n">
        <v>633499</v>
      </c>
      <c r="Z11" s="261" t="n">
        <v>297097</v>
      </c>
      <c r="AA11" s="262" t="n">
        <v>336402</v>
      </c>
      <c r="AB11" s="262" t="n">
        <v>1916281</v>
      </c>
      <c r="AC11" s="582" t="n"/>
      <c r="AD11" s="301" t="n">
        <v>0</v>
      </c>
      <c r="AE11" s="255" t="n">
        <v>0</v>
      </c>
      <c r="AF11" s="259" t="n">
        <v>0</v>
      </c>
      <c r="AG11" s="259" t="n">
        <v>0</v>
      </c>
      <c r="AH11" s="259" t="n">
        <v>0</v>
      </c>
      <c r="AI11" s="259" t="n"/>
      <c r="AJ11" s="259" t="n"/>
      <c r="AK11" s="56" t="n"/>
      <c r="AM11" s="56">
        <f>SUM(C11:Y11)</f>
        <v/>
      </c>
      <c r="AN11" s="56">
        <f>AM11+AD11</f>
        <v/>
      </c>
    </row>
    <row r="12">
      <c r="A12" s="264" t="n">
        <v>41944</v>
      </c>
      <c r="B12" s="259" t="n">
        <v>6858052</v>
      </c>
      <c r="C12" s="259" t="n">
        <v>3872340</v>
      </c>
      <c r="D12" s="255" t="n">
        <v>214292</v>
      </c>
      <c r="E12" s="259" t="n">
        <v>95091</v>
      </c>
      <c r="F12" s="255" t="n">
        <v>0</v>
      </c>
      <c r="G12" s="255" t="n">
        <v>0</v>
      </c>
      <c r="H12" s="255" t="n">
        <v>0</v>
      </c>
      <c r="I12" s="259" t="n">
        <v>1119362</v>
      </c>
      <c r="J12" s="259" t="n">
        <v>267023</v>
      </c>
      <c r="K12" s="260" t="n">
        <v>50426</v>
      </c>
      <c r="L12" s="259" t="n">
        <v>0</v>
      </c>
      <c r="M12" s="255" t="n">
        <v>0</v>
      </c>
      <c r="N12" s="259" t="n">
        <v>153510</v>
      </c>
      <c r="O12" s="265" t="n">
        <v>76299</v>
      </c>
      <c r="P12" s="255" t="n">
        <v>0</v>
      </c>
      <c r="Q12" s="255" t="n">
        <v>0</v>
      </c>
      <c r="R12" s="255" t="n"/>
      <c r="S12" s="255" t="n"/>
      <c r="T12" s="255" t="n"/>
      <c r="U12" s="255" t="n"/>
      <c r="V12" s="255" t="n"/>
      <c r="W12" s="255" t="n">
        <v>0</v>
      </c>
      <c r="X12" s="265" t="n">
        <v>532301</v>
      </c>
      <c r="Y12" s="259" t="n">
        <v>477408</v>
      </c>
      <c r="Z12" s="261" t="n">
        <v>276436</v>
      </c>
      <c r="AA12" s="262" t="n">
        <v>200972</v>
      </c>
      <c r="AB12" s="262" t="n">
        <v>1272872</v>
      </c>
      <c r="AC12" s="582" t="n"/>
      <c r="AD12" s="301" t="n">
        <v>0</v>
      </c>
      <c r="AE12" s="255" t="n">
        <v>0</v>
      </c>
      <c r="AF12" s="259" t="n">
        <v>0</v>
      </c>
      <c r="AG12" s="259" t="n">
        <v>0</v>
      </c>
      <c r="AH12" s="259" t="n">
        <v>0</v>
      </c>
      <c r="AI12" s="259" t="n"/>
      <c r="AJ12" s="259" t="n"/>
      <c r="AK12" s="56" t="n"/>
      <c r="AM12" s="56">
        <f>SUM(C12:Y12)</f>
        <v/>
      </c>
      <c r="AN12" s="56">
        <f>AM12+AD12</f>
        <v/>
      </c>
    </row>
    <row r="13">
      <c r="A13" s="264" t="n">
        <v>41974</v>
      </c>
      <c r="B13" s="259" t="n">
        <v>6405579</v>
      </c>
      <c r="C13" s="259" t="n">
        <v>3982954</v>
      </c>
      <c r="D13" s="255" t="n">
        <v>253212</v>
      </c>
      <c r="E13" s="259" t="n">
        <v>117318</v>
      </c>
      <c r="F13" s="255" t="n">
        <v>0</v>
      </c>
      <c r="G13" s="255" t="n">
        <v>0</v>
      </c>
      <c r="H13" s="255" t="n">
        <v>0</v>
      </c>
      <c r="I13" s="259" t="n">
        <v>548769</v>
      </c>
      <c r="J13" s="259" t="n">
        <v>246466</v>
      </c>
      <c r="K13" s="260" t="n">
        <v>71670</v>
      </c>
      <c r="L13" s="259" t="n">
        <v>0</v>
      </c>
      <c r="M13" s="255" t="n">
        <v>0</v>
      </c>
      <c r="N13" s="259" t="n">
        <v>67209</v>
      </c>
      <c r="O13" s="265" t="n">
        <v>55450</v>
      </c>
      <c r="P13" s="255" t="n">
        <v>0</v>
      </c>
      <c r="Q13" s="255" t="n">
        <v>0</v>
      </c>
      <c r="R13" s="255" t="n"/>
      <c r="S13" s="255" t="n"/>
      <c r="T13" s="255" t="n"/>
      <c r="U13" s="255" t="n"/>
      <c r="V13" s="255" t="n"/>
      <c r="W13" s="255" t="n">
        <v>0</v>
      </c>
      <c r="X13" s="265" t="n">
        <v>483170</v>
      </c>
      <c r="Y13" s="259" t="n">
        <v>579361</v>
      </c>
      <c r="Z13" s="261" t="n">
        <v>281511</v>
      </c>
      <c r="AA13" s="262" t="n">
        <v>297850</v>
      </c>
      <c r="AB13" s="262" t="n">
        <v>615978</v>
      </c>
      <c r="AC13" s="582" t="n"/>
      <c r="AD13" s="301" t="n">
        <v>0</v>
      </c>
      <c r="AE13" s="255" t="n">
        <v>0</v>
      </c>
      <c r="AF13" s="259" t="n">
        <v>0</v>
      </c>
      <c r="AG13" s="259" t="n">
        <v>0</v>
      </c>
      <c r="AH13" s="259" t="n">
        <v>0</v>
      </c>
      <c r="AI13" s="259" t="n"/>
      <c r="AJ13" s="259" t="n"/>
      <c r="AK13" s="56" t="n"/>
      <c r="AM13" s="56">
        <f>SUM(C13:Y13)</f>
        <v/>
      </c>
      <c r="AN13" s="56">
        <f>AM13+AD13</f>
        <v/>
      </c>
    </row>
    <row r="14">
      <c r="A14" s="266" t="n">
        <v>42005</v>
      </c>
      <c r="B14" s="267" t="n">
        <v>6037637</v>
      </c>
      <c r="C14" s="267" t="n">
        <v>3908677</v>
      </c>
      <c r="D14" s="267" t="n">
        <v>195665</v>
      </c>
      <c r="E14" s="267" t="n">
        <v>99565</v>
      </c>
      <c r="F14" s="267" t="n">
        <v>0</v>
      </c>
      <c r="G14" s="267" t="n">
        <v>0</v>
      </c>
      <c r="H14" s="267" t="n">
        <v>0</v>
      </c>
      <c r="I14" s="267" t="n">
        <v>544141</v>
      </c>
      <c r="J14" s="267" t="n">
        <v>233787</v>
      </c>
      <c r="K14" s="260" t="n">
        <v>42271</v>
      </c>
      <c r="L14" s="267" t="n">
        <v>0</v>
      </c>
      <c r="M14" s="268" t="n">
        <v>0</v>
      </c>
      <c r="N14" s="267" t="n">
        <v>40400</v>
      </c>
      <c r="O14" s="268" t="n">
        <v>48517</v>
      </c>
      <c r="P14" s="268" t="n">
        <v>0</v>
      </c>
      <c r="Q14" s="268" t="n">
        <v>0</v>
      </c>
      <c r="R14" s="268" t="n"/>
      <c r="S14" s="268" t="n"/>
      <c r="T14" s="268" t="n"/>
      <c r="U14" s="268" t="n"/>
      <c r="V14" s="268" t="n"/>
      <c r="W14" s="268" t="n">
        <v>0</v>
      </c>
      <c r="X14" s="268" t="n">
        <v>377084</v>
      </c>
      <c r="Y14" s="267" t="n">
        <v>547530</v>
      </c>
      <c r="Z14" s="269" t="n">
        <v>262207</v>
      </c>
      <c r="AA14" s="270" t="n">
        <v>285323</v>
      </c>
      <c r="AB14" s="270" t="n">
        <v>584541</v>
      </c>
      <c r="AC14" s="582" t="n"/>
      <c r="AD14" s="302" t="n">
        <v>0</v>
      </c>
      <c r="AE14" s="268" t="n">
        <v>0</v>
      </c>
      <c r="AF14" s="268" t="n">
        <v>0</v>
      </c>
      <c r="AG14" s="268" t="n">
        <v>0</v>
      </c>
      <c r="AH14" s="268" t="n">
        <v>0</v>
      </c>
      <c r="AI14" s="268" t="n"/>
      <c r="AJ14" s="268" t="n"/>
      <c r="AK14" s="56" t="n"/>
      <c r="AM14" s="56">
        <f>SUM(C14:Y14)</f>
        <v/>
      </c>
      <c r="AN14" s="56">
        <f>AM14+AD14</f>
        <v/>
      </c>
    </row>
    <row r="15">
      <c r="A15" s="266" t="n">
        <v>42036</v>
      </c>
      <c r="B15" s="267" t="n">
        <v>5695515</v>
      </c>
      <c r="C15" s="267" t="n">
        <v>3489436</v>
      </c>
      <c r="D15" s="267" t="n">
        <v>224244</v>
      </c>
      <c r="E15" s="267" t="n">
        <v>114195</v>
      </c>
      <c r="F15" s="267" t="n">
        <v>0</v>
      </c>
      <c r="G15" s="267" t="n">
        <v>0</v>
      </c>
      <c r="H15" s="267" t="n">
        <v>0</v>
      </c>
      <c r="I15" s="267" t="n">
        <v>515349</v>
      </c>
      <c r="J15" s="267" t="n">
        <v>235819</v>
      </c>
      <c r="K15" s="260" t="n">
        <v>56423</v>
      </c>
      <c r="L15" s="267" t="n">
        <v>0</v>
      </c>
      <c r="M15" s="268" t="n">
        <v>0</v>
      </c>
      <c r="N15" s="267" t="n">
        <v>52158</v>
      </c>
      <c r="O15" s="268" t="n">
        <v>49783</v>
      </c>
      <c r="P15" s="268" t="n">
        <v>0</v>
      </c>
      <c r="Q15" s="268" t="n">
        <v>0</v>
      </c>
      <c r="R15" s="268" t="n"/>
      <c r="S15" s="268" t="n"/>
      <c r="T15" s="268" t="n"/>
      <c r="U15" s="268" t="n"/>
      <c r="V15" s="268" t="n"/>
      <c r="W15" s="268" t="n">
        <v>0</v>
      </c>
      <c r="X15" s="268" t="n">
        <v>470725</v>
      </c>
      <c r="Y15" s="267" t="n">
        <v>487383</v>
      </c>
      <c r="Z15" s="269" t="n">
        <v>247789</v>
      </c>
      <c r="AA15" s="270" t="n">
        <v>239594</v>
      </c>
      <c r="AB15" s="270" t="n">
        <v>567507</v>
      </c>
      <c r="AC15" s="582" t="n"/>
      <c r="AD15" s="302" t="n">
        <v>0</v>
      </c>
      <c r="AE15" s="268" t="n">
        <v>0</v>
      </c>
      <c r="AF15" s="268" t="n">
        <v>0</v>
      </c>
      <c r="AG15" s="268" t="n">
        <v>0</v>
      </c>
      <c r="AH15" s="268" t="n">
        <v>0</v>
      </c>
      <c r="AI15" s="268" t="n"/>
      <c r="AJ15" s="268" t="n"/>
      <c r="AK15" s="56" t="n"/>
      <c r="AM15" s="56">
        <f>SUM(C15:Y15)</f>
        <v/>
      </c>
      <c r="AN15" s="56">
        <f>AM15+AD15</f>
        <v/>
      </c>
    </row>
    <row r="16">
      <c r="A16" s="266" t="n">
        <v>42064</v>
      </c>
      <c r="B16" s="267" t="n">
        <v>6808373</v>
      </c>
      <c r="C16" s="267" t="n">
        <v>4118527</v>
      </c>
      <c r="D16" s="267" t="n">
        <v>218508</v>
      </c>
      <c r="E16" s="267" t="n">
        <v>125033</v>
      </c>
      <c r="F16" s="267" t="n">
        <v>0</v>
      </c>
      <c r="G16" s="267" t="n">
        <v>0</v>
      </c>
      <c r="H16" s="267" t="n">
        <v>0</v>
      </c>
      <c r="I16" s="267" t="n">
        <v>822631</v>
      </c>
      <c r="J16" s="267" t="n">
        <v>265435</v>
      </c>
      <c r="K16" s="260" t="n">
        <v>53193</v>
      </c>
      <c r="L16" s="267" t="n">
        <v>0</v>
      </c>
      <c r="M16" s="268" t="n">
        <v>0</v>
      </c>
      <c r="N16" s="267" t="n">
        <v>66141</v>
      </c>
      <c r="O16" s="268" t="n">
        <v>74567</v>
      </c>
      <c r="P16" s="268" t="n">
        <v>0</v>
      </c>
      <c r="Q16" s="268" t="n">
        <v>0</v>
      </c>
      <c r="R16" s="268" t="n"/>
      <c r="S16" s="268" t="n"/>
      <c r="T16" s="268" t="n"/>
      <c r="U16" s="268" t="n"/>
      <c r="V16" s="268" t="n"/>
      <c r="W16" s="268" t="n">
        <v>0</v>
      </c>
      <c r="X16" s="268" t="n">
        <v>503575</v>
      </c>
      <c r="Y16" s="267" t="n">
        <v>560763</v>
      </c>
      <c r="Z16" s="269" t="n">
        <v>302505</v>
      </c>
      <c r="AA16" s="270" t="n">
        <v>258258</v>
      </c>
      <c r="AB16" s="270" t="n">
        <v>888772</v>
      </c>
      <c r="AC16" s="582" t="n"/>
      <c r="AD16" s="302" t="n">
        <v>0</v>
      </c>
      <c r="AE16" s="268" t="n">
        <v>0</v>
      </c>
      <c r="AF16" s="268" t="n">
        <v>0</v>
      </c>
      <c r="AG16" s="268" t="n">
        <v>0</v>
      </c>
      <c r="AH16" s="268" t="n">
        <v>0</v>
      </c>
      <c r="AI16" s="268" t="n"/>
      <c r="AJ16" s="268" t="n"/>
      <c r="AK16" s="56" t="n"/>
      <c r="AM16" s="56">
        <f>SUM(C16:Y16)</f>
        <v/>
      </c>
      <c r="AN16" s="56">
        <f>AM16+AD16</f>
        <v/>
      </c>
    </row>
    <row r="17">
      <c r="A17" s="266" t="n">
        <v>42095</v>
      </c>
      <c r="B17" s="267" t="n">
        <v>7375395</v>
      </c>
      <c r="C17" s="267" t="n">
        <v>4123782</v>
      </c>
      <c r="D17" s="267" t="n">
        <v>205482</v>
      </c>
      <c r="E17" s="267" t="n">
        <v>172615</v>
      </c>
      <c r="F17" s="267" t="n">
        <v>0</v>
      </c>
      <c r="G17" s="267" t="n">
        <v>0</v>
      </c>
      <c r="H17" s="267" t="n">
        <v>0</v>
      </c>
      <c r="I17" s="267" t="n">
        <v>1230463</v>
      </c>
      <c r="J17" s="267" t="n">
        <v>237697</v>
      </c>
      <c r="K17" s="260" t="n">
        <v>54391</v>
      </c>
      <c r="L17" s="267" t="n">
        <v>0</v>
      </c>
      <c r="M17" s="268" t="n">
        <v>0</v>
      </c>
      <c r="N17" s="267" t="n">
        <v>110064</v>
      </c>
      <c r="O17" s="267" t="n">
        <v>97242</v>
      </c>
      <c r="P17" s="268" t="n">
        <v>0</v>
      </c>
      <c r="Q17" s="268" t="n">
        <v>0</v>
      </c>
      <c r="R17" s="268" t="n"/>
      <c r="S17" s="268" t="n"/>
      <c r="T17" s="268" t="n"/>
      <c r="U17" s="268" t="n"/>
      <c r="V17" s="268" t="n"/>
      <c r="W17" s="268" t="n">
        <v>0</v>
      </c>
      <c r="X17" s="268" t="n">
        <v>593115</v>
      </c>
      <c r="Y17" s="267" t="n">
        <v>550544</v>
      </c>
      <c r="Z17" s="269" t="n">
        <v>303017</v>
      </c>
      <c r="AA17" s="270" t="n">
        <v>247527</v>
      </c>
      <c r="AB17" s="270" t="n">
        <v>1340527</v>
      </c>
      <c r="AC17" s="582" t="n"/>
      <c r="AD17" s="302" t="n">
        <v>0</v>
      </c>
      <c r="AE17" s="268" t="n">
        <v>0</v>
      </c>
      <c r="AF17" s="268" t="n">
        <v>0</v>
      </c>
      <c r="AG17" s="268" t="n">
        <v>0</v>
      </c>
      <c r="AH17" s="268" t="n">
        <v>0</v>
      </c>
      <c r="AI17" s="268" t="n"/>
      <c r="AJ17" s="268" t="n"/>
      <c r="AK17" s="56" t="n"/>
      <c r="AM17" s="56">
        <f>SUM(C17:Y17)</f>
        <v/>
      </c>
      <c r="AN17" s="56">
        <f>AM17+AD17</f>
        <v/>
      </c>
    </row>
    <row r="18" ht="17" customHeight="1" thickBot="1">
      <c r="A18" s="266" t="n">
        <v>42125</v>
      </c>
      <c r="B18" s="267" t="n">
        <v>8190535</v>
      </c>
      <c r="C18" s="267" t="n">
        <v>3697825</v>
      </c>
      <c r="D18" s="267" t="n">
        <v>220809</v>
      </c>
      <c r="E18" s="267" t="n">
        <v>203655</v>
      </c>
      <c r="F18" s="267" t="n">
        <v>0</v>
      </c>
      <c r="G18" s="267" t="n">
        <v>0</v>
      </c>
      <c r="H18" s="267" t="n">
        <v>0</v>
      </c>
      <c r="I18" s="267" t="n">
        <v>2094261</v>
      </c>
      <c r="J18" s="267" t="n">
        <v>212132</v>
      </c>
      <c r="K18" s="260" t="n">
        <v>49088</v>
      </c>
      <c r="L18" s="267" t="n">
        <v>0</v>
      </c>
      <c r="M18" s="268" t="n">
        <v>0</v>
      </c>
      <c r="N18" s="267" t="n">
        <v>186711</v>
      </c>
      <c r="O18" s="267" t="n">
        <v>72445</v>
      </c>
      <c r="P18" s="268" t="n">
        <v>0</v>
      </c>
      <c r="Q18" s="268" t="n">
        <v>0</v>
      </c>
      <c r="R18" s="268" t="n"/>
      <c r="S18" s="268" t="n"/>
      <c r="T18" s="268" t="n"/>
      <c r="U18" s="268" t="n"/>
      <c r="V18" s="268" t="n"/>
      <c r="W18" s="268" t="n">
        <v>0</v>
      </c>
      <c r="X18" s="268" t="n">
        <v>777496</v>
      </c>
      <c r="Y18" s="267" t="n">
        <v>676113</v>
      </c>
      <c r="Z18" s="269" t="n">
        <v>293556</v>
      </c>
      <c r="AA18" s="270" t="n">
        <v>382557</v>
      </c>
      <c r="AB18" s="270" t="n">
        <v>2280972</v>
      </c>
      <c r="AC18" s="582" t="n"/>
      <c r="AD18" s="302" t="n">
        <v>0</v>
      </c>
      <c r="AE18" s="268" t="n">
        <v>0</v>
      </c>
      <c r="AF18" s="268" t="n">
        <v>0</v>
      </c>
      <c r="AG18" s="268" t="n">
        <v>0</v>
      </c>
      <c r="AH18" s="268" t="n">
        <v>0</v>
      </c>
      <c r="AI18" s="268" t="n"/>
      <c r="AJ18" s="268" t="n"/>
      <c r="AK18" s="56" t="n"/>
      <c r="AM18" s="56">
        <f>SUM(C18:Y18)</f>
        <v/>
      </c>
      <c r="AN18" s="56">
        <f>AM18+AD18</f>
        <v/>
      </c>
    </row>
    <row r="19" ht="17" customHeight="1" thickBot="1">
      <c r="A19" s="266" t="n">
        <v>42156</v>
      </c>
      <c r="B19" s="267" t="n">
        <v>9712387</v>
      </c>
      <c r="C19" s="267" t="n">
        <v>4414578</v>
      </c>
      <c r="D19" s="267" t="n">
        <v>239524</v>
      </c>
      <c r="E19" s="267" t="n">
        <v>194738</v>
      </c>
      <c r="F19" s="267" t="n">
        <v>0</v>
      </c>
      <c r="G19" s="267" t="n">
        <v>0</v>
      </c>
      <c r="H19" s="267" t="n">
        <v>0</v>
      </c>
      <c r="I19" s="267" t="n">
        <v>2544609</v>
      </c>
      <c r="J19" s="267" t="n">
        <v>280980</v>
      </c>
      <c r="K19" s="260" t="n">
        <v>129946</v>
      </c>
      <c r="L19" s="267" t="n">
        <v>0</v>
      </c>
      <c r="M19" s="268" t="n">
        <v>0</v>
      </c>
      <c r="N19" s="267" t="n">
        <v>255852</v>
      </c>
      <c r="O19" s="267" t="n">
        <v>111119</v>
      </c>
      <c r="P19" s="268" t="n">
        <v>0</v>
      </c>
      <c r="Q19" s="268" t="n">
        <v>0</v>
      </c>
      <c r="R19" s="268" t="n"/>
      <c r="S19" s="268" t="n"/>
      <c r="T19" s="268" t="n"/>
      <c r="U19" s="268" t="n"/>
      <c r="V19" s="268" t="n"/>
      <c r="W19" s="268" t="n">
        <v>0</v>
      </c>
      <c r="X19" s="268" t="n">
        <v>589036</v>
      </c>
      <c r="Y19" s="267" t="n">
        <v>952005</v>
      </c>
      <c r="Z19" s="269" t="n">
        <v>302993</v>
      </c>
      <c r="AA19" s="270" t="n">
        <v>649012</v>
      </c>
      <c r="AB19" s="270" t="n">
        <v>2800461</v>
      </c>
      <c r="AC19" s="582" t="n"/>
      <c r="AD19" s="302" t="n">
        <v>0</v>
      </c>
      <c r="AE19" s="268" t="n">
        <v>0</v>
      </c>
      <c r="AF19" s="268" t="n">
        <v>0</v>
      </c>
      <c r="AG19" s="268" t="n">
        <v>0</v>
      </c>
      <c r="AH19" s="268" t="n">
        <v>0</v>
      </c>
      <c r="AI19" s="268" t="n"/>
      <c r="AJ19" s="291" t="n"/>
      <c r="AK19" s="583">
        <f>SUM(B8:B19)</f>
        <v/>
      </c>
      <c r="AL19" s="584">
        <f>AK19</f>
        <v/>
      </c>
      <c r="AM19" s="56">
        <f>SUM(C19:Y19)</f>
        <v/>
      </c>
      <c r="AN19" s="56">
        <f>AM19+AD19</f>
        <v/>
      </c>
    </row>
    <row r="20">
      <c r="A20" s="266" t="n">
        <v>42186</v>
      </c>
      <c r="B20" s="267" t="n">
        <v>8834027</v>
      </c>
      <c r="C20" s="267" t="n">
        <v>3840527</v>
      </c>
      <c r="D20" s="267" t="n">
        <v>216309</v>
      </c>
      <c r="E20" s="267" t="n">
        <v>224950</v>
      </c>
      <c r="F20" s="267" t="n">
        <v>0</v>
      </c>
      <c r="G20" s="267" t="n">
        <v>0</v>
      </c>
      <c r="H20" s="267" t="n">
        <v>0</v>
      </c>
      <c r="I20" s="268" t="n">
        <v>2507656</v>
      </c>
      <c r="J20" s="267" t="n">
        <v>217810</v>
      </c>
      <c r="K20" s="260" t="n">
        <v>77610</v>
      </c>
      <c r="L20" s="267" t="n">
        <v>25769</v>
      </c>
      <c r="M20" s="268" t="n">
        <v>0</v>
      </c>
      <c r="N20" s="268" t="n">
        <v>212246</v>
      </c>
      <c r="O20" s="267" t="n">
        <v>90399</v>
      </c>
      <c r="P20" s="268" t="n">
        <v>0</v>
      </c>
      <c r="Q20" s="268" t="n">
        <v>0</v>
      </c>
      <c r="R20" s="268" t="n"/>
      <c r="S20" s="268" t="n"/>
      <c r="T20" s="268" t="n"/>
      <c r="U20" s="268" t="n"/>
      <c r="V20" s="268" t="n"/>
      <c r="W20" s="268" t="n">
        <v>0</v>
      </c>
      <c r="X20" s="268" t="n">
        <v>636984</v>
      </c>
      <c r="Y20" s="267" t="n">
        <v>783767</v>
      </c>
      <c r="Z20" s="269" t="n">
        <v>277550</v>
      </c>
      <c r="AA20" s="270" t="n">
        <v>506217</v>
      </c>
      <c r="AB20" s="270" t="n">
        <v>2719902</v>
      </c>
      <c r="AC20" s="582" t="n"/>
      <c r="AD20" s="302" t="n">
        <v>0</v>
      </c>
      <c r="AE20" s="268" t="n">
        <v>0</v>
      </c>
      <c r="AF20" s="268" t="n">
        <v>0</v>
      </c>
      <c r="AG20" s="268" t="n">
        <v>0</v>
      </c>
      <c r="AH20" s="268" t="n">
        <v>0</v>
      </c>
      <c r="AI20" s="268" t="n"/>
      <c r="AJ20" s="268" t="n"/>
      <c r="AK20" s="56">
        <f>SUM(B9:B20)</f>
        <v/>
      </c>
      <c r="AL20" s="56" t="n"/>
      <c r="AM20" s="56">
        <f>SUM(C20:Y20)</f>
        <v/>
      </c>
      <c r="AN20" s="56">
        <f>AM20+AD20</f>
        <v/>
      </c>
    </row>
    <row r="21">
      <c r="A21" s="266" t="n">
        <v>42217</v>
      </c>
      <c r="B21" s="267" t="n">
        <v>8681882</v>
      </c>
      <c r="C21" s="267" t="n">
        <v>3336768</v>
      </c>
      <c r="D21" s="267" t="n">
        <v>260880</v>
      </c>
      <c r="E21" s="267" t="n">
        <v>198008</v>
      </c>
      <c r="F21" s="267" t="n">
        <v>0</v>
      </c>
      <c r="G21" s="267" t="n">
        <v>0</v>
      </c>
      <c r="H21" s="267" t="n">
        <v>0</v>
      </c>
      <c r="I21" s="268" t="n">
        <v>2564183</v>
      </c>
      <c r="J21" s="267" t="n">
        <v>268478</v>
      </c>
      <c r="K21" s="260" t="n">
        <v>71460</v>
      </c>
      <c r="L21" s="267" t="n">
        <v>134760</v>
      </c>
      <c r="M21" s="268" t="n">
        <v>0</v>
      </c>
      <c r="N21" s="268" t="n">
        <v>252328</v>
      </c>
      <c r="O21" s="267" t="n">
        <v>107250</v>
      </c>
      <c r="P21" s="268" t="n">
        <v>0</v>
      </c>
      <c r="Q21" s="268" t="n">
        <v>0</v>
      </c>
      <c r="R21" s="268" t="n"/>
      <c r="S21" s="268" t="n"/>
      <c r="T21" s="268" t="n"/>
      <c r="U21" s="268" t="n"/>
      <c r="V21" s="268" t="n"/>
      <c r="W21" s="268" t="n">
        <v>0</v>
      </c>
      <c r="X21" s="268" t="n">
        <v>680006</v>
      </c>
      <c r="Y21" s="267" t="n">
        <v>807761</v>
      </c>
      <c r="Z21" s="269" t="n">
        <v>278196</v>
      </c>
      <c r="AA21" s="270" t="n">
        <v>529565</v>
      </c>
      <c r="AB21" s="270" t="n">
        <v>2816511</v>
      </c>
      <c r="AC21" s="582" t="n"/>
      <c r="AD21" s="302" t="n">
        <v>0</v>
      </c>
      <c r="AE21" s="268" t="n">
        <v>0</v>
      </c>
      <c r="AF21" s="268" t="n">
        <v>0</v>
      </c>
      <c r="AG21" s="268" t="n">
        <v>0</v>
      </c>
      <c r="AH21" s="268" t="n">
        <v>0</v>
      </c>
      <c r="AI21" s="268" t="n"/>
      <c r="AJ21" s="268" t="n"/>
      <c r="AK21" s="56">
        <f>SUM(B10:B21)</f>
        <v/>
      </c>
      <c r="AL21" s="56" t="n"/>
      <c r="AM21" s="56">
        <f>SUM(C21:Y21)</f>
        <v/>
      </c>
      <c r="AN21" s="56">
        <f>AM21+AD21</f>
        <v/>
      </c>
    </row>
    <row r="22">
      <c r="A22" s="266" t="n">
        <v>42248</v>
      </c>
      <c r="B22" s="267" t="n">
        <v>9954396</v>
      </c>
      <c r="C22" s="267" t="n">
        <v>4633259</v>
      </c>
      <c r="D22" s="267" t="n">
        <v>234187</v>
      </c>
      <c r="E22" s="267" t="n">
        <v>228598</v>
      </c>
      <c r="F22" s="267" t="n">
        <v>0</v>
      </c>
      <c r="G22" s="267" t="n">
        <v>0</v>
      </c>
      <c r="H22" s="267" t="n">
        <v>0</v>
      </c>
      <c r="I22" s="268" t="n">
        <v>2359914</v>
      </c>
      <c r="J22" s="267" t="n">
        <v>263450</v>
      </c>
      <c r="K22" s="260" t="n">
        <v>56020</v>
      </c>
      <c r="L22" s="267" t="n">
        <v>135352</v>
      </c>
      <c r="M22" s="268" t="n">
        <v>0</v>
      </c>
      <c r="N22" s="268" t="n">
        <v>222957</v>
      </c>
      <c r="O22" s="267" t="n">
        <v>84622</v>
      </c>
      <c r="P22" s="268" t="n">
        <v>0</v>
      </c>
      <c r="Q22" s="268" t="n">
        <v>0</v>
      </c>
      <c r="R22" s="268" t="n"/>
      <c r="S22" s="268" t="n"/>
      <c r="T22" s="268" t="n"/>
      <c r="U22" s="268" t="n"/>
      <c r="V22" s="268" t="n"/>
      <c r="W22" s="268" t="n">
        <v>0</v>
      </c>
      <c r="X22" s="268" t="n">
        <v>887878</v>
      </c>
      <c r="Y22" s="267" t="n">
        <v>848159</v>
      </c>
      <c r="Z22" s="269" t="n">
        <v>338617</v>
      </c>
      <c r="AA22" s="270" t="n">
        <v>509542</v>
      </c>
      <c r="AB22" s="270" t="n">
        <v>2582871</v>
      </c>
      <c r="AC22" s="582" t="n"/>
      <c r="AD22" s="302" t="n">
        <v>0</v>
      </c>
      <c r="AE22" s="268" t="n">
        <v>0</v>
      </c>
      <c r="AF22" s="268" t="n">
        <v>0</v>
      </c>
      <c r="AG22" s="268" t="n">
        <v>0</v>
      </c>
      <c r="AH22" s="268" t="n">
        <v>0</v>
      </c>
      <c r="AI22" s="268" t="n"/>
      <c r="AJ22" s="268" t="n"/>
      <c r="AK22" s="56">
        <f>SUM(B11:B22)</f>
        <v/>
      </c>
      <c r="AL22" s="56" t="n"/>
      <c r="AM22" s="56">
        <f>SUM(C22:Y22)</f>
        <v/>
      </c>
      <c r="AN22" s="56">
        <f>AM22+AD22</f>
        <v/>
      </c>
    </row>
    <row r="23">
      <c r="A23" s="266" t="n">
        <v>42278</v>
      </c>
      <c r="B23" s="267" t="n">
        <v>8352722</v>
      </c>
      <c r="C23" s="267" t="n">
        <v>4009560</v>
      </c>
      <c r="D23" s="267" t="n">
        <v>212948</v>
      </c>
      <c r="E23" s="267" t="n">
        <v>252642</v>
      </c>
      <c r="F23" s="267" t="n">
        <v>0</v>
      </c>
      <c r="G23" s="267" t="n">
        <v>0</v>
      </c>
      <c r="H23" s="267" t="n">
        <v>0</v>
      </c>
      <c r="I23" s="268" t="n">
        <v>1873529</v>
      </c>
      <c r="J23" s="267" t="n">
        <v>247453</v>
      </c>
      <c r="K23" s="260" t="n">
        <v>52867</v>
      </c>
      <c r="L23" s="267" t="n">
        <v>131511</v>
      </c>
      <c r="M23" s="268" t="n">
        <v>0</v>
      </c>
      <c r="N23" s="268" t="n">
        <v>179183</v>
      </c>
      <c r="O23" s="267" t="n">
        <v>77686</v>
      </c>
      <c r="P23" s="268" t="n">
        <v>0</v>
      </c>
      <c r="Q23" s="268" t="n">
        <v>0</v>
      </c>
      <c r="R23" s="268" t="n"/>
      <c r="S23" s="268" t="n"/>
      <c r="T23" s="268" t="n"/>
      <c r="U23" s="268" t="n"/>
      <c r="V23" s="268" t="n"/>
      <c r="W23" s="268" t="n">
        <v>0</v>
      </c>
      <c r="X23" s="268" t="n">
        <v>705699</v>
      </c>
      <c r="Y23" s="267" t="n">
        <v>609644</v>
      </c>
      <c r="Z23" s="269" t="n">
        <v>309456</v>
      </c>
      <c r="AA23" s="270" t="n">
        <v>300188</v>
      </c>
      <c r="AB23" s="270" t="n">
        <v>2052712</v>
      </c>
      <c r="AC23" s="582" t="n"/>
      <c r="AD23" s="302" t="n">
        <v>0</v>
      </c>
      <c r="AE23" s="268" t="n">
        <v>0</v>
      </c>
      <c r="AF23" s="268" t="n">
        <v>0</v>
      </c>
      <c r="AG23" s="268" t="n">
        <v>0</v>
      </c>
      <c r="AH23" s="268" t="n">
        <v>0</v>
      </c>
      <c r="AI23" s="268" t="n"/>
      <c r="AJ23" s="268" t="n"/>
      <c r="AK23" s="56">
        <f>SUM(B12:B23)</f>
        <v/>
      </c>
      <c r="AL23" s="56" t="n"/>
      <c r="AM23" s="56">
        <f>SUM(C23:Y23)</f>
        <v/>
      </c>
      <c r="AN23" s="56">
        <f>AM23+AD23</f>
        <v/>
      </c>
    </row>
    <row r="24">
      <c r="A24" s="266" t="n">
        <v>42309</v>
      </c>
      <c r="B24" s="267" t="n">
        <v>8050995</v>
      </c>
      <c r="C24" s="267" t="n">
        <v>4200888</v>
      </c>
      <c r="D24" s="267" t="n">
        <v>229804</v>
      </c>
      <c r="E24" s="267" t="n">
        <v>304409</v>
      </c>
      <c r="F24" s="267" t="n">
        <v>0</v>
      </c>
      <c r="G24" s="267" t="n">
        <v>0</v>
      </c>
      <c r="H24" s="267" t="n">
        <v>0</v>
      </c>
      <c r="I24" s="268" t="n">
        <v>1464223</v>
      </c>
      <c r="J24" s="267" t="n">
        <v>278579</v>
      </c>
      <c r="K24" s="260" t="n">
        <v>45990</v>
      </c>
      <c r="L24" s="267" t="n">
        <v>146949</v>
      </c>
      <c r="M24" s="268" t="n">
        <v>0</v>
      </c>
      <c r="N24" s="268" t="n">
        <v>173483</v>
      </c>
      <c r="O24" s="267" t="n">
        <v>65641</v>
      </c>
      <c r="P24" s="268" t="n">
        <v>0</v>
      </c>
      <c r="Q24" s="268" t="n">
        <v>0</v>
      </c>
      <c r="R24" s="268" t="n"/>
      <c r="S24" s="268" t="n"/>
      <c r="T24" s="268" t="n"/>
      <c r="U24" s="268" t="n"/>
      <c r="V24" s="268" t="n"/>
      <c r="W24" s="268" t="n">
        <v>0</v>
      </c>
      <c r="X24" s="268" t="n">
        <v>587552</v>
      </c>
      <c r="Y24" s="267" t="n">
        <v>553477</v>
      </c>
      <c r="Z24" s="269" t="n">
        <v>318937</v>
      </c>
      <c r="AA24" s="270" t="n">
        <v>234540</v>
      </c>
      <c r="AB24" s="270" t="n">
        <v>1637706</v>
      </c>
      <c r="AC24" s="582" t="n"/>
      <c r="AD24" s="302" t="n">
        <v>0</v>
      </c>
      <c r="AE24" s="268" t="n">
        <v>0</v>
      </c>
      <c r="AF24" s="268" t="n">
        <v>0</v>
      </c>
      <c r="AG24" s="268" t="n">
        <v>0</v>
      </c>
      <c r="AH24" s="268" t="n">
        <v>0</v>
      </c>
      <c r="AI24" s="268" t="n"/>
      <c r="AJ24" s="268" t="n"/>
      <c r="AK24" s="56">
        <f>SUM(B13:B24)</f>
        <v/>
      </c>
      <c r="AL24" s="56" t="n"/>
      <c r="AM24" s="56">
        <f>SUM(C24:Y24)</f>
        <v/>
      </c>
      <c r="AN24" s="56">
        <f>AM24+AD24</f>
        <v/>
      </c>
    </row>
    <row r="25">
      <c r="A25" s="266" t="n">
        <v>42339</v>
      </c>
      <c r="B25" s="267" t="n">
        <v>6493453</v>
      </c>
      <c r="C25" s="267" t="n">
        <v>3614603</v>
      </c>
      <c r="D25" s="267" t="n">
        <v>290741</v>
      </c>
      <c r="E25" s="267" t="n">
        <v>333130</v>
      </c>
      <c r="F25" s="267" t="n">
        <v>0</v>
      </c>
      <c r="G25" s="267" t="n">
        <v>0</v>
      </c>
      <c r="H25" s="267" t="n">
        <v>0</v>
      </c>
      <c r="I25" s="268" t="n">
        <v>690904</v>
      </c>
      <c r="J25" s="267" t="n">
        <v>285264</v>
      </c>
      <c r="K25" s="260" t="n">
        <v>65483</v>
      </c>
      <c r="L25" s="267" t="n">
        <v>103943</v>
      </c>
      <c r="M25" s="268" t="n">
        <v>0</v>
      </c>
      <c r="N25" s="268" t="n">
        <v>90243</v>
      </c>
      <c r="O25" s="267" t="n">
        <v>79484</v>
      </c>
      <c r="P25" s="268" t="n">
        <v>0</v>
      </c>
      <c r="Q25" s="268" t="n">
        <v>0</v>
      </c>
      <c r="R25" s="268" t="n"/>
      <c r="S25" s="268" t="n"/>
      <c r="T25" s="268" t="n"/>
      <c r="U25" s="268" t="n"/>
      <c r="V25" s="268" t="n"/>
      <c r="W25" s="268" t="n">
        <v>0</v>
      </c>
      <c r="X25" s="268" t="n">
        <v>453971</v>
      </c>
      <c r="Y25" s="267" t="n">
        <v>485687</v>
      </c>
      <c r="Z25" s="269" t="n">
        <v>282739</v>
      </c>
      <c r="AA25" s="270" t="n">
        <v>202948</v>
      </c>
      <c r="AB25" s="270" t="n">
        <v>781147</v>
      </c>
      <c r="AC25" s="582" t="n"/>
      <c r="AD25" s="302" t="n">
        <v>0</v>
      </c>
      <c r="AE25" s="268" t="n">
        <v>0</v>
      </c>
      <c r="AF25" s="268" t="n">
        <v>0</v>
      </c>
      <c r="AG25" s="268" t="n">
        <v>0</v>
      </c>
      <c r="AH25" s="268" t="n">
        <v>0</v>
      </c>
      <c r="AI25" s="268" t="n"/>
      <c r="AJ25" s="268" t="n"/>
      <c r="AK25" s="56">
        <f>SUM(B14:B25)</f>
        <v/>
      </c>
      <c r="AL25" s="56" t="n"/>
      <c r="AM25" s="56">
        <f>SUM(C25:Y25)</f>
        <v/>
      </c>
      <c r="AN25" s="56">
        <f>AM25+AD25</f>
        <v/>
      </c>
    </row>
    <row r="26">
      <c r="A26" s="271" t="n">
        <v>42370</v>
      </c>
      <c r="B26" s="272" t="n">
        <v>6245223</v>
      </c>
      <c r="C26" s="272" t="n">
        <v>3831763</v>
      </c>
      <c r="D26" s="272" t="n">
        <v>139048</v>
      </c>
      <c r="E26" s="272" t="n">
        <v>277210</v>
      </c>
      <c r="F26" s="272" t="n">
        <v>0</v>
      </c>
      <c r="G26" s="272" t="n">
        <v>0</v>
      </c>
      <c r="H26" s="272" t="n">
        <v>0</v>
      </c>
      <c r="I26" s="272" t="n">
        <v>516685</v>
      </c>
      <c r="J26" s="272" t="n">
        <v>242251</v>
      </c>
      <c r="K26" s="260" t="n">
        <v>42075</v>
      </c>
      <c r="L26" s="272" t="n">
        <v>122690</v>
      </c>
      <c r="M26" s="272" t="n">
        <v>0</v>
      </c>
      <c r="N26" s="272" t="n">
        <v>50559</v>
      </c>
      <c r="O26" s="272" t="n">
        <v>78005</v>
      </c>
      <c r="P26" s="272" t="n">
        <v>0</v>
      </c>
      <c r="Q26" s="272" t="n">
        <v>0</v>
      </c>
      <c r="R26" s="272" t="n"/>
      <c r="S26" s="272" t="n"/>
      <c r="T26" s="272" t="n"/>
      <c r="U26" s="272" t="n"/>
      <c r="V26" s="272" t="n"/>
      <c r="W26" s="272" t="n">
        <v>0</v>
      </c>
      <c r="X26" s="273" t="n">
        <v>377458</v>
      </c>
      <c r="Y26" s="272" t="n">
        <v>567479</v>
      </c>
      <c r="Z26" s="274" t="n">
        <v>259474</v>
      </c>
      <c r="AA26" s="275" t="n">
        <v>308005</v>
      </c>
      <c r="AB26" s="275" t="n">
        <v>567244</v>
      </c>
      <c r="AC26" s="582" t="n"/>
      <c r="AD26" s="303" t="n">
        <v>0</v>
      </c>
      <c r="AE26" s="272" t="n">
        <v>0</v>
      </c>
      <c r="AF26" s="272" t="n">
        <v>0</v>
      </c>
      <c r="AG26" s="272" t="n">
        <v>0</v>
      </c>
      <c r="AH26" s="272" t="n">
        <v>0</v>
      </c>
      <c r="AI26" s="272" t="n"/>
      <c r="AJ26" s="272" t="n"/>
      <c r="AK26" s="56">
        <f>SUM(B15:B26)</f>
        <v/>
      </c>
      <c r="AL26" s="56" t="n"/>
      <c r="AM26" s="56">
        <f>SUM(C26:Y26)</f>
        <v/>
      </c>
      <c r="AN26" s="56">
        <f>AM26+AD26</f>
        <v/>
      </c>
    </row>
    <row r="27">
      <c r="A27" s="271" t="n">
        <v>42401</v>
      </c>
      <c r="B27" s="272" t="n">
        <v>6466884</v>
      </c>
      <c r="C27" s="272" t="n">
        <v>3779412</v>
      </c>
      <c r="D27" s="272" t="n">
        <v>298078</v>
      </c>
      <c r="E27" s="272" t="n">
        <v>343984</v>
      </c>
      <c r="F27" s="272" t="n">
        <v>0</v>
      </c>
      <c r="G27" s="272" t="n">
        <v>0</v>
      </c>
      <c r="H27" s="272" t="n">
        <v>0</v>
      </c>
      <c r="I27" s="272" t="n">
        <v>406263</v>
      </c>
      <c r="J27" s="272" t="n">
        <v>294647</v>
      </c>
      <c r="K27" s="260" t="n">
        <v>45944</v>
      </c>
      <c r="L27" s="272" t="n">
        <v>117026</v>
      </c>
      <c r="M27" s="272" t="n">
        <v>0</v>
      </c>
      <c r="N27" s="272" t="n">
        <v>48852</v>
      </c>
      <c r="O27" s="272" t="n">
        <v>37408</v>
      </c>
      <c r="P27" s="272" t="n">
        <v>0</v>
      </c>
      <c r="Q27" s="272" t="n">
        <v>0</v>
      </c>
      <c r="R27" s="272" t="n"/>
      <c r="S27" s="272" t="n"/>
      <c r="T27" s="272" t="n"/>
      <c r="U27" s="272" t="n"/>
      <c r="V27" s="272" t="n"/>
      <c r="W27" s="272" t="n">
        <v>0</v>
      </c>
      <c r="X27" s="273" t="n">
        <v>487805</v>
      </c>
      <c r="Y27" s="272" t="n">
        <v>607465</v>
      </c>
      <c r="Z27" s="274" t="n">
        <v>272882</v>
      </c>
      <c r="AA27" s="275" t="n">
        <v>334583</v>
      </c>
      <c r="AB27" s="275" t="n">
        <v>455115</v>
      </c>
      <c r="AC27" s="582" t="n"/>
      <c r="AD27" s="303" t="n">
        <v>0</v>
      </c>
      <c r="AE27" s="272" t="n">
        <v>0</v>
      </c>
      <c r="AF27" s="272" t="n">
        <v>0</v>
      </c>
      <c r="AG27" s="272" t="n">
        <v>0</v>
      </c>
      <c r="AH27" s="272" t="n">
        <v>0</v>
      </c>
      <c r="AI27" s="272" t="n"/>
      <c r="AJ27" s="272" t="n"/>
      <c r="AK27" s="56">
        <f>SUM(B16:B27)</f>
        <v/>
      </c>
      <c r="AL27" s="56" t="n"/>
      <c r="AM27" s="56">
        <f>SUM(C27:Y27)</f>
        <v/>
      </c>
      <c r="AN27" s="56">
        <f>AM27+AD27</f>
        <v/>
      </c>
    </row>
    <row r="28">
      <c r="A28" s="271" t="n">
        <v>42430</v>
      </c>
      <c r="B28" s="272" t="n">
        <v>6613470</v>
      </c>
      <c r="C28" s="272" t="n">
        <v>3972874</v>
      </c>
      <c r="D28" s="272" t="n">
        <v>204423</v>
      </c>
      <c r="E28" s="272" t="n">
        <v>276509</v>
      </c>
      <c r="F28" s="272" t="n">
        <v>0</v>
      </c>
      <c r="G28" s="272" t="n">
        <v>0</v>
      </c>
      <c r="H28" s="272" t="n">
        <v>0</v>
      </c>
      <c r="I28" s="272" t="n">
        <v>553500</v>
      </c>
      <c r="J28" s="272" t="n">
        <v>237417</v>
      </c>
      <c r="K28" s="260" t="n">
        <v>58069</v>
      </c>
      <c r="L28" s="272" t="n">
        <v>81220</v>
      </c>
      <c r="M28" s="272" t="n">
        <v>0</v>
      </c>
      <c r="N28" s="272" t="n">
        <v>57570</v>
      </c>
      <c r="O28" s="272" t="n">
        <v>60129</v>
      </c>
      <c r="P28" s="272" t="n">
        <v>0</v>
      </c>
      <c r="Q28" s="272" t="n">
        <v>0</v>
      </c>
      <c r="R28" s="272" t="n"/>
      <c r="S28" s="272" t="n"/>
      <c r="T28" s="272" t="n"/>
      <c r="U28" s="272" t="n"/>
      <c r="V28" s="272" t="n"/>
      <c r="W28" s="272" t="n">
        <v>0</v>
      </c>
      <c r="X28" s="273" t="n">
        <v>547267</v>
      </c>
      <c r="Y28" s="272" t="n">
        <v>564492</v>
      </c>
      <c r="Z28" s="274" t="n">
        <v>289377</v>
      </c>
      <c r="AA28" s="275" t="n">
        <v>275115</v>
      </c>
      <c r="AB28" s="275" t="n">
        <v>611070</v>
      </c>
      <c r="AC28" s="582" t="n"/>
      <c r="AD28" s="303" t="n">
        <v>0</v>
      </c>
      <c r="AE28" s="272" t="n">
        <v>0</v>
      </c>
      <c r="AF28" s="272" t="n">
        <v>0</v>
      </c>
      <c r="AG28" s="272" t="n">
        <v>0</v>
      </c>
      <c r="AH28" s="272" t="n">
        <v>0</v>
      </c>
      <c r="AI28" s="272" t="n"/>
      <c r="AJ28" s="272" t="n"/>
      <c r="AK28" s="56">
        <f>SUM(B17:B28)</f>
        <v/>
      </c>
      <c r="AL28" s="56" t="n"/>
      <c r="AM28" s="56">
        <f>SUM(C28:Y28)</f>
        <v/>
      </c>
      <c r="AN28" s="56">
        <f>AM28+AD28</f>
        <v/>
      </c>
    </row>
    <row r="29">
      <c r="A29" s="271" t="n">
        <v>42461</v>
      </c>
      <c r="B29" s="272" t="n">
        <v>7584721</v>
      </c>
      <c r="C29" s="272" t="n">
        <v>4018970</v>
      </c>
      <c r="D29" s="272" t="n">
        <v>215813</v>
      </c>
      <c r="E29" s="272" t="n">
        <v>296537</v>
      </c>
      <c r="F29" s="272" t="n">
        <v>0</v>
      </c>
      <c r="G29" s="272" t="n">
        <v>0</v>
      </c>
      <c r="H29" s="272" t="n">
        <v>0</v>
      </c>
      <c r="I29" s="272" t="n">
        <v>1283919</v>
      </c>
      <c r="J29" s="272" t="n">
        <v>271059</v>
      </c>
      <c r="K29" s="260" t="n">
        <v>49082</v>
      </c>
      <c r="L29" s="272" t="n">
        <v>118821</v>
      </c>
      <c r="M29" s="272" t="n">
        <v>0</v>
      </c>
      <c r="N29" s="272" t="n">
        <v>135895</v>
      </c>
      <c r="O29" s="272" t="n">
        <v>63059</v>
      </c>
      <c r="P29" s="272" t="n">
        <v>0</v>
      </c>
      <c r="Q29" s="272" t="n">
        <v>0</v>
      </c>
      <c r="R29" s="272" t="n"/>
      <c r="S29" s="272" t="n"/>
      <c r="T29" s="272" t="n"/>
      <c r="U29" s="272" t="n"/>
      <c r="V29" s="272" t="n"/>
      <c r="W29" s="272" t="n">
        <v>0</v>
      </c>
      <c r="X29" s="273" t="n">
        <v>558826</v>
      </c>
      <c r="Y29" s="272" t="n">
        <v>572740</v>
      </c>
      <c r="Z29" s="274" t="n">
        <v>308674</v>
      </c>
      <c r="AA29" s="275" t="n">
        <v>264066</v>
      </c>
      <c r="AB29" s="275" t="n">
        <v>1419814</v>
      </c>
      <c r="AC29" s="582" t="n"/>
      <c r="AD29" s="303" t="n">
        <v>0</v>
      </c>
      <c r="AE29" s="272" t="n">
        <v>0</v>
      </c>
      <c r="AF29" s="272" t="n">
        <v>0</v>
      </c>
      <c r="AG29" s="272" t="n">
        <v>0</v>
      </c>
      <c r="AH29" s="272" t="n">
        <v>0</v>
      </c>
      <c r="AI29" s="272" t="n"/>
      <c r="AJ29" s="272" t="n"/>
      <c r="AK29" s="56">
        <f>SUM(B18:B29)</f>
        <v/>
      </c>
      <c r="AL29" s="56" t="n"/>
      <c r="AM29" s="56">
        <f>SUM(C29:Y29)</f>
        <v/>
      </c>
      <c r="AN29" s="56">
        <f>AM29+AD29</f>
        <v/>
      </c>
    </row>
    <row r="30" ht="17" customHeight="1" thickBot="1">
      <c r="A30" s="271" t="n">
        <v>42491</v>
      </c>
      <c r="B30" s="272" t="n">
        <v>8730352</v>
      </c>
      <c r="C30" s="272" t="n">
        <v>3773707</v>
      </c>
      <c r="D30" s="272" t="n">
        <v>263078</v>
      </c>
      <c r="E30" s="272" t="n">
        <v>405553</v>
      </c>
      <c r="F30" s="272" t="n">
        <v>0</v>
      </c>
      <c r="G30" s="272" t="n">
        <v>0</v>
      </c>
      <c r="H30" s="272" t="n">
        <v>0</v>
      </c>
      <c r="I30" s="272" t="n">
        <v>1964154</v>
      </c>
      <c r="J30" s="272" t="n">
        <v>277527</v>
      </c>
      <c r="K30" s="260" t="n">
        <v>71026</v>
      </c>
      <c r="L30" s="272" t="n">
        <v>204440</v>
      </c>
      <c r="M30" s="272" t="n">
        <v>0</v>
      </c>
      <c r="N30" s="272" t="n">
        <v>241532</v>
      </c>
      <c r="O30" s="272" t="n">
        <v>102506</v>
      </c>
      <c r="P30" s="272" t="n">
        <v>0</v>
      </c>
      <c r="Q30" s="272" t="n">
        <v>0</v>
      </c>
      <c r="R30" s="272" t="n"/>
      <c r="S30" s="272" t="n"/>
      <c r="T30" s="272" t="n"/>
      <c r="U30" s="272" t="n"/>
      <c r="V30" s="272" t="n"/>
      <c r="W30" s="272" t="n">
        <v>0</v>
      </c>
      <c r="X30" s="273" t="n">
        <v>728971</v>
      </c>
      <c r="Y30" s="272" t="n">
        <v>697858</v>
      </c>
      <c r="Z30" s="274" t="n">
        <v>320173</v>
      </c>
      <c r="AA30" s="275" t="n">
        <v>377685</v>
      </c>
      <c r="AB30" s="275" t="n">
        <v>2205686</v>
      </c>
      <c r="AC30" s="582" t="n"/>
      <c r="AD30" s="303" t="n">
        <v>0</v>
      </c>
      <c r="AE30" s="272" t="n">
        <v>0</v>
      </c>
      <c r="AF30" s="272" t="n">
        <v>0</v>
      </c>
      <c r="AG30" s="272" t="n">
        <v>0</v>
      </c>
      <c r="AH30" s="272" t="n">
        <v>0</v>
      </c>
      <c r="AI30" s="272" t="n"/>
      <c r="AJ30" s="272" t="n"/>
      <c r="AK30" s="56">
        <f>SUM(B19:B30)</f>
        <v/>
      </c>
      <c r="AL30" s="56" t="n"/>
      <c r="AM30" s="56">
        <f>SUM(C30:Y30)</f>
        <v/>
      </c>
      <c r="AN30" s="56">
        <f>AM30+AD30</f>
        <v/>
      </c>
    </row>
    <row r="31" ht="17" customHeight="1" thickBot="1">
      <c r="A31" s="271" t="n">
        <v>42522</v>
      </c>
      <c r="B31" s="272" t="n">
        <v>9791945</v>
      </c>
      <c r="C31" s="272" t="n">
        <v>4046518</v>
      </c>
      <c r="D31" s="272" t="n">
        <v>274465</v>
      </c>
      <c r="E31" s="272" t="n">
        <v>503779</v>
      </c>
      <c r="F31" s="272" t="n">
        <v>0</v>
      </c>
      <c r="G31" s="272" t="n">
        <v>0</v>
      </c>
      <c r="H31" s="272" t="n">
        <v>0</v>
      </c>
      <c r="I31" s="272" t="n">
        <v>2672172</v>
      </c>
      <c r="J31" s="272" t="n">
        <v>247180</v>
      </c>
      <c r="K31" s="260" t="n">
        <v>48151</v>
      </c>
      <c r="L31" s="272" t="n">
        <v>162606</v>
      </c>
      <c r="M31" s="272" t="n">
        <v>0</v>
      </c>
      <c r="N31" s="272" t="n">
        <v>204368</v>
      </c>
      <c r="O31" s="272" t="n">
        <v>87014</v>
      </c>
      <c r="P31" s="272" t="n">
        <v>0</v>
      </c>
      <c r="Q31" s="272" t="n">
        <v>0</v>
      </c>
      <c r="R31" s="272" t="n"/>
      <c r="S31" s="272" t="n"/>
      <c r="T31" s="272" t="n"/>
      <c r="U31" s="272" t="n"/>
      <c r="V31" s="272" t="n"/>
      <c r="W31" s="272" t="n">
        <v>0</v>
      </c>
      <c r="X31" s="273" t="n">
        <v>649314</v>
      </c>
      <c r="Y31" s="272" t="n">
        <v>896378</v>
      </c>
      <c r="Z31" s="274" t="n">
        <v>301989</v>
      </c>
      <c r="AA31" s="275" t="n">
        <v>594389</v>
      </c>
      <c r="AB31" s="275" t="n">
        <v>2876540</v>
      </c>
      <c r="AC31" s="582" t="n"/>
      <c r="AD31" s="303" t="n">
        <v>0</v>
      </c>
      <c r="AE31" s="272" t="n">
        <v>0</v>
      </c>
      <c r="AF31" s="272" t="n">
        <v>0</v>
      </c>
      <c r="AG31" s="272" t="n">
        <v>0</v>
      </c>
      <c r="AH31" s="272" t="n">
        <v>0</v>
      </c>
      <c r="AI31" s="272" t="n"/>
      <c r="AJ31" s="275" t="n"/>
      <c r="AK31" s="583">
        <f>SUM(B20:B31)</f>
        <v/>
      </c>
      <c r="AL31" s="584">
        <f>AK31</f>
        <v/>
      </c>
      <c r="AM31" s="56">
        <f>SUM(C31:Y31)</f>
        <v/>
      </c>
      <c r="AN31" s="56">
        <f>AM31+AD31</f>
        <v/>
      </c>
    </row>
    <row r="32">
      <c r="A32" s="271" t="n">
        <v>42552</v>
      </c>
      <c r="B32" s="272" t="n">
        <v>9168714</v>
      </c>
      <c r="C32" s="272" t="n">
        <v>3655670</v>
      </c>
      <c r="D32" s="272" t="n">
        <v>171816</v>
      </c>
      <c r="E32" s="272" t="n">
        <v>346896</v>
      </c>
      <c r="F32" s="272" t="n">
        <v>0</v>
      </c>
      <c r="G32" s="272" t="n">
        <v>0</v>
      </c>
      <c r="H32" s="272" t="n">
        <v>0</v>
      </c>
      <c r="I32" s="272" t="n">
        <v>2679758</v>
      </c>
      <c r="J32" s="272" t="n">
        <v>241218</v>
      </c>
      <c r="K32" s="260" t="n">
        <v>56433</v>
      </c>
      <c r="L32" s="272" t="n">
        <v>183048</v>
      </c>
      <c r="M32" s="272" t="n">
        <v>0</v>
      </c>
      <c r="N32" s="272" t="n">
        <v>231512</v>
      </c>
      <c r="O32" s="272" t="n">
        <v>89776</v>
      </c>
      <c r="P32" s="272" t="n">
        <v>0</v>
      </c>
      <c r="Q32" s="272" t="n">
        <v>0</v>
      </c>
      <c r="R32" s="272" t="n"/>
      <c r="S32" s="272" t="n"/>
      <c r="T32" s="272" t="n"/>
      <c r="U32" s="272" t="n"/>
      <c r="V32" s="272" t="n"/>
      <c r="W32" s="272" t="n">
        <v>0</v>
      </c>
      <c r="X32" s="273" t="n">
        <v>701641</v>
      </c>
      <c r="Y32" s="272" t="n">
        <v>810946</v>
      </c>
      <c r="Z32" s="274" t="n">
        <v>285596</v>
      </c>
      <c r="AA32" s="275" t="n">
        <v>525350</v>
      </c>
      <c r="AB32" s="275" t="n">
        <v>2911270</v>
      </c>
      <c r="AC32" s="582" t="n"/>
      <c r="AD32" s="303" t="n">
        <v>0</v>
      </c>
      <c r="AE32" s="272" t="n">
        <v>0</v>
      </c>
      <c r="AF32" s="272" t="n">
        <v>0</v>
      </c>
      <c r="AG32" s="272" t="n">
        <v>0</v>
      </c>
      <c r="AH32" s="272" t="n">
        <v>0</v>
      </c>
      <c r="AI32" s="272" t="n"/>
      <c r="AJ32" s="272" t="n"/>
      <c r="AK32" s="56">
        <f>SUM(B21:B32)</f>
        <v/>
      </c>
      <c r="AL32" s="56" t="n"/>
      <c r="AM32" s="56">
        <f>SUM(C32:Y32)</f>
        <v/>
      </c>
      <c r="AN32" s="56">
        <f>AM32+AD32</f>
        <v/>
      </c>
    </row>
    <row r="33">
      <c r="A33" s="271" t="n">
        <v>42583</v>
      </c>
      <c r="B33" s="272" t="n">
        <v>9494610</v>
      </c>
      <c r="C33" s="272" t="n">
        <v>3873088</v>
      </c>
      <c r="D33" s="272" t="n">
        <v>267163</v>
      </c>
      <c r="E33" s="272" t="n">
        <v>515939</v>
      </c>
      <c r="F33" s="272" t="n">
        <v>0</v>
      </c>
      <c r="G33" s="272" t="n">
        <v>0</v>
      </c>
      <c r="H33" s="272" t="n">
        <v>0</v>
      </c>
      <c r="I33" s="272" t="n">
        <v>2450437</v>
      </c>
      <c r="J33" s="272" t="n">
        <v>296189</v>
      </c>
      <c r="K33" s="260" t="n">
        <v>70401</v>
      </c>
      <c r="L33" s="272" t="n">
        <v>187636</v>
      </c>
      <c r="M33" s="272" t="n">
        <v>0</v>
      </c>
      <c r="N33" s="272" t="n">
        <v>253271</v>
      </c>
      <c r="O33" s="273" t="n">
        <v>98211</v>
      </c>
      <c r="P33" s="272" t="n">
        <v>0</v>
      </c>
      <c r="Q33" s="272" t="n">
        <v>0</v>
      </c>
      <c r="R33" s="272" t="n"/>
      <c r="S33" s="272" t="n"/>
      <c r="T33" s="272" t="n"/>
      <c r="U33" s="272" t="n"/>
      <c r="V33" s="272" t="n"/>
      <c r="W33" s="272" t="n">
        <v>0</v>
      </c>
      <c r="X33" s="273" t="n">
        <v>706214</v>
      </c>
      <c r="Y33" s="272" t="n">
        <v>776061</v>
      </c>
      <c r="Z33" s="274" t="n">
        <v>313559</v>
      </c>
      <c r="AA33" s="275" t="n">
        <v>462502</v>
      </c>
      <c r="AB33" s="275" t="n">
        <v>2703708</v>
      </c>
      <c r="AC33" s="582" t="n"/>
      <c r="AD33" s="303" t="n">
        <v>0</v>
      </c>
      <c r="AE33" s="272" t="n">
        <v>0</v>
      </c>
      <c r="AF33" s="272" t="n">
        <v>0</v>
      </c>
      <c r="AG33" s="272" t="n">
        <v>0</v>
      </c>
      <c r="AH33" s="272" t="n">
        <v>0</v>
      </c>
      <c r="AI33" s="272" t="n"/>
      <c r="AJ33" s="272" t="n"/>
      <c r="AK33" s="56">
        <f>SUM(B22:B33)</f>
        <v/>
      </c>
      <c r="AL33" s="56" t="n"/>
      <c r="AM33" s="56">
        <f>SUM(C33:Y33)</f>
        <v/>
      </c>
      <c r="AN33" s="56">
        <f>AM33+AD33</f>
        <v/>
      </c>
    </row>
    <row r="34">
      <c r="A34" s="271" t="n">
        <v>42614</v>
      </c>
      <c r="B34" s="272" t="n">
        <v>9481784</v>
      </c>
      <c r="C34" s="272" t="n">
        <v>4228883</v>
      </c>
      <c r="D34" s="272" t="n">
        <v>247221</v>
      </c>
      <c r="E34" s="272" t="n">
        <v>400844</v>
      </c>
      <c r="F34" s="272" t="n">
        <v>0</v>
      </c>
      <c r="G34" s="272" t="n">
        <v>0</v>
      </c>
      <c r="H34" s="272" t="n">
        <v>0</v>
      </c>
      <c r="I34" s="272" t="n">
        <v>2315953</v>
      </c>
      <c r="J34" s="272" t="n">
        <v>260266</v>
      </c>
      <c r="K34" s="260" t="n">
        <v>58317</v>
      </c>
      <c r="L34" s="272" t="n">
        <v>155062</v>
      </c>
      <c r="M34" s="272" t="n">
        <v>0</v>
      </c>
      <c r="N34" s="272" t="n">
        <v>205585</v>
      </c>
      <c r="O34" s="273" t="n">
        <v>86794</v>
      </c>
      <c r="P34" s="272" t="n">
        <v>0</v>
      </c>
      <c r="Q34" s="272" t="n">
        <v>0</v>
      </c>
      <c r="R34" s="272" t="n"/>
      <c r="S34" s="272" t="n"/>
      <c r="T34" s="272" t="n"/>
      <c r="U34" s="272" t="n"/>
      <c r="V34" s="272" t="n"/>
      <c r="W34" s="272" t="n">
        <v>0</v>
      </c>
      <c r="X34" s="273" t="n">
        <v>809354</v>
      </c>
      <c r="Y34" s="272" t="n">
        <v>713505</v>
      </c>
      <c r="Z34" s="274" t="n">
        <v>333329</v>
      </c>
      <c r="AA34" s="275" t="n">
        <v>380176</v>
      </c>
      <c r="AB34" s="275" t="n">
        <v>2521538</v>
      </c>
      <c r="AC34" s="582" t="n"/>
      <c r="AD34" s="303" t="n">
        <v>0</v>
      </c>
      <c r="AE34" s="272" t="n">
        <v>0</v>
      </c>
      <c r="AF34" s="272" t="n">
        <v>0</v>
      </c>
      <c r="AG34" s="272" t="n">
        <v>0</v>
      </c>
      <c r="AH34" s="272" t="n">
        <v>0</v>
      </c>
      <c r="AI34" s="272" t="n"/>
      <c r="AJ34" s="272" t="n"/>
      <c r="AK34" s="56">
        <f>SUM(B23:B34)</f>
        <v/>
      </c>
      <c r="AL34" s="56" t="n"/>
      <c r="AM34" s="56">
        <f>SUM(C34:Y34)</f>
        <v/>
      </c>
      <c r="AN34" s="56">
        <f>AM34+AD34</f>
        <v/>
      </c>
    </row>
    <row r="35">
      <c r="A35" s="271" t="n">
        <v>42644</v>
      </c>
      <c r="B35" s="272" t="n">
        <v>8039061</v>
      </c>
      <c r="C35" s="272" t="n">
        <v>3320287</v>
      </c>
      <c r="D35" s="272" t="n">
        <v>244358</v>
      </c>
      <c r="E35" s="272" t="n">
        <v>301842</v>
      </c>
      <c r="F35" s="272" t="n">
        <v>0</v>
      </c>
      <c r="G35" s="272" t="n">
        <v>0</v>
      </c>
      <c r="H35" s="272" t="n">
        <v>0</v>
      </c>
      <c r="I35" s="272" t="n">
        <v>2065366</v>
      </c>
      <c r="J35" s="272" t="n">
        <v>252484</v>
      </c>
      <c r="K35" s="260" t="n">
        <v>59236</v>
      </c>
      <c r="L35" s="272" t="n">
        <v>143725</v>
      </c>
      <c r="M35" s="272" t="n">
        <v>0</v>
      </c>
      <c r="N35" s="272" t="n">
        <v>191013</v>
      </c>
      <c r="O35" s="273" t="n">
        <v>67897</v>
      </c>
      <c r="P35" s="272" t="n">
        <v>0</v>
      </c>
      <c r="Q35" s="272" t="n">
        <v>0</v>
      </c>
      <c r="R35" s="272" t="n"/>
      <c r="S35" s="272" t="n"/>
      <c r="T35" s="272" t="n"/>
      <c r="U35" s="272" t="n"/>
      <c r="V35" s="272" t="n"/>
      <c r="W35" s="272" t="n">
        <v>0</v>
      </c>
      <c r="X35" s="273" t="n">
        <v>828064</v>
      </c>
      <c r="Y35" s="272" t="n">
        <v>564789</v>
      </c>
      <c r="Z35" s="274" t="n">
        <v>295061</v>
      </c>
      <c r="AA35" s="275" t="n">
        <v>269728</v>
      </c>
      <c r="AB35" s="275" t="n">
        <v>2256379</v>
      </c>
      <c r="AC35" s="582" t="n"/>
      <c r="AD35" s="303" t="n">
        <v>0</v>
      </c>
      <c r="AE35" s="272" t="n">
        <v>0</v>
      </c>
      <c r="AF35" s="272" t="n">
        <v>0</v>
      </c>
      <c r="AG35" s="272" t="n">
        <v>0</v>
      </c>
      <c r="AH35" s="272" t="n">
        <v>0</v>
      </c>
      <c r="AI35" s="272" t="n"/>
      <c r="AJ35" s="272" t="n"/>
      <c r="AK35" s="56">
        <f>SUM(B24:B35)</f>
        <v/>
      </c>
      <c r="AL35" s="56" t="n"/>
      <c r="AM35" s="56">
        <f>SUM(C35:Y35)</f>
        <v/>
      </c>
      <c r="AN35" s="56">
        <f>AM35+AD35</f>
        <v/>
      </c>
    </row>
    <row r="36">
      <c r="A36" s="271" t="n">
        <v>42675</v>
      </c>
      <c r="B36" s="272" t="n">
        <v>8258064</v>
      </c>
      <c r="C36" s="272" t="n">
        <v>4405647</v>
      </c>
      <c r="D36" s="272" t="n">
        <v>269652</v>
      </c>
      <c r="E36" s="272" t="n">
        <v>561953</v>
      </c>
      <c r="F36" s="272" t="n">
        <v>0</v>
      </c>
      <c r="G36" s="272" t="n">
        <v>0</v>
      </c>
      <c r="H36" s="272" t="n">
        <v>0</v>
      </c>
      <c r="I36" s="272" t="n">
        <v>1190430</v>
      </c>
      <c r="J36" s="272" t="n">
        <v>309914</v>
      </c>
      <c r="K36" s="260" t="n">
        <v>74983</v>
      </c>
      <c r="L36" s="272" t="n">
        <v>137244</v>
      </c>
      <c r="M36" s="272" t="n">
        <v>0</v>
      </c>
      <c r="N36" s="272" t="n">
        <v>161352</v>
      </c>
      <c r="O36" s="273" t="n">
        <v>68587</v>
      </c>
      <c r="P36" s="272" t="n">
        <v>0</v>
      </c>
      <c r="Q36" s="272" t="n">
        <v>0</v>
      </c>
      <c r="R36" s="272" t="n"/>
      <c r="S36" s="272" t="n"/>
      <c r="T36" s="272" t="n"/>
      <c r="U36" s="272" t="n"/>
      <c r="V36" s="272" t="n"/>
      <c r="W36" s="272" t="n">
        <v>0</v>
      </c>
      <c r="X36" s="273" t="n">
        <v>531267</v>
      </c>
      <c r="Y36" s="272" t="n">
        <v>547035</v>
      </c>
      <c r="Z36" s="274" t="n">
        <v>351124</v>
      </c>
      <c r="AA36" s="275" t="n">
        <v>195911</v>
      </c>
      <c r="AB36" s="275" t="n">
        <v>1351782</v>
      </c>
      <c r="AC36" s="582" t="n"/>
      <c r="AD36" s="303" t="n">
        <v>0</v>
      </c>
      <c r="AE36" s="272" t="n">
        <v>0</v>
      </c>
      <c r="AF36" s="272" t="n">
        <v>0</v>
      </c>
      <c r="AG36" s="272" t="n">
        <v>0</v>
      </c>
      <c r="AH36" s="272" t="n">
        <v>0</v>
      </c>
      <c r="AI36" s="272" t="n"/>
      <c r="AJ36" s="272" t="n"/>
      <c r="AK36" s="56">
        <f>SUM(B25:B36)</f>
        <v/>
      </c>
      <c r="AL36" s="56" t="n"/>
      <c r="AM36" s="56">
        <f>SUM(C36:Y36)</f>
        <v/>
      </c>
      <c r="AN36" s="56">
        <f>AM36+AD36</f>
        <v/>
      </c>
    </row>
    <row r="37">
      <c r="A37" s="271" t="n">
        <v>42705</v>
      </c>
      <c r="B37" s="272" t="n">
        <v>6468025</v>
      </c>
      <c r="C37" s="272" t="n">
        <v>3593398</v>
      </c>
      <c r="D37" s="272" t="n">
        <v>239740</v>
      </c>
      <c r="E37" s="272" t="n">
        <v>398980</v>
      </c>
      <c r="F37" s="272" t="n">
        <v>0</v>
      </c>
      <c r="G37" s="272" t="n">
        <v>0</v>
      </c>
      <c r="H37" s="272" t="n">
        <v>0</v>
      </c>
      <c r="I37" s="272" t="n">
        <v>761395</v>
      </c>
      <c r="J37" s="272" t="n">
        <v>261691</v>
      </c>
      <c r="K37" s="260" t="n">
        <v>59003</v>
      </c>
      <c r="L37" s="272" t="n">
        <v>108647</v>
      </c>
      <c r="M37" s="272" t="n">
        <v>0</v>
      </c>
      <c r="N37" s="272" t="n">
        <v>86111</v>
      </c>
      <c r="O37" s="273" t="n">
        <v>51534</v>
      </c>
      <c r="P37" s="272" t="n">
        <v>0</v>
      </c>
      <c r="Q37" s="272" t="n">
        <v>0</v>
      </c>
      <c r="R37" s="272" t="n"/>
      <c r="S37" s="272" t="n"/>
      <c r="T37" s="272" t="n"/>
      <c r="U37" s="272" t="n"/>
      <c r="V37" s="272" t="n"/>
      <c r="W37" s="272" t="n">
        <v>0</v>
      </c>
      <c r="X37" s="273" t="n">
        <v>463216</v>
      </c>
      <c r="Y37" s="272" t="n">
        <v>444310</v>
      </c>
      <c r="Z37" s="274" t="n">
        <v>303998</v>
      </c>
      <c r="AA37" s="275" t="n">
        <v>140312</v>
      </c>
      <c r="AB37" s="275" t="n">
        <v>847506</v>
      </c>
      <c r="AC37" s="582" t="n"/>
      <c r="AD37" s="303" t="n">
        <v>0</v>
      </c>
      <c r="AE37" s="272" t="n">
        <v>0</v>
      </c>
      <c r="AF37" s="272" t="n">
        <v>0</v>
      </c>
      <c r="AG37" s="272" t="n">
        <v>0</v>
      </c>
      <c r="AH37" s="272" t="n">
        <v>0</v>
      </c>
      <c r="AI37" s="272" t="n"/>
      <c r="AJ37" s="272" t="n"/>
      <c r="AK37" s="56">
        <f>SUM(B26:B37)</f>
        <v/>
      </c>
      <c r="AL37" s="56" t="n"/>
      <c r="AM37" s="56">
        <f>SUM(C37:Y37)</f>
        <v/>
      </c>
      <c r="AN37" s="56">
        <f>AM37+AD37</f>
        <v/>
      </c>
    </row>
    <row r="38">
      <c r="A38" s="276" t="n">
        <v>42736</v>
      </c>
      <c r="B38" s="277" t="n">
        <v>5525573</v>
      </c>
      <c r="C38" s="277" t="n">
        <v>3099589</v>
      </c>
      <c r="D38" s="277" t="n">
        <v>214435</v>
      </c>
      <c r="E38" s="277" t="n">
        <v>370050</v>
      </c>
      <c r="F38" s="277" t="n">
        <v>0</v>
      </c>
      <c r="G38" s="277" t="n">
        <v>0</v>
      </c>
      <c r="H38" s="277" t="n">
        <v>0</v>
      </c>
      <c r="I38" s="277" t="n">
        <v>618875</v>
      </c>
      <c r="J38" s="277" t="n">
        <v>233523</v>
      </c>
      <c r="K38" s="260" t="n">
        <v>46449</v>
      </c>
      <c r="L38" s="277" t="n">
        <v>99324</v>
      </c>
      <c r="M38" s="278" t="n">
        <v>0</v>
      </c>
      <c r="N38" s="277" t="n">
        <v>55694</v>
      </c>
      <c r="O38" s="278" t="n">
        <v>41576</v>
      </c>
      <c r="P38" s="278" t="n">
        <v>0</v>
      </c>
      <c r="Q38" s="278" t="n">
        <v>0</v>
      </c>
      <c r="R38" s="278" t="n"/>
      <c r="S38" s="278" t="n"/>
      <c r="T38" s="278" t="n"/>
      <c r="U38" s="278" t="n"/>
      <c r="V38" s="278" t="n"/>
      <c r="W38" s="278" t="n">
        <v>0</v>
      </c>
      <c r="X38" s="278" t="n">
        <v>337896</v>
      </c>
      <c r="Y38" s="277" t="n">
        <v>408162</v>
      </c>
      <c r="Z38" s="279" t="n">
        <v>243772</v>
      </c>
      <c r="AA38" s="280" t="n">
        <v>164390</v>
      </c>
      <c r="AB38" s="280" t="n">
        <v>674569</v>
      </c>
      <c r="AC38" s="582" t="n"/>
      <c r="AD38" s="304" t="n">
        <v>0</v>
      </c>
      <c r="AE38" s="278" t="n">
        <v>0</v>
      </c>
      <c r="AF38" s="278" t="n">
        <v>0</v>
      </c>
      <c r="AG38" s="278" t="n">
        <v>0</v>
      </c>
      <c r="AH38" s="278" t="n">
        <v>0</v>
      </c>
      <c r="AI38" s="278" t="n"/>
      <c r="AJ38" s="278" t="n"/>
      <c r="AK38" s="56">
        <f>SUM(B27:B38)</f>
        <v/>
      </c>
      <c r="AL38" s="56" t="n"/>
      <c r="AM38" s="56">
        <f>SUM(C38:Y38)</f>
        <v/>
      </c>
      <c r="AN38" s="56">
        <f>AM38+AD38</f>
        <v/>
      </c>
    </row>
    <row r="39">
      <c r="A39" s="276" t="n">
        <v>42767</v>
      </c>
      <c r="B39" s="277" t="n">
        <v>6826525</v>
      </c>
      <c r="C39" s="277" t="n">
        <v>4036987</v>
      </c>
      <c r="D39" s="277" t="n">
        <v>254971</v>
      </c>
      <c r="E39" s="277" t="n">
        <v>430923</v>
      </c>
      <c r="F39" s="277" t="n">
        <v>0</v>
      </c>
      <c r="G39" s="277" t="n">
        <v>0</v>
      </c>
      <c r="H39" s="277" t="n">
        <v>0</v>
      </c>
      <c r="I39" s="277" t="n">
        <v>526051</v>
      </c>
      <c r="J39" s="277" t="n">
        <v>277051</v>
      </c>
      <c r="K39" s="160" t="n">
        <v>57162</v>
      </c>
      <c r="L39" s="277" t="n">
        <v>104695</v>
      </c>
      <c r="M39" s="278" t="n">
        <v>0</v>
      </c>
      <c r="N39" s="277" t="n">
        <v>58566</v>
      </c>
      <c r="O39" s="278" t="n">
        <v>46491</v>
      </c>
      <c r="P39" s="278" t="n">
        <v>0</v>
      </c>
      <c r="Q39" s="278" t="n">
        <v>0</v>
      </c>
      <c r="R39" s="278" t="n"/>
      <c r="S39" s="278" t="n"/>
      <c r="T39" s="278" t="n"/>
      <c r="U39" s="278" t="n"/>
      <c r="V39" s="278" t="n"/>
      <c r="W39" s="278" t="n">
        <v>0</v>
      </c>
      <c r="X39" s="278" t="n">
        <v>498147</v>
      </c>
      <c r="Y39" s="277" t="n">
        <v>535481</v>
      </c>
      <c r="Z39" s="279" t="n">
        <v>308838</v>
      </c>
      <c r="AA39" s="280" t="n">
        <v>226643</v>
      </c>
      <c r="AB39" s="280" t="n">
        <v>584617</v>
      </c>
      <c r="AC39" s="582" t="n"/>
      <c r="AD39" s="304" t="n">
        <v>0</v>
      </c>
      <c r="AE39" s="278" t="n">
        <v>0</v>
      </c>
      <c r="AF39" s="278" t="n">
        <v>0</v>
      </c>
      <c r="AG39" s="278" t="n">
        <v>0</v>
      </c>
      <c r="AH39" s="278" t="n">
        <v>0</v>
      </c>
      <c r="AI39" s="278" t="n"/>
      <c r="AJ39" s="278" t="n"/>
      <c r="AK39" s="56">
        <f>SUM(B28:B39)</f>
        <v/>
      </c>
      <c r="AL39" s="56" t="n"/>
      <c r="AM39" s="56">
        <f>SUM(C39:Y39)</f>
        <v/>
      </c>
      <c r="AN39" s="56">
        <f>AM39+AD39</f>
        <v/>
      </c>
    </row>
    <row r="40">
      <c r="A40" s="276" t="n">
        <v>42795</v>
      </c>
      <c r="B40" s="277" t="n">
        <v>6883831</v>
      </c>
      <c r="C40" s="277" t="n">
        <v>3870515</v>
      </c>
      <c r="D40" s="277" t="n">
        <v>248895</v>
      </c>
      <c r="E40" s="277" t="n">
        <v>445814</v>
      </c>
      <c r="F40" s="277" t="n">
        <v>0</v>
      </c>
      <c r="G40" s="277" t="n">
        <v>0</v>
      </c>
      <c r="H40" s="277" t="n">
        <v>0</v>
      </c>
      <c r="I40" s="277" t="n">
        <v>740508</v>
      </c>
      <c r="J40" s="277" t="n">
        <v>295298</v>
      </c>
      <c r="K40" s="160" t="n">
        <v>58107</v>
      </c>
      <c r="L40" s="277" t="n">
        <v>92166</v>
      </c>
      <c r="M40" s="278" t="n">
        <v>0</v>
      </c>
      <c r="N40" s="277" t="n">
        <v>72031</v>
      </c>
      <c r="O40" s="278" t="n">
        <v>46835</v>
      </c>
      <c r="P40" s="278" t="n">
        <v>0</v>
      </c>
      <c r="Q40" s="278" t="n">
        <v>0</v>
      </c>
      <c r="R40" s="278" t="n"/>
      <c r="S40" s="278" t="n"/>
      <c r="T40" s="278" t="n"/>
      <c r="U40" s="278" t="n"/>
      <c r="V40" s="278" t="n"/>
      <c r="W40" s="278" t="n">
        <v>0</v>
      </c>
      <c r="X40" s="278" t="n">
        <v>500980</v>
      </c>
      <c r="Y40" s="277" t="n">
        <v>512682</v>
      </c>
      <c r="Z40" s="279" t="n">
        <v>317794</v>
      </c>
      <c r="AA40" s="280" t="n">
        <v>194888</v>
      </c>
      <c r="AB40" s="280" t="n">
        <v>812539</v>
      </c>
      <c r="AC40" s="582" t="n"/>
      <c r="AD40" s="304" t="n">
        <v>0</v>
      </c>
      <c r="AE40" s="278" t="n">
        <v>0</v>
      </c>
      <c r="AF40" s="278" t="n">
        <v>0</v>
      </c>
      <c r="AG40" s="278" t="n">
        <v>0</v>
      </c>
      <c r="AH40" s="278" t="n">
        <v>0</v>
      </c>
      <c r="AI40" s="278" t="n"/>
      <c r="AJ40" s="278" t="n"/>
      <c r="AK40" s="56">
        <f>SUM(B29:B40)</f>
        <v/>
      </c>
      <c r="AL40" s="56" t="n"/>
      <c r="AM40" s="56">
        <f>SUM(C40:Y40)</f>
        <v/>
      </c>
      <c r="AN40" s="56">
        <f>AM40+AD40</f>
        <v/>
      </c>
    </row>
    <row r="41">
      <c r="A41" s="276" t="n">
        <v>42826</v>
      </c>
      <c r="B41" s="277" t="n">
        <v>6688335</v>
      </c>
      <c r="C41" s="277" t="n">
        <v>3328654</v>
      </c>
      <c r="D41" s="277" t="n">
        <v>212465</v>
      </c>
      <c r="E41" s="277" t="n">
        <v>375876</v>
      </c>
      <c r="F41" s="277" t="n">
        <v>0</v>
      </c>
      <c r="G41" s="277" t="n">
        <v>0</v>
      </c>
      <c r="H41" s="277" t="n">
        <v>0</v>
      </c>
      <c r="I41" s="277" t="n">
        <v>1194038</v>
      </c>
      <c r="J41" s="277" t="n">
        <v>235542</v>
      </c>
      <c r="K41" s="160" t="n">
        <v>49717</v>
      </c>
      <c r="L41" s="277" t="n">
        <v>105608</v>
      </c>
      <c r="M41" s="278" t="n">
        <v>0</v>
      </c>
      <c r="N41" s="277" t="n">
        <v>123848</v>
      </c>
      <c r="O41" s="277" t="n">
        <v>51501</v>
      </c>
      <c r="P41" s="278" t="n">
        <v>0</v>
      </c>
      <c r="Q41" s="278" t="n">
        <v>0</v>
      </c>
      <c r="R41" s="278" t="n"/>
      <c r="S41" s="278" t="n"/>
      <c r="T41" s="278" t="n"/>
      <c r="U41" s="278" t="n"/>
      <c r="V41" s="278" t="n"/>
      <c r="W41" s="278" t="n">
        <v>0</v>
      </c>
      <c r="X41" s="278" t="n">
        <v>556388</v>
      </c>
      <c r="Y41" s="277" t="n">
        <v>454698</v>
      </c>
      <c r="Z41" s="279" t="n">
        <v>278250</v>
      </c>
      <c r="AA41" s="280" t="n">
        <v>176448</v>
      </c>
      <c r="AB41" s="280" t="n">
        <v>1317886</v>
      </c>
      <c r="AC41" s="582" t="n"/>
      <c r="AD41" s="304" t="n">
        <v>0</v>
      </c>
      <c r="AE41" s="278" t="n">
        <v>0</v>
      </c>
      <c r="AF41" s="278" t="n">
        <v>0</v>
      </c>
      <c r="AG41" s="278" t="n">
        <v>0</v>
      </c>
      <c r="AH41" s="278" t="n">
        <v>0</v>
      </c>
      <c r="AI41" s="278" t="n"/>
      <c r="AJ41" s="278" t="n"/>
      <c r="AK41" s="56">
        <f>SUM(B30:B41)</f>
        <v/>
      </c>
      <c r="AL41" s="56" t="n"/>
      <c r="AM41" s="56">
        <f>SUM(C41:Y41)</f>
        <v/>
      </c>
      <c r="AN41" s="56">
        <f>AM41+AD41</f>
        <v/>
      </c>
    </row>
    <row r="42" ht="17" customHeight="1" thickBot="1">
      <c r="A42" s="276" t="n">
        <v>42856</v>
      </c>
      <c r="B42" s="277" t="n">
        <v>8137565</v>
      </c>
      <c r="C42" s="277" t="n">
        <v>3720289</v>
      </c>
      <c r="D42" s="277" t="n">
        <v>252700</v>
      </c>
      <c r="E42" s="277" t="n">
        <v>428220</v>
      </c>
      <c r="F42" s="277" t="n">
        <v>0</v>
      </c>
      <c r="G42" s="277" t="n">
        <v>0</v>
      </c>
      <c r="H42" s="277" t="n">
        <v>0</v>
      </c>
      <c r="I42" s="277" t="n">
        <v>1738362</v>
      </c>
      <c r="J42" s="277" t="n">
        <v>282988</v>
      </c>
      <c r="K42" s="160" t="n">
        <v>64509</v>
      </c>
      <c r="L42" s="277" t="n">
        <v>160553</v>
      </c>
      <c r="M42" s="278" t="n">
        <v>0</v>
      </c>
      <c r="N42" s="277" t="n">
        <v>193845</v>
      </c>
      <c r="O42" s="277" t="n">
        <v>68219</v>
      </c>
      <c r="P42" s="278" t="n">
        <v>0</v>
      </c>
      <c r="Q42" s="278" t="n">
        <v>0</v>
      </c>
      <c r="R42" s="278" t="n"/>
      <c r="S42" s="278" t="n"/>
      <c r="T42" s="278" t="n"/>
      <c r="U42" s="278" t="n"/>
      <c r="V42" s="278" t="n"/>
      <c r="W42" s="278" t="n">
        <v>0</v>
      </c>
      <c r="X42" s="278" t="n">
        <v>660533</v>
      </c>
      <c r="Y42" s="277" t="n">
        <v>567347</v>
      </c>
      <c r="Z42" s="279" t="n">
        <v>318068</v>
      </c>
      <c r="AA42" s="280" t="n">
        <v>249279</v>
      </c>
      <c r="AB42" s="280" t="n">
        <v>1932207</v>
      </c>
      <c r="AC42" s="582" t="n"/>
      <c r="AD42" s="304" t="n">
        <v>0</v>
      </c>
      <c r="AE42" s="278" t="n">
        <v>0</v>
      </c>
      <c r="AF42" s="278" t="n">
        <v>0</v>
      </c>
      <c r="AG42" s="278" t="n">
        <v>0</v>
      </c>
      <c r="AH42" s="278" t="n">
        <v>0</v>
      </c>
      <c r="AI42" s="278" t="n"/>
      <c r="AJ42" s="278" t="n"/>
      <c r="AK42" s="56">
        <f>SUM(B31:B42)</f>
        <v/>
      </c>
      <c r="AL42" s="56" t="n"/>
      <c r="AM42" s="56">
        <f>SUM(C42:Y42)</f>
        <v/>
      </c>
      <c r="AN42" s="56">
        <f>AM42+AD42</f>
        <v/>
      </c>
    </row>
    <row r="43" ht="17" customHeight="1" thickBot="1">
      <c r="A43" s="276" t="n">
        <v>42887</v>
      </c>
      <c r="B43" s="277" t="n">
        <v>9514271</v>
      </c>
      <c r="C43" s="277" t="n">
        <v>4066105</v>
      </c>
      <c r="D43" s="277" t="n">
        <v>258022</v>
      </c>
      <c r="E43" s="277" t="n">
        <v>446908</v>
      </c>
      <c r="F43" s="277" t="n">
        <v>0</v>
      </c>
      <c r="G43" s="277" t="n">
        <v>0</v>
      </c>
      <c r="H43" s="277" t="n">
        <v>0</v>
      </c>
      <c r="I43" s="277" t="n">
        <v>2500352</v>
      </c>
      <c r="J43" s="277" t="n">
        <v>267111</v>
      </c>
      <c r="K43" s="160" t="n">
        <v>70932</v>
      </c>
      <c r="L43" s="277" t="n">
        <v>204894</v>
      </c>
      <c r="M43" s="278" t="n">
        <v>0</v>
      </c>
      <c r="N43" s="277" t="n">
        <v>240351</v>
      </c>
      <c r="O43" s="277" t="n">
        <v>86736</v>
      </c>
      <c r="P43" s="278" t="n">
        <v>0</v>
      </c>
      <c r="Q43" s="278" t="n">
        <v>0</v>
      </c>
      <c r="R43" s="278" t="n"/>
      <c r="S43" s="278" t="n"/>
      <c r="T43" s="278" t="n"/>
      <c r="U43" s="278" t="n"/>
      <c r="V43" s="278" t="n"/>
      <c r="W43" s="278" t="n">
        <v>0</v>
      </c>
      <c r="X43" s="278" t="n">
        <v>611695</v>
      </c>
      <c r="Y43" s="277" t="n">
        <v>761165</v>
      </c>
      <c r="Z43" s="279" t="n">
        <v>307686</v>
      </c>
      <c r="AA43" s="280" t="n">
        <v>453479</v>
      </c>
      <c r="AB43" s="280" t="n">
        <v>2740703</v>
      </c>
      <c r="AC43" s="582" t="n"/>
      <c r="AD43" s="304" t="n">
        <v>0</v>
      </c>
      <c r="AE43" s="278" t="n">
        <v>0</v>
      </c>
      <c r="AF43" s="278" t="n">
        <v>0</v>
      </c>
      <c r="AG43" s="278" t="n">
        <v>0</v>
      </c>
      <c r="AH43" s="278" t="n">
        <v>0</v>
      </c>
      <c r="AI43" s="278" t="n"/>
      <c r="AJ43" s="296" t="n"/>
      <c r="AK43" s="583">
        <f>SUM(B32:B43)</f>
        <v/>
      </c>
      <c r="AL43" s="584">
        <f>AK43</f>
        <v/>
      </c>
      <c r="AM43" s="56">
        <f>SUM(C43:Y43)</f>
        <v/>
      </c>
      <c r="AN43" s="56">
        <f>AM43+AD43</f>
        <v/>
      </c>
    </row>
    <row r="44">
      <c r="A44" s="276" t="n">
        <v>42917</v>
      </c>
      <c r="B44" s="277" t="n">
        <v>8243086</v>
      </c>
      <c r="C44" s="277" t="n">
        <v>3001369</v>
      </c>
      <c r="D44" s="277" t="n">
        <v>231436</v>
      </c>
      <c r="E44" s="277" t="n">
        <v>384666</v>
      </c>
      <c r="F44" s="277" t="n">
        <v>0</v>
      </c>
      <c r="G44" s="277" t="n">
        <v>0</v>
      </c>
      <c r="H44" s="277" t="n">
        <v>0</v>
      </c>
      <c r="I44" s="277" t="n">
        <v>2544886</v>
      </c>
      <c r="J44" s="277" t="n">
        <v>241317</v>
      </c>
      <c r="K44" s="160" t="n">
        <v>62499</v>
      </c>
      <c r="L44" s="277" t="n">
        <v>192870</v>
      </c>
      <c r="M44" s="278" t="n">
        <v>0</v>
      </c>
      <c r="N44" s="281" t="n">
        <v>223983</v>
      </c>
      <c r="O44" s="277" t="n">
        <v>82519</v>
      </c>
      <c r="P44" s="278" t="n">
        <v>0</v>
      </c>
      <c r="Q44" s="278" t="n">
        <v>0</v>
      </c>
      <c r="R44" s="278" t="n"/>
      <c r="S44" s="278" t="n"/>
      <c r="T44" s="278" t="n"/>
      <c r="U44" s="278" t="n"/>
      <c r="V44" s="278" t="n"/>
      <c r="W44" s="278" t="n">
        <v>0</v>
      </c>
      <c r="X44" s="277" t="n">
        <v>700584</v>
      </c>
      <c r="Y44" s="277" t="n">
        <v>576957</v>
      </c>
      <c r="Z44" s="279" t="n">
        <v>212800</v>
      </c>
      <c r="AA44" s="280" t="n">
        <v>364157</v>
      </c>
      <c r="AB44" s="280" t="n">
        <v>2768869</v>
      </c>
      <c r="AC44" s="582" t="n"/>
      <c r="AD44" s="304" t="n">
        <v>0</v>
      </c>
      <c r="AE44" s="278" t="n">
        <v>0</v>
      </c>
      <c r="AF44" s="278" t="n">
        <v>0</v>
      </c>
      <c r="AG44" s="278" t="n">
        <v>0</v>
      </c>
      <c r="AH44" s="278" t="n">
        <v>0</v>
      </c>
      <c r="AI44" s="278" t="n"/>
      <c r="AJ44" s="278" t="n"/>
      <c r="AK44" s="56">
        <f>SUM(B33:B44)</f>
        <v/>
      </c>
      <c r="AL44" s="56" t="n"/>
      <c r="AM44" s="56">
        <f>SUM(C44:Y44)</f>
        <v/>
      </c>
      <c r="AN44" s="56">
        <f>AM44+AD44</f>
        <v/>
      </c>
    </row>
    <row r="45">
      <c r="A45" s="276" t="n">
        <v>42948</v>
      </c>
      <c r="B45" s="277" t="n">
        <v>9842261</v>
      </c>
      <c r="C45" s="277" t="n">
        <v>4031396</v>
      </c>
      <c r="D45" s="277" t="n">
        <v>275532</v>
      </c>
      <c r="E45" s="277" t="n">
        <v>493213</v>
      </c>
      <c r="F45" s="277" t="n">
        <v>0</v>
      </c>
      <c r="G45" s="277" t="n">
        <v>0</v>
      </c>
      <c r="H45" s="277" t="n">
        <v>0</v>
      </c>
      <c r="I45" s="277" t="n">
        <v>2551418</v>
      </c>
      <c r="J45" s="277" t="n">
        <v>296187</v>
      </c>
      <c r="K45" s="160" t="n">
        <v>74921</v>
      </c>
      <c r="L45" s="277" t="n">
        <v>248922</v>
      </c>
      <c r="M45" s="278" t="n">
        <v>0</v>
      </c>
      <c r="N45" s="277" t="n">
        <v>278456</v>
      </c>
      <c r="O45" s="277" t="n">
        <v>82128</v>
      </c>
      <c r="P45" s="278" t="n">
        <v>0</v>
      </c>
      <c r="Q45" s="278" t="n">
        <v>0</v>
      </c>
      <c r="R45" s="278" t="n"/>
      <c r="S45" s="278" t="n"/>
      <c r="T45" s="278" t="n"/>
      <c r="U45" s="278" t="n"/>
      <c r="V45" s="278" t="n"/>
      <c r="W45" s="278" t="n">
        <v>0</v>
      </c>
      <c r="X45" s="277" t="n">
        <v>722301</v>
      </c>
      <c r="Y45" s="277" t="n">
        <v>787787</v>
      </c>
      <c r="Z45" s="279" t="n">
        <v>241411</v>
      </c>
      <c r="AA45" s="280" t="n">
        <v>546376</v>
      </c>
      <c r="AB45" s="280" t="n">
        <v>2829874</v>
      </c>
      <c r="AC45" s="582" t="n"/>
      <c r="AD45" s="304" t="n">
        <v>0</v>
      </c>
      <c r="AE45" s="278" t="n">
        <v>0</v>
      </c>
      <c r="AF45" s="278" t="n">
        <v>0</v>
      </c>
      <c r="AG45" s="278" t="n">
        <v>0</v>
      </c>
      <c r="AH45" s="278" t="n">
        <v>0</v>
      </c>
      <c r="AI45" s="278" t="n"/>
      <c r="AJ45" s="278" t="n"/>
      <c r="AK45" s="56">
        <f>SUM(B34:B45)</f>
        <v/>
      </c>
      <c r="AL45" s="56" t="n"/>
      <c r="AM45" s="56">
        <f>SUM(C45:Y45)</f>
        <v/>
      </c>
      <c r="AN45" s="56">
        <f>AM45+AD45</f>
        <v/>
      </c>
    </row>
    <row r="46">
      <c r="A46" s="276" t="n">
        <v>42979</v>
      </c>
      <c r="B46" s="277" t="n">
        <v>9512976</v>
      </c>
      <c r="C46" s="277" t="n">
        <v>3773479</v>
      </c>
      <c r="D46" s="277" t="n">
        <v>258590</v>
      </c>
      <c r="E46" s="277" t="n">
        <v>442915</v>
      </c>
      <c r="F46" s="277" t="n">
        <v>0</v>
      </c>
      <c r="G46" s="277" t="n">
        <v>0</v>
      </c>
      <c r="H46" s="277" t="n">
        <v>0</v>
      </c>
      <c r="I46" s="277" t="n">
        <v>2600804</v>
      </c>
      <c r="J46" s="277" t="n">
        <v>288653</v>
      </c>
      <c r="K46" s="160" t="n">
        <v>60546</v>
      </c>
      <c r="L46" s="277" t="n">
        <v>207848</v>
      </c>
      <c r="M46" s="278" t="n">
        <v>0</v>
      </c>
      <c r="N46" s="277" t="n">
        <v>265391</v>
      </c>
      <c r="O46" s="277" t="n">
        <v>71953</v>
      </c>
      <c r="P46" s="278" t="n">
        <v>0</v>
      </c>
      <c r="Q46" s="278" t="n">
        <v>0</v>
      </c>
      <c r="R46" s="278" t="n"/>
      <c r="S46" s="278" t="n"/>
      <c r="T46" s="278" t="n"/>
      <c r="U46" s="278" t="n"/>
      <c r="V46" s="278" t="n"/>
      <c r="W46" s="278" t="n">
        <v>0</v>
      </c>
      <c r="X46" s="277" t="n">
        <v>787739</v>
      </c>
      <c r="Y46" s="277" t="n">
        <v>755058</v>
      </c>
      <c r="Z46" s="279" t="n">
        <v>247909</v>
      </c>
      <c r="AA46" s="280" t="n">
        <v>507149</v>
      </c>
      <c r="AB46" s="280" t="n">
        <v>2866195</v>
      </c>
      <c r="AC46" s="582" t="n"/>
      <c r="AD46" s="304" t="n">
        <v>0</v>
      </c>
      <c r="AE46" s="278" t="n">
        <v>0</v>
      </c>
      <c r="AF46" s="278" t="n">
        <v>0</v>
      </c>
      <c r="AG46" s="278" t="n">
        <v>0</v>
      </c>
      <c r="AH46" s="278" t="n">
        <v>0</v>
      </c>
      <c r="AI46" s="278" t="n"/>
      <c r="AJ46" s="278" t="n"/>
      <c r="AK46" s="56">
        <f>SUM(B35:B46)</f>
        <v/>
      </c>
      <c r="AL46" s="56" t="n"/>
      <c r="AM46" s="56">
        <f>SUM(C46:Y46)</f>
        <v/>
      </c>
      <c r="AN46" s="56">
        <f>AM46+AD46</f>
        <v/>
      </c>
    </row>
    <row r="47">
      <c r="A47" s="276" t="n">
        <v>43009</v>
      </c>
      <c r="B47" s="277" t="n">
        <v>8514444</v>
      </c>
      <c r="C47" s="277" t="n">
        <v>3744126</v>
      </c>
      <c r="D47" s="277" t="n">
        <v>270654</v>
      </c>
      <c r="E47" s="277" t="n">
        <v>452584</v>
      </c>
      <c r="F47" s="277" t="n">
        <v>0</v>
      </c>
      <c r="G47" s="277" t="n">
        <v>0</v>
      </c>
      <c r="H47" s="277" t="n">
        <v>0</v>
      </c>
      <c r="I47" s="277" t="n">
        <v>1841190</v>
      </c>
      <c r="J47" s="277" t="n">
        <v>292092</v>
      </c>
      <c r="K47" s="160" t="n">
        <v>63022</v>
      </c>
      <c r="L47" s="277" t="n">
        <v>183095</v>
      </c>
      <c r="M47" s="278" t="n">
        <v>0</v>
      </c>
      <c r="N47" s="277" t="n">
        <v>217543</v>
      </c>
      <c r="O47" s="277" t="n">
        <v>42173</v>
      </c>
      <c r="P47" s="278" t="n">
        <v>0</v>
      </c>
      <c r="Q47" s="278" t="n">
        <v>0</v>
      </c>
      <c r="R47" s="278" t="n"/>
      <c r="S47" s="278" t="n"/>
      <c r="T47" s="278" t="n"/>
      <c r="U47" s="278" t="n"/>
      <c r="V47" s="278" t="n"/>
      <c r="W47" s="278" t="n">
        <v>0</v>
      </c>
      <c r="X47" s="277" t="n">
        <v>803446</v>
      </c>
      <c r="Y47" s="277" t="n">
        <v>604519</v>
      </c>
      <c r="Z47" s="279" t="n">
        <v>246432</v>
      </c>
      <c r="AA47" s="280" t="n">
        <v>358087</v>
      </c>
      <c r="AB47" s="280" t="n">
        <v>2058733</v>
      </c>
      <c r="AC47" s="582" t="n"/>
      <c r="AD47" s="304" t="n">
        <v>0</v>
      </c>
      <c r="AE47" s="278" t="n">
        <v>0</v>
      </c>
      <c r="AF47" s="278" t="n">
        <v>0</v>
      </c>
      <c r="AG47" s="278" t="n">
        <v>0</v>
      </c>
      <c r="AH47" s="278" t="n">
        <v>0</v>
      </c>
      <c r="AI47" s="278" t="n"/>
      <c r="AJ47" s="278" t="n"/>
      <c r="AK47" s="56">
        <f>SUM(B36:B47)</f>
        <v/>
      </c>
      <c r="AL47" s="56" t="n"/>
      <c r="AM47" s="56">
        <f>SUM(C47:Y47)</f>
        <v/>
      </c>
      <c r="AN47" s="56">
        <f>AM47+AD47</f>
        <v/>
      </c>
    </row>
    <row r="48">
      <c r="A48" s="276" t="n">
        <v>43040</v>
      </c>
      <c r="B48" s="277" t="n">
        <v>7261986</v>
      </c>
      <c r="C48" s="277" t="n">
        <v>3933330</v>
      </c>
      <c r="D48" s="277" t="n">
        <v>249042</v>
      </c>
      <c r="E48" s="277" t="n">
        <v>421911</v>
      </c>
      <c r="F48" s="277" t="n">
        <v>0</v>
      </c>
      <c r="G48" s="277" t="n">
        <v>0</v>
      </c>
      <c r="H48" s="277" t="n">
        <v>0</v>
      </c>
      <c r="I48" s="277" t="n">
        <v>1084163</v>
      </c>
      <c r="J48" s="277" t="n">
        <v>284103</v>
      </c>
      <c r="K48" s="160" t="n">
        <v>55715</v>
      </c>
      <c r="L48" s="277" t="n">
        <v>122475</v>
      </c>
      <c r="M48" s="278" t="n">
        <v>0</v>
      </c>
      <c r="N48" s="277" t="n">
        <v>126984</v>
      </c>
      <c r="O48" s="277" t="n">
        <v>29219</v>
      </c>
      <c r="P48" s="278" t="n">
        <v>0</v>
      </c>
      <c r="Q48" s="278" t="n">
        <v>0</v>
      </c>
      <c r="R48" s="278" t="n"/>
      <c r="S48" s="278" t="n"/>
      <c r="T48" s="278" t="n"/>
      <c r="U48" s="278" t="n"/>
      <c r="V48" s="278" t="n"/>
      <c r="W48" s="278" t="n">
        <v>0</v>
      </c>
      <c r="X48" s="277" t="n">
        <v>512053</v>
      </c>
      <c r="Y48" s="277" t="n">
        <v>442991</v>
      </c>
      <c r="Z48" s="279" t="n">
        <v>271273</v>
      </c>
      <c r="AA48" s="280" t="n">
        <v>171718</v>
      </c>
      <c r="AB48" s="280" t="n">
        <v>1211147</v>
      </c>
      <c r="AC48" s="582" t="n"/>
      <c r="AD48" s="304" t="n">
        <v>0</v>
      </c>
      <c r="AE48" s="278" t="n">
        <v>0</v>
      </c>
      <c r="AF48" s="278" t="n">
        <v>0</v>
      </c>
      <c r="AG48" s="278" t="n">
        <v>0</v>
      </c>
      <c r="AH48" s="278" t="n">
        <v>0</v>
      </c>
      <c r="AI48" s="278" t="n"/>
      <c r="AJ48" s="278" t="n"/>
      <c r="AK48" s="56">
        <f>SUM(B37:B48)</f>
        <v/>
      </c>
      <c r="AL48" s="56" t="n"/>
      <c r="AM48" s="56">
        <f>SUM(C48:Y48)</f>
        <v/>
      </c>
      <c r="AN48" s="56">
        <f>AM48+AD48</f>
        <v/>
      </c>
    </row>
    <row r="49">
      <c r="A49" s="276" t="n">
        <v>43070</v>
      </c>
      <c r="B49" s="277" t="n">
        <v>5970850</v>
      </c>
      <c r="C49" s="277" t="n">
        <v>3266116</v>
      </c>
      <c r="D49" s="277" t="n">
        <v>230252</v>
      </c>
      <c r="E49" s="277" t="n">
        <v>430229</v>
      </c>
      <c r="F49" s="277" t="n">
        <v>0</v>
      </c>
      <c r="G49" s="277" t="n">
        <v>0</v>
      </c>
      <c r="H49" s="277" t="n">
        <v>0</v>
      </c>
      <c r="I49" s="277" t="n">
        <v>611381</v>
      </c>
      <c r="J49" s="277" t="n">
        <v>273022</v>
      </c>
      <c r="K49" s="160" t="n">
        <v>56181</v>
      </c>
      <c r="L49" s="277" t="n">
        <v>119923</v>
      </c>
      <c r="M49" s="278" t="n">
        <v>0</v>
      </c>
      <c r="N49" s="277" t="n">
        <v>73274</v>
      </c>
      <c r="O49" s="277" t="n">
        <v>29061</v>
      </c>
      <c r="P49" s="278" t="n">
        <v>0</v>
      </c>
      <c r="Q49" s="278" t="n">
        <v>0</v>
      </c>
      <c r="R49" s="278" t="n"/>
      <c r="S49" s="278" t="n"/>
      <c r="T49" s="278" t="n"/>
      <c r="U49" s="278" t="n"/>
      <c r="V49" s="278" t="n"/>
      <c r="W49" s="278" t="n">
        <v>0</v>
      </c>
      <c r="X49" s="277" t="n">
        <v>469420</v>
      </c>
      <c r="Y49" s="277" t="n">
        <v>411991</v>
      </c>
      <c r="Z49" s="279" t="n">
        <v>234655</v>
      </c>
      <c r="AA49" s="280" t="n">
        <v>177336</v>
      </c>
      <c r="AB49" s="280" t="n">
        <v>684655</v>
      </c>
      <c r="AC49" s="582" t="n"/>
      <c r="AD49" s="304" t="n">
        <v>0</v>
      </c>
      <c r="AE49" s="278" t="n">
        <v>0</v>
      </c>
      <c r="AF49" s="278" t="n">
        <v>0</v>
      </c>
      <c r="AG49" s="278" t="n">
        <v>0</v>
      </c>
      <c r="AH49" s="278" t="n">
        <v>0</v>
      </c>
      <c r="AI49" s="278" t="n"/>
      <c r="AJ49" s="278" t="n"/>
      <c r="AK49" s="56">
        <f>SUM(B38:B49)</f>
        <v/>
      </c>
      <c r="AL49" s="56" t="n"/>
      <c r="AM49" s="56">
        <f>SUM(C49:Y49)</f>
        <v/>
      </c>
      <c r="AN49" s="56">
        <f>AM49+AD49</f>
        <v/>
      </c>
    </row>
    <row r="50">
      <c r="A50" s="282" t="n">
        <v>43101</v>
      </c>
      <c r="B50" s="283" t="n">
        <v>6340475</v>
      </c>
      <c r="C50" s="283" t="n">
        <v>3715383</v>
      </c>
      <c r="D50" s="283" t="n">
        <v>255100</v>
      </c>
      <c r="E50" s="283" t="n">
        <v>462317</v>
      </c>
      <c r="F50" s="283" t="n">
        <v>0</v>
      </c>
      <c r="G50" s="283" t="n">
        <v>0</v>
      </c>
      <c r="H50" s="283" t="n">
        <v>0</v>
      </c>
      <c r="I50" s="284" t="n">
        <v>511044</v>
      </c>
      <c r="J50" s="283" t="n">
        <v>277806</v>
      </c>
      <c r="K50" s="161" t="n">
        <v>57343</v>
      </c>
      <c r="L50" s="283" t="n">
        <v>115237</v>
      </c>
      <c r="M50" s="283" t="n">
        <v>0</v>
      </c>
      <c r="N50" s="284" t="n">
        <v>61658</v>
      </c>
      <c r="O50" s="283" t="n">
        <v>26266</v>
      </c>
      <c r="P50" s="283" t="n">
        <v>0</v>
      </c>
      <c r="Q50" s="283" t="n">
        <v>0</v>
      </c>
      <c r="R50" s="283" t="n"/>
      <c r="S50" s="283" t="n"/>
      <c r="T50" s="283" t="n"/>
      <c r="U50" s="283" t="n"/>
      <c r="V50" s="283" t="n"/>
      <c r="W50" s="283" t="n">
        <v>0</v>
      </c>
      <c r="X50" s="283" t="n">
        <v>326074</v>
      </c>
      <c r="Y50" s="283" t="n">
        <v>532247</v>
      </c>
      <c r="Z50" s="285" t="n">
        <v>267046</v>
      </c>
      <c r="AA50" s="286" t="n">
        <v>265201</v>
      </c>
      <c r="AB50" s="286" t="n">
        <v>572702</v>
      </c>
      <c r="AC50" s="582" t="n"/>
      <c r="AD50" s="305" t="n">
        <v>0</v>
      </c>
      <c r="AE50" s="283" t="n">
        <v>0</v>
      </c>
      <c r="AF50" s="283" t="n">
        <v>0</v>
      </c>
      <c r="AG50" s="283" t="n">
        <v>0</v>
      </c>
      <c r="AH50" s="283" t="n">
        <v>0</v>
      </c>
      <c r="AI50" s="283" t="n"/>
      <c r="AJ50" s="283" t="n"/>
      <c r="AK50" s="56">
        <f>SUM(B39:B50)</f>
        <v/>
      </c>
      <c r="AL50" s="56" t="n"/>
      <c r="AM50" s="56">
        <f>SUM(C50:Y50)</f>
        <v/>
      </c>
      <c r="AN50" s="56">
        <f>AM50+AD50</f>
        <v/>
      </c>
    </row>
    <row r="51">
      <c r="A51" s="282" t="n">
        <v>43132</v>
      </c>
      <c r="B51" s="283" t="n">
        <v>6010872</v>
      </c>
      <c r="C51" s="283" t="n">
        <v>3437800</v>
      </c>
      <c r="D51" s="283" t="n">
        <v>218539</v>
      </c>
      <c r="E51" s="283" t="n">
        <v>418582</v>
      </c>
      <c r="F51" s="283" t="n">
        <v>0</v>
      </c>
      <c r="G51" s="283" t="n">
        <v>0</v>
      </c>
      <c r="H51" s="283" t="n">
        <v>0</v>
      </c>
      <c r="I51" s="284" t="n">
        <v>439104</v>
      </c>
      <c r="J51" s="283" t="n">
        <v>229353</v>
      </c>
      <c r="K51" s="161" t="n">
        <v>59346</v>
      </c>
      <c r="L51" s="283" t="n">
        <v>112008</v>
      </c>
      <c r="M51" s="283" t="n">
        <v>0</v>
      </c>
      <c r="N51" s="284" t="n">
        <v>44948</v>
      </c>
      <c r="O51" s="283" t="n">
        <v>24999</v>
      </c>
      <c r="P51" s="283" t="n">
        <v>0</v>
      </c>
      <c r="Q51" s="283" t="n">
        <v>0</v>
      </c>
      <c r="R51" s="283" t="n"/>
      <c r="S51" s="283" t="n"/>
      <c r="T51" s="283" t="n"/>
      <c r="U51" s="283" t="n"/>
      <c r="V51" s="283" t="n"/>
      <c r="W51" s="283" t="n">
        <v>0</v>
      </c>
      <c r="X51" s="283" t="n">
        <v>436736</v>
      </c>
      <c r="Y51" s="283" t="n">
        <v>589457</v>
      </c>
      <c r="Z51" s="285" t="n">
        <v>272614</v>
      </c>
      <c r="AA51" s="286" t="n">
        <v>316843</v>
      </c>
      <c r="AB51" s="286" t="n">
        <v>484052</v>
      </c>
      <c r="AC51" s="582" t="n"/>
      <c r="AD51" s="306" t="n">
        <v>83562</v>
      </c>
      <c r="AE51" s="283" t="n">
        <v>0</v>
      </c>
      <c r="AF51" s="283" t="n">
        <v>0</v>
      </c>
      <c r="AG51" s="283" t="n">
        <v>0</v>
      </c>
      <c r="AH51" s="283" t="n">
        <v>0</v>
      </c>
      <c r="AI51" s="283" t="n"/>
      <c r="AJ51" s="283" t="n"/>
      <c r="AK51" s="56">
        <f>SUM(B40:B51)</f>
        <v/>
      </c>
      <c r="AL51" s="56" t="n"/>
      <c r="AM51" s="56">
        <f>SUM(C51:Y51)</f>
        <v/>
      </c>
      <c r="AN51" s="56">
        <f>AM51+AD51</f>
        <v/>
      </c>
    </row>
    <row r="52">
      <c r="A52" s="282" t="n">
        <v>43160</v>
      </c>
      <c r="B52" s="283" t="n">
        <v>6466521</v>
      </c>
      <c r="C52" s="283" t="n">
        <v>3450924</v>
      </c>
      <c r="D52" s="283" t="n">
        <v>266749</v>
      </c>
      <c r="E52" s="283" t="n">
        <v>428068</v>
      </c>
      <c r="F52" s="283" t="n">
        <v>0</v>
      </c>
      <c r="G52" s="283" t="n">
        <v>0</v>
      </c>
      <c r="H52" s="283" t="n">
        <v>0</v>
      </c>
      <c r="I52" s="284" t="n">
        <v>808368</v>
      </c>
      <c r="J52" s="283" t="n">
        <v>298704</v>
      </c>
      <c r="K52" s="161" t="n">
        <v>42758</v>
      </c>
      <c r="L52" s="283" t="n">
        <v>101870</v>
      </c>
      <c r="M52" s="283" t="n">
        <v>0</v>
      </c>
      <c r="N52" s="284" t="n">
        <v>87607</v>
      </c>
      <c r="O52" s="283" t="n">
        <v>22757</v>
      </c>
      <c r="P52" s="283" t="n">
        <v>0</v>
      </c>
      <c r="Q52" s="283" t="n">
        <v>0</v>
      </c>
      <c r="R52" s="283" t="n"/>
      <c r="S52" s="283" t="n"/>
      <c r="T52" s="283" t="n"/>
      <c r="U52" s="283" t="n"/>
      <c r="V52" s="283" t="n"/>
      <c r="W52" s="283" t="n">
        <v>0</v>
      </c>
      <c r="X52" s="283" t="n">
        <v>471104</v>
      </c>
      <c r="Y52" s="283" t="n">
        <v>487612</v>
      </c>
      <c r="Z52" s="285" t="n">
        <v>306197</v>
      </c>
      <c r="AA52" s="286" t="n">
        <v>181415</v>
      </c>
      <c r="AB52" s="286" t="n">
        <v>895975</v>
      </c>
      <c r="AC52" s="582" t="n"/>
      <c r="AD52" s="306" t="n">
        <v>70345</v>
      </c>
      <c r="AE52" s="283" t="n">
        <v>0</v>
      </c>
      <c r="AF52" s="283" t="n">
        <v>0</v>
      </c>
      <c r="AG52" s="283" t="n">
        <v>0</v>
      </c>
      <c r="AH52" s="283" t="n">
        <v>0</v>
      </c>
      <c r="AI52" s="283" t="n"/>
      <c r="AJ52" s="283" t="n"/>
      <c r="AK52" s="56">
        <f>SUM(B41:B52)</f>
        <v/>
      </c>
      <c r="AL52" s="56" t="n"/>
      <c r="AM52" s="56">
        <f>SUM(C52:Y52)</f>
        <v/>
      </c>
      <c r="AN52" s="56">
        <f>AM52+AD52</f>
        <v/>
      </c>
    </row>
    <row r="53">
      <c r="A53" s="282" t="n">
        <v>43191</v>
      </c>
      <c r="B53" s="283" t="n">
        <v>7476752</v>
      </c>
      <c r="C53" s="283" t="n">
        <v>3890381</v>
      </c>
      <c r="D53" s="283" t="n">
        <v>238376</v>
      </c>
      <c r="E53" s="283" t="n">
        <v>450705</v>
      </c>
      <c r="F53" s="283" t="n">
        <v>0</v>
      </c>
      <c r="G53" s="283" t="n">
        <v>0</v>
      </c>
      <c r="H53" s="283" t="n">
        <v>0</v>
      </c>
      <c r="I53" s="283" t="n">
        <v>1208521</v>
      </c>
      <c r="J53" s="283" t="n">
        <v>275522</v>
      </c>
      <c r="K53" s="161" t="n">
        <v>52528</v>
      </c>
      <c r="L53" s="283" t="n">
        <v>124604</v>
      </c>
      <c r="M53" s="283" t="n">
        <v>0</v>
      </c>
      <c r="N53" s="283" t="n">
        <v>137799</v>
      </c>
      <c r="O53" s="283" t="n">
        <v>21167</v>
      </c>
      <c r="P53" s="283" t="n">
        <v>0</v>
      </c>
      <c r="Q53" s="283" t="n">
        <v>0</v>
      </c>
      <c r="R53" s="283" t="n"/>
      <c r="S53" s="283" t="n"/>
      <c r="T53" s="283" t="n"/>
      <c r="U53" s="283" t="n"/>
      <c r="V53" s="283" t="n"/>
      <c r="W53" s="283" t="n">
        <v>0</v>
      </c>
      <c r="X53" s="283" t="n">
        <v>538438</v>
      </c>
      <c r="Y53" s="283" t="n">
        <v>538711</v>
      </c>
      <c r="Z53" s="285" t="n">
        <v>333892</v>
      </c>
      <c r="AA53" s="286" t="n">
        <v>204819</v>
      </c>
      <c r="AB53" s="286" t="n">
        <v>1346320</v>
      </c>
      <c r="AC53" s="582" t="n"/>
      <c r="AD53" s="306" t="n">
        <v>80484</v>
      </c>
      <c r="AE53" s="283" t="n">
        <v>0</v>
      </c>
      <c r="AF53" s="283" t="n">
        <v>0</v>
      </c>
      <c r="AG53" s="283" t="n">
        <v>0</v>
      </c>
      <c r="AH53" s="283" t="n">
        <v>0</v>
      </c>
      <c r="AI53" s="283" t="n"/>
      <c r="AJ53" s="283" t="n"/>
      <c r="AK53" s="56">
        <f>SUM(B42:B53)</f>
        <v/>
      </c>
      <c r="AL53" s="56" t="n"/>
      <c r="AM53" s="56">
        <f>SUM(C53:Y53)</f>
        <v/>
      </c>
      <c r="AN53" s="56">
        <f>AM53+AD53</f>
        <v/>
      </c>
    </row>
    <row r="54" ht="17" customHeight="1" thickBot="1">
      <c r="A54" s="282" t="n">
        <v>43221</v>
      </c>
      <c r="B54" s="283" t="n">
        <v>8980797</v>
      </c>
      <c r="C54" s="283" t="n">
        <v>3663428</v>
      </c>
      <c r="D54" s="283" t="n">
        <v>275700</v>
      </c>
      <c r="E54" s="283" t="n">
        <v>506370</v>
      </c>
      <c r="F54" s="283" t="n">
        <v>0</v>
      </c>
      <c r="G54" s="283" t="n">
        <v>0</v>
      </c>
      <c r="H54" s="283" t="n">
        <v>0</v>
      </c>
      <c r="I54" s="283" t="n">
        <v>2176575</v>
      </c>
      <c r="J54" s="283" t="n">
        <v>304399</v>
      </c>
      <c r="K54" s="161" t="n">
        <v>60569</v>
      </c>
      <c r="L54" s="283" t="n">
        <v>183261</v>
      </c>
      <c r="M54" s="283" t="n">
        <v>0</v>
      </c>
      <c r="N54" s="283" t="n">
        <v>224034</v>
      </c>
      <c r="O54" s="283" t="n">
        <v>35915</v>
      </c>
      <c r="P54" s="283" t="n">
        <v>0</v>
      </c>
      <c r="Q54" s="283" t="n">
        <v>16340</v>
      </c>
      <c r="R54" s="283" t="n"/>
      <c r="S54" s="283" t="n"/>
      <c r="T54" s="283" t="n"/>
      <c r="U54" s="283" t="n"/>
      <c r="V54" s="283" t="n"/>
      <c r="W54" s="283" t="n">
        <v>0</v>
      </c>
      <c r="X54" s="283" t="n">
        <v>738822</v>
      </c>
      <c r="Y54" s="283" t="n">
        <v>795384</v>
      </c>
      <c r="Z54" s="285" t="n">
        <v>342020</v>
      </c>
      <c r="AA54" s="286" t="n">
        <v>453364</v>
      </c>
      <c r="AB54" s="286" t="n">
        <v>2400609</v>
      </c>
      <c r="AC54" s="582" t="n"/>
      <c r="AD54" s="306" t="n">
        <v>116361</v>
      </c>
      <c r="AE54" s="283" t="n">
        <v>0</v>
      </c>
      <c r="AF54" s="283" t="n">
        <v>0</v>
      </c>
      <c r="AG54" s="283" t="n">
        <v>0</v>
      </c>
      <c r="AH54" s="283" t="n">
        <v>0</v>
      </c>
      <c r="AI54" s="283" t="n"/>
      <c r="AJ54" s="283" t="n"/>
      <c r="AK54" s="56">
        <f>SUM(B43:B54)</f>
        <v/>
      </c>
      <c r="AL54" s="56" t="n"/>
      <c r="AM54" s="56">
        <f>SUM(C54:Y54)</f>
        <v/>
      </c>
      <c r="AN54" s="56">
        <f>AM54+AD54</f>
        <v/>
      </c>
    </row>
    <row r="55" ht="17" customHeight="1" thickBot="1">
      <c r="A55" s="282" t="n">
        <v>43252</v>
      </c>
      <c r="B55" s="283" t="n">
        <v>8345430</v>
      </c>
      <c r="C55" s="283" t="n">
        <v>3243600</v>
      </c>
      <c r="D55" s="283" t="n">
        <v>230102</v>
      </c>
      <c r="E55" s="284" t="n">
        <v>463971</v>
      </c>
      <c r="F55" s="283" t="n">
        <v>0</v>
      </c>
      <c r="G55" s="283" t="n">
        <v>0</v>
      </c>
      <c r="H55" s="283" t="n">
        <v>0</v>
      </c>
      <c r="I55" s="284" t="n">
        <v>2314940</v>
      </c>
      <c r="J55" s="284" t="n">
        <v>265718</v>
      </c>
      <c r="K55" s="284" t="n">
        <v>74569</v>
      </c>
      <c r="L55" s="284" t="n">
        <v>191322</v>
      </c>
      <c r="M55" s="283" t="n">
        <v>0</v>
      </c>
      <c r="N55" s="284" t="n">
        <v>226980</v>
      </c>
      <c r="O55" s="284" t="n">
        <v>23888</v>
      </c>
      <c r="P55" s="283" t="n">
        <v>0</v>
      </c>
      <c r="Q55" s="283" t="n">
        <v>8379</v>
      </c>
      <c r="R55" s="283" t="n"/>
      <c r="S55" s="283" t="n"/>
      <c r="T55" s="283" t="n"/>
      <c r="U55" s="283" t="n"/>
      <c r="V55" s="283" t="n"/>
      <c r="W55" s="283" t="n">
        <v>0</v>
      </c>
      <c r="X55" s="284" t="n">
        <v>551495</v>
      </c>
      <c r="Y55" s="283" t="n">
        <v>750466</v>
      </c>
      <c r="Z55" s="285" t="n">
        <v>296584</v>
      </c>
      <c r="AA55" s="286" t="n">
        <v>453882</v>
      </c>
      <c r="AB55" s="286" t="n">
        <v>2541920</v>
      </c>
      <c r="AC55" s="582" t="n"/>
      <c r="AD55" s="306" t="n">
        <v>97157</v>
      </c>
      <c r="AE55" s="283" t="n">
        <v>0</v>
      </c>
      <c r="AF55" s="283" t="n">
        <v>0</v>
      </c>
      <c r="AG55" s="283" t="n">
        <v>0</v>
      </c>
      <c r="AH55" s="283" t="n">
        <v>0</v>
      </c>
      <c r="AI55" s="283" t="n"/>
      <c r="AJ55" s="286" t="n"/>
      <c r="AK55" s="583">
        <f>SUM(B44:B55)</f>
        <v/>
      </c>
      <c r="AL55" s="584">
        <f>AK55+SUM(AD44:AD55)</f>
        <v/>
      </c>
      <c r="AM55" s="56">
        <f>SUM(C55:Y55)</f>
        <v/>
      </c>
      <c r="AN55" s="56">
        <f>AM55+AD55</f>
        <v/>
      </c>
    </row>
    <row r="56">
      <c r="A56" s="282" t="n">
        <v>43282</v>
      </c>
      <c r="B56" s="284" t="n">
        <v>9163876</v>
      </c>
      <c r="C56" s="284" t="n">
        <v>3596301</v>
      </c>
      <c r="D56" s="284" t="n">
        <v>269714</v>
      </c>
      <c r="E56" s="284" t="n">
        <v>448922</v>
      </c>
      <c r="F56" s="283" t="n">
        <v>0</v>
      </c>
      <c r="G56" s="283" t="n">
        <v>0</v>
      </c>
      <c r="H56" s="283" t="n">
        <v>0</v>
      </c>
      <c r="I56" s="284" t="n">
        <v>2556472</v>
      </c>
      <c r="J56" s="284" t="n">
        <v>246603</v>
      </c>
      <c r="K56" s="284" t="n">
        <v>84978</v>
      </c>
      <c r="L56" s="284" t="n">
        <v>217407</v>
      </c>
      <c r="M56" s="283" t="n">
        <v>0</v>
      </c>
      <c r="N56" s="284" t="n">
        <v>246683</v>
      </c>
      <c r="O56" s="284" t="n">
        <v>37883</v>
      </c>
      <c r="P56" s="283" t="n">
        <v>0</v>
      </c>
      <c r="Q56" s="283" t="n">
        <v>12527</v>
      </c>
      <c r="R56" s="283" t="n"/>
      <c r="S56" s="283" t="n"/>
      <c r="T56" s="283" t="n"/>
      <c r="U56" s="283" t="n"/>
      <c r="V56" s="283" t="n"/>
      <c r="W56" s="283" t="n">
        <v>0</v>
      </c>
      <c r="X56" s="284" t="n">
        <v>638211</v>
      </c>
      <c r="Y56" s="283" t="n">
        <v>808175</v>
      </c>
      <c r="Z56" s="285" t="n">
        <v>301748</v>
      </c>
      <c r="AA56" s="286" t="n">
        <v>506427</v>
      </c>
      <c r="AB56" s="286" t="n">
        <v>2803155</v>
      </c>
      <c r="AC56" s="582" t="n"/>
      <c r="AD56" s="306" t="n">
        <v>70578</v>
      </c>
      <c r="AE56" s="283" t="n">
        <v>0</v>
      </c>
      <c r="AF56" s="283" t="n">
        <v>0</v>
      </c>
      <c r="AG56" s="283" t="n">
        <v>0</v>
      </c>
      <c r="AH56" s="283" t="n">
        <v>0</v>
      </c>
      <c r="AI56" s="283" t="n"/>
      <c r="AJ56" s="283" t="n"/>
      <c r="AK56" s="56">
        <f>SUM(B45:B56)</f>
        <v/>
      </c>
      <c r="AL56" s="56" t="n"/>
      <c r="AM56" s="56">
        <f>SUM(C56:Y56)</f>
        <v/>
      </c>
      <c r="AN56" s="56">
        <f>AM56+AD56</f>
        <v/>
      </c>
    </row>
    <row r="57">
      <c r="A57" s="282" t="n">
        <v>43313</v>
      </c>
      <c r="B57" s="284" t="n">
        <v>9264802</v>
      </c>
      <c r="C57" s="284" t="n">
        <v>3681107</v>
      </c>
      <c r="D57" s="284" t="n">
        <v>221923</v>
      </c>
      <c r="E57" s="284" t="n">
        <v>513076</v>
      </c>
      <c r="F57" s="283" t="n">
        <v>0</v>
      </c>
      <c r="G57" s="283" t="n">
        <v>0</v>
      </c>
      <c r="H57" s="283" t="n">
        <v>0</v>
      </c>
      <c r="I57" s="284" t="n">
        <v>2576284</v>
      </c>
      <c r="J57" s="284" t="n">
        <v>280930</v>
      </c>
      <c r="K57" s="284" t="n">
        <v>84295</v>
      </c>
      <c r="L57" s="284" t="n">
        <v>181347</v>
      </c>
      <c r="M57" s="283" t="n">
        <v>0</v>
      </c>
      <c r="N57" s="284" t="n">
        <v>248971</v>
      </c>
      <c r="O57" s="284" t="n">
        <v>36067</v>
      </c>
      <c r="P57" s="283" t="n">
        <v>0</v>
      </c>
      <c r="Q57" s="283" t="n">
        <v>8409</v>
      </c>
      <c r="R57" s="283" t="n"/>
      <c r="S57" s="283" t="n"/>
      <c r="T57" s="283" t="n"/>
      <c r="U57" s="283" t="n"/>
      <c r="V57" s="283" t="n"/>
      <c r="W57" s="283" t="n">
        <v>0</v>
      </c>
      <c r="X57" s="284" t="n">
        <v>612321</v>
      </c>
      <c r="Y57" s="283" t="n">
        <v>820072</v>
      </c>
      <c r="Z57" s="285" t="n">
        <v>314766</v>
      </c>
      <c r="AA57" s="286" t="n">
        <v>505306</v>
      </c>
      <c r="AB57" s="286" t="n">
        <v>2825255</v>
      </c>
      <c r="AC57" s="582" t="n"/>
      <c r="AD57" s="306" t="n">
        <v>85341</v>
      </c>
      <c r="AE57" s="283" t="n">
        <v>0</v>
      </c>
      <c r="AF57" s="283" t="n">
        <v>0</v>
      </c>
      <c r="AG57" s="283" t="n">
        <v>0</v>
      </c>
      <c r="AH57" s="283" t="n">
        <v>0</v>
      </c>
      <c r="AI57" s="283" t="n"/>
      <c r="AJ57" s="283" t="n"/>
      <c r="AK57" s="56">
        <f>SUM(B46:B57)</f>
        <v/>
      </c>
      <c r="AL57" s="56" t="n"/>
      <c r="AM57" s="56">
        <f>SUM(C57:Y57)</f>
        <v/>
      </c>
      <c r="AN57" s="56">
        <f>AM57+AD57</f>
        <v/>
      </c>
    </row>
    <row r="58">
      <c r="A58" s="282" t="n">
        <v>43344</v>
      </c>
      <c r="B58" s="284" t="n">
        <v>8549475</v>
      </c>
      <c r="C58" s="284" t="n">
        <v>3388624</v>
      </c>
      <c r="D58" s="284" t="n">
        <v>222460</v>
      </c>
      <c r="E58" s="284" t="n">
        <v>448695</v>
      </c>
      <c r="F58" s="283" t="n">
        <v>0</v>
      </c>
      <c r="G58" s="283" t="n">
        <v>0</v>
      </c>
      <c r="H58" s="283" t="n">
        <v>0</v>
      </c>
      <c r="I58" s="284" t="n">
        <v>2177118</v>
      </c>
      <c r="J58" s="284" t="n">
        <v>269617</v>
      </c>
      <c r="K58" s="284" t="n">
        <v>68024</v>
      </c>
      <c r="L58" s="284" t="n">
        <v>147015</v>
      </c>
      <c r="M58" s="283" t="n">
        <v>0</v>
      </c>
      <c r="N58" s="284" t="n">
        <v>204451</v>
      </c>
      <c r="O58" s="284" t="n">
        <v>23465</v>
      </c>
      <c r="P58" s="283" t="n">
        <v>0</v>
      </c>
      <c r="Q58" s="283" t="n">
        <v>16958</v>
      </c>
      <c r="R58" s="283" t="n"/>
      <c r="S58" s="283" t="n"/>
      <c r="T58" s="283" t="n"/>
      <c r="U58" s="283" t="n"/>
      <c r="V58" s="283" t="n"/>
      <c r="W58" s="283" t="n">
        <v>0</v>
      </c>
      <c r="X58" s="284" t="n">
        <v>804200</v>
      </c>
      <c r="Y58" s="283" t="n">
        <v>778848</v>
      </c>
      <c r="Z58" s="285" t="n">
        <v>322443</v>
      </c>
      <c r="AA58" s="286" t="n">
        <v>456405</v>
      </c>
      <c r="AB58" s="286" t="n">
        <v>2381569</v>
      </c>
      <c r="AC58" s="582" t="n"/>
      <c r="AD58" s="306" t="n">
        <v>97245</v>
      </c>
      <c r="AE58" s="283" t="n">
        <v>0</v>
      </c>
      <c r="AF58" s="283" t="n">
        <v>0</v>
      </c>
      <c r="AG58" s="283" t="n">
        <v>0</v>
      </c>
      <c r="AH58" s="283" t="n">
        <v>0</v>
      </c>
      <c r="AI58" s="283" t="n"/>
      <c r="AJ58" s="283" t="n"/>
      <c r="AK58" s="56">
        <f>SUM(B47:B58)</f>
        <v/>
      </c>
      <c r="AL58" s="56" t="n"/>
      <c r="AM58" s="56">
        <f>SUM(C58:Y58)</f>
        <v/>
      </c>
      <c r="AN58" s="56">
        <f>AM58+AD58</f>
        <v/>
      </c>
    </row>
    <row r="59">
      <c r="A59" s="287" t="n">
        <v>43374</v>
      </c>
      <c r="B59" s="284" t="n">
        <v>8134959</v>
      </c>
      <c r="C59" s="284" t="n">
        <v>3908089</v>
      </c>
      <c r="D59" s="284" t="n">
        <v>246334</v>
      </c>
      <c r="E59" s="284" t="n">
        <v>488440</v>
      </c>
      <c r="F59" s="283" t="n">
        <v>0</v>
      </c>
      <c r="G59" s="283" t="n">
        <v>0</v>
      </c>
      <c r="H59" s="283" t="n">
        <v>0</v>
      </c>
      <c r="I59" s="284" t="n">
        <v>1485329</v>
      </c>
      <c r="J59" s="284" t="n">
        <v>305093</v>
      </c>
      <c r="K59" s="284" t="n">
        <v>67677</v>
      </c>
      <c r="L59" s="284" t="n">
        <v>138871</v>
      </c>
      <c r="M59" s="283" t="n">
        <v>0</v>
      </c>
      <c r="N59" s="284" t="n">
        <v>167478</v>
      </c>
      <c r="O59" s="284" t="n">
        <v>22031</v>
      </c>
      <c r="P59" s="283" t="n">
        <v>0</v>
      </c>
      <c r="Q59" s="283" t="n">
        <v>85312</v>
      </c>
      <c r="R59" s="283" t="n"/>
      <c r="S59" s="283" t="n"/>
      <c r="T59" s="283" t="n"/>
      <c r="U59" s="283" t="n"/>
      <c r="V59" s="283" t="n"/>
      <c r="W59" s="283" t="n">
        <v>0</v>
      </c>
      <c r="X59" s="284" t="n">
        <v>584651</v>
      </c>
      <c r="Y59" s="284" t="n">
        <v>635654</v>
      </c>
      <c r="Z59" s="288" t="n">
        <v>351483</v>
      </c>
      <c r="AA59" s="289" t="n">
        <v>284171</v>
      </c>
      <c r="AB59" s="289" t="n">
        <v>1652807</v>
      </c>
      <c r="AC59" s="585" t="n"/>
      <c r="AD59" s="306" t="n">
        <v>112463</v>
      </c>
      <c r="AE59" s="283" t="n">
        <v>0</v>
      </c>
      <c r="AF59" s="283" t="n">
        <v>0</v>
      </c>
      <c r="AG59" s="283" t="n">
        <v>0</v>
      </c>
      <c r="AH59" s="283" t="n">
        <v>0</v>
      </c>
      <c r="AI59" s="283" t="n"/>
      <c r="AJ59" s="283" t="n"/>
      <c r="AK59" s="56">
        <f>SUM(B48:B59)</f>
        <v/>
      </c>
      <c r="AL59" s="56" t="n"/>
      <c r="AM59" s="56">
        <f>SUM(C59:Y59)</f>
        <v/>
      </c>
      <c r="AN59" s="56">
        <f>AM59+AD59</f>
        <v/>
      </c>
    </row>
    <row r="60">
      <c r="A60" s="282" t="n">
        <v>43405</v>
      </c>
      <c r="B60" s="284" t="n">
        <v>7301374</v>
      </c>
      <c r="C60" s="284" t="n">
        <v>3828466</v>
      </c>
      <c r="D60" s="283" t="n">
        <v>218939</v>
      </c>
      <c r="E60" s="283" t="n">
        <v>407239</v>
      </c>
      <c r="F60" s="283" t="n">
        <v>0</v>
      </c>
      <c r="G60" s="283" t="n">
        <v>0</v>
      </c>
      <c r="H60" s="283" t="n">
        <v>0</v>
      </c>
      <c r="I60" s="283" t="n">
        <v>1134112</v>
      </c>
      <c r="J60" s="283" t="n">
        <v>287286</v>
      </c>
      <c r="K60" s="283" t="n">
        <v>57308</v>
      </c>
      <c r="L60" s="283" t="n">
        <v>113093</v>
      </c>
      <c r="M60" s="283" t="n">
        <v>0</v>
      </c>
      <c r="N60" s="283" t="n">
        <v>126558</v>
      </c>
      <c r="O60" s="284" t="n">
        <v>26144</v>
      </c>
      <c r="P60" s="283" t="n">
        <v>0</v>
      </c>
      <c r="Q60" s="283" t="n">
        <v>62066</v>
      </c>
      <c r="R60" s="283" t="n"/>
      <c r="S60" s="283" t="n"/>
      <c r="T60" s="283" t="n"/>
      <c r="U60" s="283" t="n"/>
      <c r="V60" s="283" t="n"/>
      <c r="W60" s="283" t="n">
        <v>0</v>
      </c>
      <c r="X60" s="284" t="n">
        <v>486495</v>
      </c>
      <c r="Y60" s="283" t="n">
        <v>553668</v>
      </c>
      <c r="Z60" s="285" t="n">
        <v>356420</v>
      </c>
      <c r="AA60" s="286" t="n">
        <v>197248</v>
      </c>
      <c r="AB60" s="286" t="n">
        <v>1260670</v>
      </c>
      <c r="AC60" s="582" t="n"/>
      <c r="AD60" s="306" t="n">
        <v>78899</v>
      </c>
      <c r="AE60" s="283" t="n">
        <v>0</v>
      </c>
      <c r="AF60" s="283" t="n">
        <v>0</v>
      </c>
      <c r="AG60" s="283" t="n">
        <v>0</v>
      </c>
      <c r="AH60" s="283" t="n">
        <v>0</v>
      </c>
      <c r="AI60" s="283" t="n"/>
      <c r="AJ60" s="283" t="n"/>
      <c r="AK60" s="56">
        <f>SUM(B49:B60)</f>
        <v/>
      </c>
      <c r="AL60" s="56" t="n"/>
      <c r="AM60" s="56">
        <f>SUM(C60:Y60)</f>
        <v/>
      </c>
      <c r="AN60" s="56">
        <f>AM60+AD60</f>
        <v/>
      </c>
    </row>
    <row r="61">
      <c r="A61" s="282" t="n">
        <v>43435</v>
      </c>
      <c r="B61" s="284" t="n">
        <v>5745762</v>
      </c>
      <c r="C61" s="284" t="n">
        <v>3003100</v>
      </c>
      <c r="D61" s="283" t="n">
        <v>208027</v>
      </c>
      <c r="E61" s="283" t="n">
        <v>405643</v>
      </c>
      <c r="F61" s="283" t="n">
        <v>0</v>
      </c>
      <c r="G61" s="283" t="n">
        <v>0</v>
      </c>
      <c r="H61" s="283" t="n">
        <v>0</v>
      </c>
      <c r="I61" s="283" t="n">
        <v>682534</v>
      </c>
      <c r="J61" s="283" t="n">
        <v>253715</v>
      </c>
      <c r="K61" s="283" t="n">
        <v>49747</v>
      </c>
      <c r="L61" s="283" t="n">
        <v>97643</v>
      </c>
      <c r="M61" s="283" t="n">
        <v>0</v>
      </c>
      <c r="N61" s="283" t="n">
        <v>75003</v>
      </c>
      <c r="O61" s="284" t="n">
        <v>14837</v>
      </c>
      <c r="P61" s="283" t="n">
        <v>0</v>
      </c>
      <c r="Q61" s="283" t="n">
        <v>56360</v>
      </c>
      <c r="R61" s="283" t="n"/>
      <c r="S61" s="283" t="n"/>
      <c r="T61" s="283" t="n"/>
      <c r="U61" s="283" t="n"/>
      <c r="V61" s="283" t="n"/>
      <c r="W61" s="283" t="n">
        <v>0</v>
      </c>
      <c r="X61" s="284" t="n">
        <v>416236</v>
      </c>
      <c r="Y61" s="283" t="n">
        <v>482917</v>
      </c>
      <c r="Z61" s="285" t="n">
        <v>321018</v>
      </c>
      <c r="AA61" s="286" t="n">
        <v>161899</v>
      </c>
      <c r="AB61" s="286" t="n">
        <v>757537</v>
      </c>
      <c r="AC61" s="582" t="n"/>
      <c r="AD61" s="306" t="n">
        <v>70771</v>
      </c>
      <c r="AE61" s="283" t="n">
        <v>0</v>
      </c>
      <c r="AF61" s="283" t="n">
        <v>0</v>
      </c>
      <c r="AG61" s="283" t="n">
        <v>0</v>
      </c>
      <c r="AH61" s="283" t="n">
        <v>0</v>
      </c>
      <c r="AI61" s="283" t="n"/>
      <c r="AJ61" s="283" t="n"/>
      <c r="AK61" s="56">
        <f>SUM(B50:B61)</f>
        <v/>
      </c>
      <c r="AL61" s="56" t="n"/>
      <c r="AM61" s="56">
        <f>SUM(C61:Y61)</f>
        <v/>
      </c>
      <c r="AN61" s="56">
        <f>AM61+AD61</f>
        <v/>
      </c>
    </row>
    <row r="62">
      <c r="A62" s="271" t="n">
        <v>43466</v>
      </c>
      <c r="B62" s="273" t="n">
        <v>6248667</v>
      </c>
      <c r="C62" s="273" t="n">
        <v>3629709</v>
      </c>
      <c r="D62" s="272" t="n">
        <v>222775</v>
      </c>
      <c r="E62" s="272" t="n">
        <v>421202</v>
      </c>
      <c r="F62" s="272" t="n">
        <v>0</v>
      </c>
      <c r="G62" s="272" t="n">
        <v>0</v>
      </c>
      <c r="H62" s="272" t="n">
        <v>0</v>
      </c>
      <c r="I62" s="272" t="n">
        <v>484198</v>
      </c>
      <c r="J62" s="272" t="n">
        <v>263925</v>
      </c>
      <c r="K62" s="272" t="n">
        <v>55886</v>
      </c>
      <c r="L62" s="272" t="n">
        <v>105554</v>
      </c>
      <c r="M62" s="273" t="n">
        <v>0</v>
      </c>
      <c r="N62" s="272" t="n">
        <v>60895</v>
      </c>
      <c r="O62" s="273" t="n">
        <v>21572</v>
      </c>
      <c r="P62" s="273" t="n">
        <v>0</v>
      </c>
      <c r="Q62" s="273" t="n">
        <v>53837</v>
      </c>
      <c r="R62" s="273" t="n"/>
      <c r="S62" s="273" t="n"/>
      <c r="T62" s="273" t="n"/>
      <c r="U62" s="273" t="n"/>
      <c r="V62" s="273" t="n"/>
      <c r="W62" s="273" t="n">
        <v>0</v>
      </c>
      <c r="X62" s="273" t="n">
        <v>341945</v>
      </c>
      <c r="Y62" s="272" t="n">
        <v>587169</v>
      </c>
      <c r="Z62" s="274" t="n">
        <v>326358</v>
      </c>
      <c r="AA62" s="275" t="n">
        <v>260811</v>
      </c>
      <c r="AB62" s="275" t="n">
        <v>545093</v>
      </c>
      <c r="AC62" s="582" t="n"/>
      <c r="AD62" s="307" t="n">
        <v>51400</v>
      </c>
      <c r="AE62" s="272" t="n">
        <v>0</v>
      </c>
      <c r="AF62" s="272" t="n">
        <v>0</v>
      </c>
      <c r="AG62" s="272" t="n">
        <v>0</v>
      </c>
      <c r="AH62" s="272" t="n">
        <v>0</v>
      </c>
      <c r="AI62" s="272" t="n"/>
      <c r="AJ62" s="272" t="n"/>
      <c r="AK62" s="56">
        <f>SUM(B51:B62)</f>
        <v/>
      </c>
      <c r="AL62" s="56" t="n"/>
      <c r="AM62" s="56">
        <f>SUM(C62:Y62)</f>
        <v/>
      </c>
      <c r="AN62" s="56">
        <f>AM62+AD62</f>
        <v/>
      </c>
    </row>
    <row r="63">
      <c r="A63" s="271" t="n">
        <v>43497</v>
      </c>
      <c r="B63" s="273" t="n">
        <v>5832769</v>
      </c>
      <c r="C63" s="273" t="n">
        <v>3264996</v>
      </c>
      <c r="D63" s="272" t="n">
        <v>209124</v>
      </c>
      <c r="E63" s="272" t="n">
        <v>395384</v>
      </c>
      <c r="F63" s="272" t="n">
        <v>0</v>
      </c>
      <c r="G63" s="272" t="n">
        <v>0</v>
      </c>
      <c r="H63" s="272" t="n">
        <v>0</v>
      </c>
      <c r="I63" s="272" t="n">
        <v>597453</v>
      </c>
      <c r="J63" s="272" t="n">
        <v>254927</v>
      </c>
      <c r="K63" s="272" t="n">
        <v>43422</v>
      </c>
      <c r="L63" s="272" t="n">
        <v>87204</v>
      </c>
      <c r="M63" s="273" t="n">
        <v>0</v>
      </c>
      <c r="N63" s="272" t="n">
        <v>60345</v>
      </c>
      <c r="O63" s="273" t="n">
        <v>16313</v>
      </c>
      <c r="P63" s="273" t="n">
        <v>0</v>
      </c>
      <c r="Q63" s="273" t="n">
        <v>50658</v>
      </c>
      <c r="R63" s="273" t="n"/>
      <c r="S63" s="273" t="n"/>
      <c r="T63" s="273" t="n"/>
      <c r="U63" s="273" t="n"/>
      <c r="V63" s="273" t="n"/>
      <c r="W63" s="273" t="n">
        <v>0</v>
      </c>
      <c r="X63" s="273" t="n">
        <v>363265</v>
      </c>
      <c r="Y63" s="272" t="n">
        <v>489678</v>
      </c>
      <c r="Z63" s="274" t="n">
        <v>301948</v>
      </c>
      <c r="AA63" s="275" t="n">
        <v>187730</v>
      </c>
      <c r="AB63" s="275" t="n">
        <v>657798</v>
      </c>
      <c r="AC63" s="582" t="n"/>
      <c r="AD63" s="307" t="n">
        <v>68403</v>
      </c>
      <c r="AE63" s="272" t="n">
        <v>0</v>
      </c>
      <c r="AF63" s="272" t="n">
        <v>0</v>
      </c>
      <c r="AG63" s="272" t="n">
        <v>0</v>
      </c>
      <c r="AH63" s="272" t="n">
        <v>0</v>
      </c>
      <c r="AI63" s="272" t="n"/>
      <c r="AJ63" s="272" t="n"/>
      <c r="AK63" s="56">
        <f>SUM(B52:B63)</f>
        <v/>
      </c>
      <c r="AL63" s="56" t="n"/>
      <c r="AM63" s="56">
        <f>SUM(C63:Y63)</f>
        <v/>
      </c>
      <c r="AN63" s="56">
        <f>AM63+AD63</f>
        <v/>
      </c>
    </row>
    <row r="64">
      <c r="A64" s="271" t="n">
        <v>43525</v>
      </c>
      <c r="B64" s="273" t="n">
        <v>6331150</v>
      </c>
      <c r="C64" s="273" t="n">
        <v>3345129</v>
      </c>
      <c r="D64" s="272" t="n">
        <v>207872</v>
      </c>
      <c r="E64" s="272" t="n">
        <v>391830</v>
      </c>
      <c r="F64" s="272" t="n">
        <v>0</v>
      </c>
      <c r="G64" s="272" t="n">
        <v>0</v>
      </c>
      <c r="H64" s="272" t="n">
        <v>0</v>
      </c>
      <c r="I64" s="272" t="n">
        <v>793174</v>
      </c>
      <c r="J64" s="272" t="n">
        <v>242810</v>
      </c>
      <c r="K64" s="272" t="n">
        <v>51330</v>
      </c>
      <c r="L64" s="272" t="n">
        <v>107277</v>
      </c>
      <c r="M64" s="273" t="n">
        <v>0</v>
      </c>
      <c r="N64" s="273" t="n">
        <v>90434</v>
      </c>
      <c r="O64" s="273" t="n">
        <v>27877</v>
      </c>
      <c r="P64" s="273" t="n">
        <v>0</v>
      </c>
      <c r="Q64" s="273" t="n">
        <v>51807</v>
      </c>
      <c r="R64" s="273" t="n"/>
      <c r="S64" s="273" t="n"/>
      <c r="T64" s="273" t="n"/>
      <c r="U64" s="273" t="n"/>
      <c r="V64" s="273" t="n"/>
      <c r="W64" s="273" t="n">
        <v>0</v>
      </c>
      <c r="X64" s="273" t="n">
        <v>479638</v>
      </c>
      <c r="Y64" s="272" t="n">
        <v>541972</v>
      </c>
      <c r="Z64" s="274" t="n">
        <v>329756</v>
      </c>
      <c r="AA64" s="275" t="n">
        <v>212216</v>
      </c>
      <c r="AB64" s="275" t="n">
        <v>883608</v>
      </c>
      <c r="AC64" s="582" t="n"/>
      <c r="AD64" s="307" t="n">
        <v>70519</v>
      </c>
      <c r="AE64" s="272" t="n">
        <v>0</v>
      </c>
      <c r="AF64" s="272" t="n">
        <v>0</v>
      </c>
      <c r="AG64" s="272" t="n">
        <v>0</v>
      </c>
      <c r="AH64" s="272" t="n">
        <v>0</v>
      </c>
      <c r="AI64" s="272" t="n"/>
      <c r="AJ64" s="272" t="n"/>
      <c r="AK64" s="56">
        <f>SUM(B53:B64)</f>
        <v/>
      </c>
      <c r="AL64" s="56" t="n"/>
      <c r="AM64" s="56">
        <f>SUM(C64:Y64)</f>
        <v/>
      </c>
      <c r="AN64" s="56">
        <f>AM64+AD64</f>
        <v/>
      </c>
    </row>
    <row r="65">
      <c r="A65" s="271" t="n">
        <v>43556</v>
      </c>
      <c r="B65" s="273" t="n">
        <v>7724333</v>
      </c>
      <c r="C65" s="273" t="n">
        <v>3897277</v>
      </c>
      <c r="D65" s="272" t="n">
        <v>239709</v>
      </c>
      <c r="E65" s="272" t="n">
        <v>416769</v>
      </c>
      <c r="F65" s="272" t="n">
        <v>0</v>
      </c>
      <c r="G65" s="272" t="n">
        <v>0</v>
      </c>
      <c r="H65" s="272" t="n">
        <v>0</v>
      </c>
      <c r="I65" s="272" t="n">
        <v>1267906</v>
      </c>
      <c r="J65" s="272" t="n">
        <v>261684</v>
      </c>
      <c r="K65" s="272" t="n">
        <v>54547</v>
      </c>
      <c r="L65" s="272" t="n">
        <v>131475</v>
      </c>
      <c r="M65" s="273" t="n">
        <v>0</v>
      </c>
      <c r="N65" s="272" t="n">
        <v>128377</v>
      </c>
      <c r="O65" s="272" t="n">
        <v>50411</v>
      </c>
      <c r="P65" s="273" t="n">
        <v>0</v>
      </c>
      <c r="Q65" s="272" t="n">
        <v>74731</v>
      </c>
      <c r="R65" s="272" t="n"/>
      <c r="S65" s="272" t="n"/>
      <c r="T65" s="272" t="n"/>
      <c r="U65" s="272" t="n"/>
      <c r="V65" s="272" t="n"/>
      <c r="W65" s="273" t="n">
        <v>0</v>
      </c>
      <c r="X65" s="273" t="n">
        <v>545039</v>
      </c>
      <c r="Y65" s="272" t="n">
        <v>656408</v>
      </c>
      <c r="Z65" s="274" t="n">
        <v>354868</v>
      </c>
      <c r="AA65" s="275" t="n">
        <v>301540</v>
      </c>
      <c r="AB65" s="275" t="n">
        <v>1396283</v>
      </c>
      <c r="AC65" s="582" t="n"/>
      <c r="AD65" s="307" t="n">
        <v>91375</v>
      </c>
      <c r="AE65" s="272" t="n">
        <v>0</v>
      </c>
      <c r="AF65" s="272" t="n">
        <v>0</v>
      </c>
      <c r="AG65" s="272" t="n">
        <v>0</v>
      </c>
      <c r="AH65" s="272" t="n">
        <v>0</v>
      </c>
      <c r="AI65" s="272" t="n"/>
      <c r="AJ65" s="272" t="n"/>
      <c r="AK65" s="56">
        <f>SUM(B54:B65)</f>
        <v/>
      </c>
      <c r="AL65" s="56" t="n"/>
      <c r="AM65" s="56">
        <f>SUM(C65:Y65)</f>
        <v/>
      </c>
      <c r="AN65" s="56">
        <f>AM65+AD65</f>
        <v/>
      </c>
    </row>
    <row r="66" ht="17" customHeight="1" thickBot="1">
      <c r="A66" s="271" t="n">
        <v>43586</v>
      </c>
      <c r="B66" s="273" t="n">
        <v>7840497</v>
      </c>
      <c r="C66" s="273" t="n">
        <v>3553410</v>
      </c>
      <c r="D66" s="272" t="n">
        <v>223486</v>
      </c>
      <c r="E66" s="272" t="n">
        <v>408004</v>
      </c>
      <c r="F66" s="272" t="n">
        <v>0</v>
      </c>
      <c r="G66" s="272" t="n">
        <v>0</v>
      </c>
      <c r="H66" s="272" t="n">
        <v>0</v>
      </c>
      <c r="I66" s="272" t="n">
        <v>1567740</v>
      </c>
      <c r="J66" s="272" t="n">
        <v>252730</v>
      </c>
      <c r="K66" s="272" t="n">
        <v>60316</v>
      </c>
      <c r="L66" s="272" t="n">
        <v>146843</v>
      </c>
      <c r="M66" s="273" t="n">
        <v>0</v>
      </c>
      <c r="N66" s="272" t="n">
        <v>168006</v>
      </c>
      <c r="O66" s="272" t="n">
        <v>48567</v>
      </c>
      <c r="P66" s="273" t="n">
        <v>0</v>
      </c>
      <c r="Q66" s="272" t="n">
        <v>75552</v>
      </c>
      <c r="R66" s="272" t="n"/>
      <c r="S66" s="272" t="n"/>
      <c r="T66" s="272" t="n"/>
      <c r="U66" s="272" t="n"/>
      <c r="V66" s="272" t="n"/>
      <c r="W66" s="273" t="n">
        <v>0</v>
      </c>
      <c r="X66" s="273" t="n">
        <v>650564</v>
      </c>
      <c r="Y66" s="272" t="n">
        <v>685279</v>
      </c>
      <c r="Z66" s="274" t="n">
        <v>332260</v>
      </c>
      <c r="AA66" s="275" t="n">
        <v>353019</v>
      </c>
      <c r="AB66" s="275" t="n">
        <v>1735746</v>
      </c>
      <c r="AC66" s="582" t="n"/>
      <c r="AD66" s="307" t="n">
        <v>102963</v>
      </c>
      <c r="AE66" s="272" t="n">
        <v>0</v>
      </c>
      <c r="AF66" s="272" t="n">
        <v>0</v>
      </c>
      <c r="AG66" s="272" t="n">
        <v>0</v>
      </c>
      <c r="AH66" s="272" t="n">
        <v>0</v>
      </c>
      <c r="AI66" s="272" t="n"/>
      <c r="AJ66" s="272" t="n"/>
      <c r="AK66" s="56">
        <f>SUM(B55:B66)</f>
        <v/>
      </c>
      <c r="AL66" s="56" t="n"/>
      <c r="AM66" s="56">
        <f>SUM(C66:Y66)</f>
        <v/>
      </c>
      <c r="AN66" s="56">
        <f>AM66+AD66</f>
        <v/>
      </c>
    </row>
    <row r="67" ht="17" customHeight="1" thickBot="1">
      <c r="A67" s="271" t="n">
        <v>43617</v>
      </c>
      <c r="B67" s="273" t="n">
        <v>8048430</v>
      </c>
      <c r="C67" s="273" t="n">
        <v>3274264</v>
      </c>
      <c r="D67" s="272" t="n">
        <v>215214</v>
      </c>
      <c r="E67" s="272" t="n">
        <v>385131</v>
      </c>
      <c r="F67" s="272" t="n">
        <v>0</v>
      </c>
      <c r="G67" s="272" t="n">
        <v>0</v>
      </c>
      <c r="H67" s="272" t="n">
        <v>0</v>
      </c>
      <c r="I67" s="272" t="n">
        <v>2054826</v>
      </c>
      <c r="J67" s="272" t="n">
        <v>226595</v>
      </c>
      <c r="K67" s="272" t="n">
        <v>65999</v>
      </c>
      <c r="L67" s="272" t="n">
        <v>175675</v>
      </c>
      <c r="M67" s="273" t="n">
        <v>0</v>
      </c>
      <c r="N67" s="272" t="n">
        <v>204845</v>
      </c>
      <c r="O67" s="272" t="n">
        <v>60310</v>
      </c>
      <c r="P67" s="273" t="n">
        <v>0</v>
      </c>
      <c r="Q67" s="272" t="n">
        <v>75530</v>
      </c>
      <c r="R67" s="272" t="n"/>
      <c r="S67" s="272" t="n"/>
      <c r="T67" s="272" t="n"/>
      <c r="U67" s="272" t="n"/>
      <c r="V67" s="272" t="n"/>
      <c r="W67" s="273" t="n">
        <v>0</v>
      </c>
      <c r="X67" s="273" t="n">
        <v>554926</v>
      </c>
      <c r="Y67" s="272" t="n">
        <v>755115</v>
      </c>
      <c r="Z67" s="274" t="n">
        <v>242424</v>
      </c>
      <c r="AA67" s="275" t="n">
        <v>512691</v>
      </c>
      <c r="AB67" s="275" t="n">
        <v>2259671</v>
      </c>
      <c r="AC67" s="582" t="n"/>
      <c r="AD67" s="307" t="n">
        <v>90889</v>
      </c>
      <c r="AE67" s="272" t="n">
        <v>0</v>
      </c>
      <c r="AF67" s="272" t="n">
        <v>0</v>
      </c>
      <c r="AG67" s="272" t="n">
        <v>0</v>
      </c>
      <c r="AH67" s="272" t="n">
        <v>0</v>
      </c>
      <c r="AI67" s="272" t="n"/>
      <c r="AJ67" s="275" t="n"/>
      <c r="AK67" s="583">
        <f>SUM(B56:B67)</f>
        <v/>
      </c>
      <c r="AL67" s="584">
        <f>AK67+SUM(AD56:AD67)</f>
        <v/>
      </c>
      <c r="AM67" s="56">
        <f>SUM(C67:Y67)</f>
        <v/>
      </c>
      <c r="AN67" s="56">
        <f>AM67+AD67</f>
        <v/>
      </c>
    </row>
    <row r="68">
      <c r="A68" s="271" t="n">
        <v>43647</v>
      </c>
      <c r="B68" s="273" t="n">
        <v>9301477</v>
      </c>
      <c r="C68" s="273" t="n">
        <v>3802878</v>
      </c>
      <c r="D68" s="272" t="n">
        <v>252456</v>
      </c>
      <c r="E68" s="272" t="n">
        <v>452014</v>
      </c>
      <c r="F68" s="272" t="n">
        <v>0</v>
      </c>
      <c r="G68" s="272" t="n">
        <v>0</v>
      </c>
      <c r="H68" s="272" t="n">
        <v>0</v>
      </c>
      <c r="I68" s="272" t="n">
        <v>2356091</v>
      </c>
      <c r="J68" s="272" t="n">
        <v>265538</v>
      </c>
      <c r="K68" s="272" t="n">
        <v>83679</v>
      </c>
      <c r="L68" s="272" t="n">
        <v>215366</v>
      </c>
      <c r="M68" s="273" t="n">
        <v>0</v>
      </c>
      <c r="N68" s="272" t="n">
        <v>249610</v>
      </c>
      <c r="O68" s="272" t="n">
        <v>71160</v>
      </c>
      <c r="P68" s="273" t="n">
        <v>0</v>
      </c>
      <c r="Q68" s="272" t="n">
        <v>101005</v>
      </c>
      <c r="R68" s="272" t="n"/>
      <c r="S68" s="272" t="n"/>
      <c r="T68" s="272" t="n"/>
      <c r="U68" s="272" t="n"/>
      <c r="V68" s="272" t="n"/>
      <c r="W68" s="273" t="n">
        <v>0</v>
      </c>
      <c r="X68" s="273" t="n">
        <v>586193</v>
      </c>
      <c r="Y68" s="272" t="n">
        <v>865487</v>
      </c>
      <c r="Z68" s="274" t="n">
        <v>260859</v>
      </c>
      <c r="AA68" s="275" t="n">
        <v>604628</v>
      </c>
      <c r="AB68" s="275" t="n">
        <v>2605701</v>
      </c>
      <c r="AC68" s="582" t="n"/>
      <c r="AD68" s="307" t="n">
        <v>74995</v>
      </c>
      <c r="AE68" s="272" t="n">
        <v>0</v>
      </c>
      <c r="AF68" s="272" t="n">
        <v>0</v>
      </c>
      <c r="AG68" s="272" t="n">
        <v>0</v>
      </c>
      <c r="AH68" s="272" t="n">
        <v>0</v>
      </c>
      <c r="AI68" s="272" t="n"/>
      <c r="AJ68" s="272" t="n"/>
      <c r="AK68" s="56">
        <f>SUM(B57:B68)</f>
        <v/>
      </c>
      <c r="AL68" s="56" t="n"/>
      <c r="AM68" s="56">
        <f>SUM(C68:Y68)</f>
        <v/>
      </c>
      <c r="AN68" s="56">
        <f>AM68+AD68</f>
        <v/>
      </c>
    </row>
    <row r="69">
      <c r="A69" s="271" t="n">
        <v>43678</v>
      </c>
      <c r="B69" s="273" t="n">
        <v>9116965</v>
      </c>
      <c r="C69" s="273" t="n">
        <v>3220290</v>
      </c>
      <c r="D69" s="272" t="n">
        <v>242645</v>
      </c>
      <c r="E69" s="272" t="n">
        <v>422221</v>
      </c>
      <c r="F69" s="272" t="n">
        <v>0</v>
      </c>
      <c r="G69" s="272" t="n">
        <v>424725</v>
      </c>
      <c r="H69" s="272" t="n">
        <v>0</v>
      </c>
      <c r="I69" s="272" t="n">
        <v>2390328</v>
      </c>
      <c r="J69" s="272" t="n">
        <v>252699</v>
      </c>
      <c r="K69" s="272" t="n">
        <v>74912</v>
      </c>
      <c r="L69" s="272" t="n">
        <v>170764</v>
      </c>
      <c r="M69" s="273" t="n">
        <v>0</v>
      </c>
      <c r="N69" s="272" t="n">
        <v>227597</v>
      </c>
      <c r="O69" s="272" t="n">
        <v>54203</v>
      </c>
      <c r="P69" s="273" t="n">
        <v>0</v>
      </c>
      <c r="Q69" s="272" t="n">
        <v>94217</v>
      </c>
      <c r="R69" s="272" t="n"/>
      <c r="S69" s="272" t="n"/>
      <c r="T69" s="272" t="n"/>
      <c r="U69" s="272" t="n"/>
      <c r="V69" s="272" t="n"/>
      <c r="W69" s="273" t="n">
        <v>0</v>
      </c>
      <c r="X69" s="273" t="n">
        <v>654976</v>
      </c>
      <c r="Y69" s="272" t="n">
        <v>887388</v>
      </c>
      <c r="Z69" s="274" t="n">
        <v>258945</v>
      </c>
      <c r="AA69" s="275" t="n">
        <v>628443</v>
      </c>
      <c r="AB69" s="275" t="n">
        <v>2617925</v>
      </c>
      <c r="AC69" s="582" t="n"/>
      <c r="AD69" s="307" t="n">
        <v>67653</v>
      </c>
      <c r="AE69" s="272" t="n">
        <v>0</v>
      </c>
      <c r="AF69" s="272" t="n">
        <v>0</v>
      </c>
      <c r="AG69" s="272" t="n">
        <v>0</v>
      </c>
      <c r="AH69" s="272" t="n">
        <v>0</v>
      </c>
      <c r="AI69" s="272" t="n"/>
      <c r="AJ69" s="272" t="n"/>
      <c r="AK69" s="56">
        <f>SUM(B58:B69)</f>
        <v/>
      </c>
      <c r="AL69" s="56" t="n"/>
      <c r="AM69" s="56">
        <f>SUM(C69:Y69)</f>
        <v/>
      </c>
      <c r="AN69" s="56">
        <f>AM69+AD69</f>
        <v/>
      </c>
    </row>
    <row r="70">
      <c r="A70" s="271" t="n">
        <v>43709</v>
      </c>
      <c r="B70" s="273" t="n">
        <v>9462055</v>
      </c>
      <c r="C70" s="273" t="n">
        <v>3755080.21768979</v>
      </c>
      <c r="D70" s="272" t="n">
        <v>230045</v>
      </c>
      <c r="E70" s="272" t="n">
        <v>402702</v>
      </c>
      <c r="F70" s="272" t="n">
        <v>0</v>
      </c>
      <c r="G70" s="272" t="n">
        <v>100551</v>
      </c>
      <c r="H70" s="272" t="n">
        <v>59436</v>
      </c>
      <c r="I70" s="272" t="n">
        <v>2310802.78231021</v>
      </c>
      <c r="J70" s="272" t="n">
        <v>249415</v>
      </c>
      <c r="K70" s="272" t="n">
        <v>75384</v>
      </c>
      <c r="L70" s="272" t="n">
        <v>160706</v>
      </c>
      <c r="M70" s="273" t="n">
        <v>0</v>
      </c>
      <c r="N70" s="272" t="n">
        <v>225882</v>
      </c>
      <c r="O70" s="272" t="n">
        <v>44385</v>
      </c>
      <c r="P70" s="273" t="n">
        <v>0</v>
      </c>
      <c r="Q70" s="272" t="n">
        <v>83764</v>
      </c>
      <c r="R70" s="272" t="n"/>
      <c r="S70" s="272" t="n"/>
      <c r="T70" s="272" t="n"/>
      <c r="U70" s="272" t="n"/>
      <c r="V70" s="272" t="n"/>
      <c r="W70" s="273" t="n">
        <v>0</v>
      </c>
      <c r="X70" s="273" t="n">
        <v>827293</v>
      </c>
      <c r="Y70" s="272" t="n">
        <v>936609</v>
      </c>
      <c r="Z70" s="274" t="n">
        <v>377836</v>
      </c>
      <c r="AA70" s="275" t="n">
        <v>558773</v>
      </c>
      <c r="AB70" s="275" t="n">
        <v>2536684.78231021</v>
      </c>
      <c r="AC70" s="582" t="n"/>
      <c r="AD70" s="307" t="n">
        <v>115167</v>
      </c>
      <c r="AE70" s="272" t="n">
        <v>0</v>
      </c>
      <c r="AF70" s="272" t="n">
        <v>0</v>
      </c>
      <c r="AG70" s="272" t="n">
        <v>0</v>
      </c>
      <c r="AH70" s="272" t="n">
        <v>0</v>
      </c>
      <c r="AI70" s="272" t="n"/>
      <c r="AJ70" s="272" t="n"/>
      <c r="AK70" s="56">
        <f>SUM(B59:B70)</f>
        <v/>
      </c>
      <c r="AL70" s="56" t="n"/>
      <c r="AM70" s="56">
        <f>SUM(C70:Y70)</f>
        <v/>
      </c>
      <c r="AN70" s="56">
        <f>AM70+AD70</f>
        <v/>
      </c>
    </row>
    <row r="71">
      <c r="A71" s="271" t="n">
        <v>43739</v>
      </c>
      <c r="B71" s="273" t="n">
        <v>8322078</v>
      </c>
      <c r="C71" s="273" t="n">
        <v>3512233.204706864</v>
      </c>
      <c r="D71" s="273" t="n">
        <v>253825</v>
      </c>
      <c r="E71" s="273" t="n">
        <v>442513</v>
      </c>
      <c r="F71" s="272" t="n">
        <v>0</v>
      </c>
      <c r="G71" s="273" t="n">
        <v>113044</v>
      </c>
      <c r="H71" s="273" t="n">
        <v>55451</v>
      </c>
      <c r="I71" s="273" t="n">
        <v>1831017.795293136</v>
      </c>
      <c r="J71" s="273" t="n">
        <v>275324</v>
      </c>
      <c r="K71" s="273" t="n">
        <v>63423</v>
      </c>
      <c r="L71" s="273" t="n">
        <v>128778</v>
      </c>
      <c r="M71" s="273" t="n">
        <v>0</v>
      </c>
      <c r="N71" s="273" t="n">
        <v>187955</v>
      </c>
      <c r="O71" s="273" t="n">
        <v>49676</v>
      </c>
      <c r="P71" s="273" t="n">
        <v>0</v>
      </c>
      <c r="Q71" s="273" t="n">
        <v>85459</v>
      </c>
      <c r="R71" s="273" t="n"/>
      <c r="S71" s="273" t="n"/>
      <c r="T71" s="273" t="n"/>
      <c r="U71" s="273" t="n"/>
      <c r="V71" s="273" t="n"/>
      <c r="W71" s="273" t="n">
        <v>0</v>
      </c>
      <c r="X71" s="273" t="n">
        <v>573373</v>
      </c>
      <c r="Y71" s="273" t="n">
        <v>750006</v>
      </c>
      <c r="Z71" s="274" t="n">
        <v>348709</v>
      </c>
      <c r="AA71" s="290" t="n">
        <v>401297</v>
      </c>
      <c r="AB71" s="290" t="n">
        <v>2018972.795293136</v>
      </c>
      <c r="AC71" s="585" t="n"/>
      <c r="AD71" s="307" t="n">
        <v>144704</v>
      </c>
      <c r="AE71" s="272" t="n">
        <v>0</v>
      </c>
      <c r="AF71" s="272" t="n">
        <v>0</v>
      </c>
      <c r="AG71" s="272" t="n">
        <v>0</v>
      </c>
      <c r="AH71" s="272" t="n">
        <v>0</v>
      </c>
      <c r="AI71" s="272" t="n"/>
      <c r="AJ71" s="272" t="n"/>
      <c r="AK71" s="56">
        <f>SUM(B60:B71)</f>
        <v/>
      </c>
      <c r="AL71" s="56" t="n"/>
      <c r="AM71" s="56">
        <f>SUM(C71:Y71)</f>
        <v/>
      </c>
      <c r="AN71" s="56">
        <f>AM71+AD71</f>
        <v/>
      </c>
    </row>
    <row r="72">
      <c r="A72" s="271" t="n">
        <v>43770</v>
      </c>
      <c r="B72" s="273" t="n">
        <v>6415073</v>
      </c>
      <c r="C72" s="273" t="n">
        <v>3281818.682502469</v>
      </c>
      <c r="D72" s="273" t="n">
        <v>216193</v>
      </c>
      <c r="E72" s="273" t="n">
        <v>367280</v>
      </c>
      <c r="F72" s="272" t="n">
        <v>0</v>
      </c>
      <c r="G72" s="273" t="n">
        <v>91082</v>
      </c>
      <c r="H72" s="273" t="n">
        <v>59722</v>
      </c>
      <c r="I72" s="273" t="n">
        <v>910263.3174975311</v>
      </c>
      <c r="J72" s="273" t="n">
        <v>218913</v>
      </c>
      <c r="K72" s="273" t="n">
        <v>48453</v>
      </c>
      <c r="L72" s="273" t="n">
        <v>98766</v>
      </c>
      <c r="M72" s="273" t="n">
        <v>0</v>
      </c>
      <c r="N72" s="273" t="n">
        <v>102398</v>
      </c>
      <c r="O72" s="273" t="n">
        <v>38563</v>
      </c>
      <c r="P72" s="273" t="n">
        <v>0</v>
      </c>
      <c r="Q72" s="273" t="n">
        <v>44065</v>
      </c>
      <c r="R72" s="273" t="n"/>
      <c r="S72" s="273" t="n"/>
      <c r="T72" s="273" t="n"/>
      <c r="U72" s="273" t="n"/>
      <c r="V72" s="273" t="n"/>
      <c r="W72" s="273" t="n">
        <v>0</v>
      </c>
      <c r="X72" s="273" t="n">
        <v>451117</v>
      </c>
      <c r="Y72" s="273" t="n">
        <v>486439</v>
      </c>
      <c r="Z72" s="274" t="n">
        <v>283909</v>
      </c>
      <c r="AA72" s="290" t="n">
        <v>202530</v>
      </c>
      <c r="AB72" s="290" t="n">
        <v>1012661.317497531</v>
      </c>
      <c r="AC72" s="585" t="n"/>
      <c r="AD72" s="307" t="n">
        <v>82531</v>
      </c>
      <c r="AE72" s="272" t="n">
        <v>0</v>
      </c>
      <c r="AF72" s="272" t="n">
        <v>0</v>
      </c>
      <c r="AG72" s="272" t="n">
        <v>0</v>
      </c>
      <c r="AH72" s="272" t="n">
        <v>0</v>
      </c>
      <c r="AI72" s="272" t="n"/>
      <c r="AJ72" s="272" t="n"/>
      <c r="AK72" s="56">
        <f>SUM(B61:B72)</f>
        <v/>
      </c>
      <c r="AL72" s="56" t="n"/>
      <c r="AM72" s="56">
        <f>SUM(C72:Y72)</f>
        <v/>
      </c>
      <c r="AN72" s="56">
        <f>AM72+AD72</f>
        <v/>
      </c>
    </row>
    <row r="73">
      <c r="A73" s="271" t="n">
        <v>43800</v>
      </c>
      <c r="B73" s="273" t="n">
        <v>5899084</v>
      </c>
      <c r="C73" s="273" t="n">
        <v>3254720.865330245</v>
      </c>
      <c r="D73" s="273" t="n">
        <v>229842</v>
      </c>
      <c r="E73" s="273" t="n">
        <v>390890</v>
      </c>
      <c r="F73" s="272" t="n">
        <v>0</v>
      </c>
      <c r="G73" s="273" t="n">
        <v>105592</v>
      </c>
      <c r="H73" s="273" t="n">
        <v>59707</v>
      </c>
      <c r="I73" s="273" t="n">
        <v>538670.1346697551</v>
      </c>
      <c r="J73" s="273" t="n">
        <v>232536</v>
      </c>
      <c r="K73" s="273" t="n">
        <v>46020</v>
      </c>
      <c r="L73" s="273" t="n">
        <v>77558</v>
      </c>
      <c r="M73" s="273" t="n">
        <v>0</v>
      </c>
      <c r="N73" s="273" t="n">
        <v>73091</v>
      </c>
      <c r="O73" s="273" t="n">
        <v>40146</v>
      </c>
      <c r="P73" s="273" t="n">
        <v>0</v>
      </c>
      <c r="Q73" s="273" t="n">
        <v>39890</v>
      </c>
      <c r="R73" s="273" t="n"/>
      <c r="S73" s="273" t="n"/>
      <c r="T73" s="273" t="n"/>
      <c r="U73" s="273" t="n"/>
      <c r="V73" s="273" t="n"/>
      <c r="W73" s="273" t="n">
        <v>0</v>
      </c>
      <c r="X73" s="273" t="n">
        <v>325231</v>
      </c>
      <c r="Y73" s="273" t="n">
        <v>485190</v>
      </c>
      <c r="Z73" s="274" t="n">
        <v>280873</v>
      </c>
      <c r="AA73" s="290" t="n">
        <v>204317</v>
      </c>
      <c r="AB73" s="290" t="n">
        <v>611761.1346697551</v>
      </c>
      <c r="AC73" s="585" t="n"/>
      <c r="AD73" s="307" t="n">
        <v>48121</v>
      </c>
      <c r="AE73" s="272" t="n">
        <v>0</v>
      </c>
      <c r="AF73" s="272" t="n">
        <v>0</v>
      </c>
      <c r="AG73" s="272" t="n">
        <v>0</v>
      </c>
      <c r="AH73" s="272" t="n">
        <v>0</v>
      </c>
      <c r="AI73" s="272" t="n"/>
      <c r="AJ73" s="272" t="n"/>
      <c r="AK73" s="56">
        <f>SUM(B62:B73)</f>
        <v/>
      </c>
      <c r="AL73" s="56" t="n"/>
      <c r="AM73" s="56">
        <f>SUM(C73:Y73)</f>
        <v/>
      </c>
      <c r="AN73" s="56">
        <f>AM73+AD73</f>
        <v/>
      </c>
    </row>
    <row r="74">
      <c r="A74" s="266" t="n">
        <v>43831</v>
      </c>
      <c r="B74" s="268" t="n">
        <v>5768791</v>
      </c>
      <c r="C74" s="268" t="n">
        <v>3078548.92088489</v>
      </c>
      <c r="D74" s="268" t="n">
        <v>236757</v>
      </c>
      <c r="E74" s="268" t="n">
        <v>414212</v>
      </c>
      <c r="F74" s="268" t="n">
        <v>0</v>
      </c>
      <c r="G74" s="268" t="n">
        <v>135848</v>
      </c>
      <c r="H74" s="268" t="n">
        <v>74925</v>
      </c>
      <c r="I74" s="268" t="n">
        <v>514211.0791151094</v>
      </c>
      <c r="J74" s="268" t="n">
        <v>258161</v>
      </c>
      <c r="K74" s="268" t="n">
        <v>45705</v>
      </c>
      <c r="L74" s="268" t="n">
        <v>85583</v>
      </c>
      <c r="M74" s="268" t="n">
        <v>0</v>
      </c>
      <c r="N74" s="268" t="n">
        <v>64772</v>
      </c>
      <c r="O74" s="268" t="n">
        <v>41213</v>
      </c>
      <c r="P74" s="268" t="n">
        <v>0</v>
      </c>
      <c r="Q74" s="268" t="n">
        <v>31253</v>
      </c>
      <c r="R74" s="268" t="n"/>
      <c r="S74" s="268" t="n"/>
      <c r="T74" s="268" t="n"/>
      <c r="U74" s="268" t="n"/>
      <c r="V74" s="268" t="n"/>
      <c r="W74" s="268" t="n">
        <v>0</v>
      </c>
      <c r="X74" s="268" t="n">
        <v>304301</v>
      </c>
      <c r="Y74" s="268" t="n">
        <v>483301</v>
      </c>
      <c r="Z74" s="269" t="n">
        <v>262219</v>
      </c>
      <c r="AA74" s="291" t="n">
        <v>221082</v>
      </c>
      <c r="AB74" s="291" t="n">
        <v>578983.0791151094</v>
      </c>
      <c r="AC74" s="585" t="n"/>
      <c r="AD74" s="308" t="n">
        <v>36605</v>
      </c>
      <c r="AE74" s="268" t="n">
        <v>0</v>
      </c>
      <c r="AF74" s="268" t="n">
        <v>0</v>
      </c>
      <c r="AG74" s="268" t="n">
        <v>0</v>
      </c>
      <c r="AH74" s="268" t="n">
        <v>0</v>
      </c>
      <c r="AI74" s="268" t="n"/>
      <c r="AJ74" s="268" t="n"/>
      <c r="AK74" s="56">
        <f>SUM(B63:B74)</f>
        <v/>
      </c>
      <c r="AL74" s="56" t="n"/>
      <c r="AM74" s="56">
        <f>SUM(C74:Y74)</f>
        <v/>
      </c>
      <c r="AN74" s="56">
        <f>AM74+AD74</f>
        <v/>
      </c>
    </row>
    <row r="75">
      <c r="A75" s="266" t="n">
        <v>43862</v>
      </c>
      <c r="B75" s="268" t="n">
        <v>5023807</v>
      </c>
      <c r="C75" s="268" t="n">
        <v>2865741.761495811</v>
      </c>
      <c r="D75" s="268" t="n">
        <v>157931</v>
      </c>
      <c r="E75" s="268" t="n">
        <v>298508</v>
      </c>
      <c r="F75" s="268" t="n">
        <v>0</v>
      </c>
      <c r="G75" s="268" t="n">
        <v>92910</v>
      </c>
      <c r="H75" s="268" t="n">
        <v>51118</v>
      </c>
      <c r="I75" s="268" t="n">
        <v>421075.2385041887</v>
      </c>
      <c r="J75" s="268" t="n">
        <v>164814</v>
      </c>
      <c r="K75" s="268" t="n">
        <v>38096</v>
      </c>
      <c r="L75" s="268" t="n">
        <v>58743</v>
      </c>
      <c r="M75" s="268" t="n">
        <v>0</v>
      </c>
      <c r="N75" s="268" t="n">
        <v>50512</v>
      </c>
      <c r="O75" s="268" t="n">
        <v>40527</v>
      </c>
      <c r="P75" s="268" t="n">
        <v>0</v>
      </c>
      <c r="Q75" s="268" t="n">
        <v>10207</v>
      </c>
      <c r="R75" s="268" t="n"/>
      <c r="S75" s="268" t="n"/>
      <c r="T75" s="268" t="n"/>
      <c r="U75" s="268" t="n"/>
      <c r="V75" s="268" t="n"/>
      <c r="W75" s="268" t="n">
        <v>0</v>
      </c>
      <c r="X75" s="268" t="n">
        <v>305392</v>
      </c>
      <c r="Y75" s="268" t="n">
        <v>468232</v>
      </c>
      <c r="Z75" s="269" t="n">
        <v>208348</v>
      </c>
      <c r="AA75" s="291" t="n">
        <v>259884</v>
      </c>
      <c r="AB75" s="291" t="n">
        <v>471587.2385041887</v>
      </c>
      <c r="AC75" s="585" t="n"/>
      <c r="AD75" s="308" t="n">
        <v>42917</v>
      </c>
      <c r="AE75" s="268" t="n">
        <v>0</v>
      </c>
      <c r="AF75" s="268" t="n">
        <v>0</v>
      </c>
      <c r="AG75" s="268" t="n">
        <v>0</v>
      </c>
      <c r="AH75" s="268" t="n">
        <v>0</v>
      </c>
      <c r="AI75" s="268" t="n"/>
      <c r="AJ75" s="268" t="n"/>
      <c r="AK75" s="56">
        <f>SUM(B64:B75)</f>
        <v/>
      </c>
      <c r="AL75" s="56" t="n"/>
      <c r="AM75" s="56">
        <f>SUM(C75:Y75)</f>
        <v/>
      </c>
      <c r="AN75" s="56">
        <f>AM75+AD75</f>
        <v/>
      </c>
    </row>
    <row r="76">
      <c r="A76" s="266" t="n">
        <v>43891</v>
      </c>
      <c r="B76" s="268" t="n">
        <v>5824742</v>
      </c>
      <c r="C76" s="268" t="n">
        <v>3080473.757548288</v>
      </c>
      <c r="D76" s="268" t="n">
        <v>230277</v>
      </c>
      <c r="E76" s="268" t="n">
        <v>366209</v>
      </c>
      <c r="F76" s="268" t="n">
        <v>0</v>
      </c>
      <c r="G76" s="268" t="n">
        <v>127209</v>
      </c>
      <c r="H76" s="268" t="n">
        <v>78486</v>
      </c>
      <c r="I76" s="268" t="n">
        <v>672076.2424517119</v>
      </c>
      <c r="J76" s="268" t="n">
        <v>226846</v>
      </c>
      <c r="K76" s="268" t="n">
        <v>40647</v>
      </c>
      <c r="L76" s="268" t="n">
        <v>51768</v>
      </c>
      <c r="M76" s="268" t="n">
        <v>0</v>
      </c>
      <c r="N76" s="268" t="n">
        <v>62594</v>
      </c>
      <c r="O76" s="268" t="n">
        <v>53768</v>
      </c>
      <c r="P76" s="268" t="n">
        <v>0</v>
      </c>
      <c r="Q76" s="268" t="n">
        <v>26680</v>
      </c>
      <c r="R76" s="268" t="n"/>
      <c r="S76" s="268" t="n"/>
      <c r="T76" s="268" t="n"/>
      <c r="U76" s="268" t="n"/>
      <c r="V76" s="268" t="n"/>
      <c r="W76" s="268" t="n">
        <v>0</v>
      </c>
      <c r="X76" s="268" t="n">
        <v>309551</v>
      </c>
      <c r="Y76" s="268" t="n">
        <v>498157</v>
      </c>
      <c r="Z76" s="269" t="n">
        <v>261289</v>
      </c>
      <c r="AA76" s="291" t="n">
        <v>236868</v>
      </c>
      <c r="AB76" s="291" t="n">
        <v>734670.2424517119</v>
      </c>
      <c r="AC76" s="585" t="n"/>
      <c r="AD76" s="308" t="n">
        <v>36608</v>
      </c>
      <c r="AE76" s="268" t="n">
        <v>0</v>
      </c>
      <c r="AF76" s="268" t="n">
        <v>0</v>
      </c>
      <c r="AG76" s="268" t="n">
        <v>0</v>
      </c>
      <c r="AH76" s="268" t="n">
        <v>0</v>
      </c>
      <c r="AI76" s="268" t="n"/>
      <c r="AJ76" s="268" t="n"/>
      <c r="AK76" s="56">
        <f>SUM(B65:B76)</f>
        <v/>
      </c>
      <c r="AL76" s="56" t="n"/>
      <c r="AM76" s="56">
        <f>SUM(C76:Y76)</f>
        <v/>
      </c>
      <c r="AN76" s="56">
        <f>AM76+AD76</f>
        <v/>
      </c>
    </row>
    <row r="77">
      <c r="A77" s="266" t="n">
        <v>43922</v>
      </c>
      <c r="B77" s="268" t="n">
        <v>5681721</v>
      </c>
      <c r="C77" s="268" t="n">
        <v>2963980.07</v>
      </c>
      <c r="D77" s="268" t="n">
        <v>186270</v>
      </c>
      <c r="E77" s="268" t="n">
        <v>350090</v>
      </c>
      <c r="F77" s="268" t="n">
        <v>0</v>
      </c>
      <c r="G77" s="268" t="n">
        <v>107135.8</v>
      </c>
      <c r="H77" s="268" t="n">
        <v>90793</v>
      </c>
      <c r="I77" s="268" t="n">
        <v>719292.13</v>
      </c>
      <c r="J77" s="268" t="n">
        <v>201132</v>
      </c>
      <c r="K77" s="268" t="n">
        <v>48025</v>
      </c>
      <c r="L77" s="268" t="n">
        <v>62887</v>
      </c>
      <c r="M77" s="268" t="n">
        <v>0</v>
      </c>
      <c r="N77" s="268" t="n">
        <v>78033</v>
      </c>
      <c r="O77" s="268" t="n">
        <v>36680</v>
      </c>
      <c r="P77" s="268" t="n">
        <v>0</v>
      </c>
      <c r="Q77" s="268" t="n">
        <v>33324</v>
      </c>
      <c r="R77" s="268" t="n"/>
      <c r="S77" s="268" t="n"/>
      <c r="T77" s="268" t="n"/>
      <c r="U77" s="268" t="n"/>
      <c r="V77" s="268" t="n"/>
      <c r="W77" s="268" t="n">
        <v>0</v>
      </c>
      <c r="X77" s="268" t="n">
        <v>327861</v>
      </c>
      <c r="Y77" s="268" t="n">
        <v>476218</v>
      </c>
      <c r="Z77" s="269" t="n">
        <v>231032</v>
      </c>
      <c r="AA77" s="291" t="n">
        <v>245186</v>
      </c>
      <c r="AB77" s="291" t="n">
        <v>797325.13</v>
      </c>
      <c r="AC77" s="585" t="n"/>
      <c r="AD77" s="308" t="n">
        <v>37869</v>
      </c>
      <c r="AE77" s="268" t="n">
        <v>0</v>
      </c>
      <c r="AF77" s="268" t="n">
        <v>0</v>
      </c>
      <c r="AG77" s="268" t="n">
        <v>0</v>
      </c>
      <c r="AH77" s="268" t="n">
        <v>0</v>
      </c>
      <c r="AI77" s="268" t="n"/>
      <c r="AJ77" s="268" t="n"/>
      <c r="AK77" s="56">
        <f>SUM(B66:B77)</f>
        <v/>
      </c>
      <c r="AL77" s="56" t="n"/>
      <c r="AM77" s="56">
        <f>SUM(C77:Y77)</f>
        <v/>
      </c>
      <c r="AN77" s="56">
        <f>AM77+AD77</f>
        <v/>
      </c>
    </row>
    <row r="78" ht="17" customHeight="1" thickBot="1">
      <c r="A78" s="266" t="n">
        <v>43952</v>
      </c>
      <c r="B78" s="268" t="n">
        <v>7583231</v>
      </c>
      <c r="C78" s="268" t="n">
        <v>3071782.218703309</v>
      </c>
      <c r="D78" s="268" t="n">
        <v>208650</v>
      </c>
      <c r="E78" s="268" t="n">
        <v>384452</v>
      </c>
      <c r="F78" s="268" t="n">
        <v>0</v>
      </c>
      <c r="G78" s="268" t="n">
        <v>99522</v>
      </c>
      <c r="H78" s="268" t="n">
        <v>97251</v>
      </c>
      <c r="I78" s="268" t="n">
        <v>1805652.78129669</v>
      </c>
      <c r="J78" s="268" t="n">
        <v>223924</v>
      </c>
      <c r="K78" s="268" t="n">
        <v>62443</v>
      </c>
      <c r="L78" s="268" t="n">
        <v>84897</v>
      </c>
      <c r="M78" s="268" t="n">
        <v>0</v>
      </c>
      <c r="N78" s="268" t="n">
        <v>186627</v>
      </c>
      <c r="O78" s="268" t="n">
        <v>63932</v>
      </c>
      <c r="P78" s="268" t="n">
        <v>0</v>
      </c>
      <c r="Q78" s="268" t="n">
        <v>76640</v>
      </c>
      <c r="R78" s="268" t="n"/>
      <c r="S78" s="268" t="n"/>
      <c r="T78" s="268" t="n"/>
      <c r="U78" s="268" t="n"/>
      <c r="V78" s="268" t="n"/>
      <c r="W78" s="268" t="n">
        <v>0</v>
      </c>
      <c r="X78" s="268" t="n">
        <v>490579</v>
      </c>
      <c r="Y78" s="268" t="n">
        <v>726879</v>
      </c>
      <c r="Z78" s="269" t="n">
        <v>260510</v>
      </c>
      <c r="AA78" s="291" t="n">
        <v>466369</v>
      </c>
      <c r="AB78" s="291" t="n">
        <v>1992279.78129669</v>
      </c>
      <c r="AC78" s="585" t="n"/>
      <c r="AD78" s="308" t="n">
        <v>192030</v>
      </c>
      <c r="AE78" s="268" t="n">
        <v>0</v>
      </c>
      <c r="AF78" s="268" t="n">
        <v>0</v>
      </c>
      <c r="AG78" s="268" t="n">
        <v>0</v>
      </c>
      <c r="AH78" s="268" t="n">
        <v>0</v>
      </c>
      <c r="AI78" s="268" t="n"/>
      <c r="AJ78" s="268" t="n"/>
      <c r="AK78" s="56">
        <f>SUM(B67:B78)</f>
        <v/>
      </c>
      <c r="AL78" s="56" t="n"/>
      <c r="AM78" s="56">
        <f>SUM(C78:Y78)</f>
        <v/>
      </c>
      <c r="AN78" s="56">
        <f>AM78+AD78</f>
        <v/>
      </c>
    </row>
    <row r="79" ht="17" customHeight="1" thickBot="1">
      <c r="A79" s="266" t="n">
        <v>43983</v>
      </c>
      <c r="B79" s="268" t="n">
        <v>8954220</v>
      </c>
      <c r="C79" s="268" t="n">
        <v>3648771.19970989</v>
      </c>
      <c r="D79" s="268" t="n">
        <v>228347</v>
      </c>
      <c r="E79" s="268" t="n">
        <v>396101</v>
      </c>
      <c r="F79" s="268" t="n">
        <v>0</v>
      </c>
      <c r="G79" s="268" t="n">
        <v>109687</v>
      </c>
      <c r="H79" s="268" t="n">
        <v>115327</v>
      </c>
      <c r="I79" s="268" t="n">
        <v>2206132.80029011</v>
      </c>
      <c r="J79" s="268" t="n">
        <v>240416</v>
      </c>
      <c r="K79" s="268" t="n">
        <v>78338</v>
      </c>
      <c r="L79" s="268" t="n">
        <v>119344</v>
      </c>
      <c r="M79" s="268" t="n">
        <v>0</v>
      </c>
      <c r="N79" s="268" t="n">
        <v>225215</v>
      </c>
      <c r="O79" s="268" t="n">
        <v>67302</v>
      </c>
      <c r="P79" s="268" t="n">
        <v>0</v>
      </c>
      <c r="Q79" s="268" t="n">
        <v>93585</v>
      </c>
      <c r="R79" s="268" t="n"/>
      <c r="S79" s="268" t="n"/>
      <c r="T79" s="268" t="n"/>
      <c r="U79" s="268" t="n"/>
      <c r="V79" s="268" t="n"/>
      <c r="W79" s="268" t="n">
        <v>0</v>
      </c>
      <c r="X79" s="268" t="n">
        <v>456065</v>
      </c>
      <c r="Y79" s="268" t="n">
        <v>969589</v>
      </c>
      <c r="Z79" s="269" t="n">
        <v>291027</v>
      </c>
      <c r="AA79" s="291" t="n">
        <v>678562</v>
      </c>
      <c r="AB79" s="291" t="n">
        <v>2431347.80029011</v>
      </c>
      <c r="AC79" s="585" t="n"/>
      <c r="AD79" s="308" t="n">
        <v>68497</v>
      </c>
      <c r="AE79" s="268" t="n">
        <v>0</v>
      </c>
      <c r="AF79" s="268" t="n">
        <v>0</v>
      </c>
      <c r="AG79" s="268" t="n">
        <v>0</v>
      </c>
      <c r="AH79" s="268" t="n">
        <v>0</v>
      </c>
      <c r="AI79" s="268" t="n"/>
      <c r="AJ79" s="291" t="n"/>
      <c r="AK79" s="583">
        <f>SUM(B68:B79)</f>
        <v/>
      </c>
      <c r="AL79" s="584">
        <f>AK79+SUM(AD68:AD79)</f>
        <v/>
      </c>
      <c r="AM79" s="56">
        <f>SUM(C79:Y79)</f>
        <v/>
      </c>
      <c r="AN79" s="56">
        <f>AM79+AD79</f>
        <v/>
      </c>
    </row>
    <row r="80">
      <c r="A80" s="266" t="n">
        <v>44013</v>
      </c>
      <c r="B80" s="268" t="n">
        <v>8833132</v>
      </c>
      <c r="C80" s="268" t="n">
        <v>3490262.449999999</v>
      </c>
      <c r="D80" s="268" t="n">
        <v>228257</v>
      </c>
      <c r="E80" s="268" t="n">
        <v>404540</v>
      </c>
      <c r="F80" s="268" t="n">
        <v>0</v>
      </c>
      <c r="G80" s="268" t="n">
        <v>110641</v>
      </c>
      <c r="H80" s="268" t="n">
        <v>120796</v>
      </c>
      <c r="I80" s="268" t="n">
        <v>2154407.55</v>
      </c>
      <c r="J80" s="268" t="n">
        <v>231715</v>
      </c>
      <c r="K80" s="268" t="n">
        <v>83182</v>
      </c>
      <c r="L80" s="268" t="n">
        <v>140263</v>
      </c>
      <c r="M80" s="268" t="n">
        <v>0</v>
      </c>
      <c r="N80" s="268" t="n">
        <v>242508</v>
      </c>
      <c r="O80" s="268" t="n">
        <v>88475</v>
      </c>
      <c r="P80" s="268" t="n">
        <v>0</v>
      </c>
      <c r="Q80" s="268" t="n">
        <v>47947</v>
      </c>
      <c r="R80" s="268" t="n"/>
      <c r="S80" s="268" t="n"/>
      <c r="T80" s="268" t="n"/>
      <c r="U80" s="268" t="n"/>
      <c r="V80" s="268" t="n"/>
      <c r="W80" s="268" t="n">
        <v>0</v>
      </c>
      <c r="X80" s="268" t="n">
        <v>464378</v>
      </c>
      <c r="Y80" s="268" t="n">
        <v>1025760</v>
      </c>
      <c r="Z80" s="269" t="n">
        <v>265659</v>
      </c>
      <c r="AA80" s="291" t="n">
        <v>760101</v>
      </c>
      <c r="AB80" s="291" t="n">
        <v>2396915.55</v>
      </c>
      <c r="AC80" s="585" t="n"/>
      <c r="AD80" s="308" t="n">
        <v>62076</v>
      </c>
      <c r="AE80" s="268" t="n">
        <v>0</v>
      </c>
      <c r="AF80" s="268" t="n">
        <v>0</v>
      </c>
      <c r="AG80" s="268" t="n">
        <v>0</v>
      </c>
      <c r="AH80" s="268" t="n">
        <v>0</v>
      </c>
      <c r="AI80" s="268" t="n"/>
      <c r="AJ80" s="268" t="n"/>
      <c r="AK80" s="56">
        <f>SUM(B69:B80)</f>
        <v/>
      </c>
      <c r="AL80" s="56" t="n"/>
      <c r="AM80" s="56">
        <f>SUM(C80:Y80)</f>
        <v/>
      </c>
      <c r="AN80" s="56">
        <f>AM80+AD80</f>
        <v/>
      </c>
    </row>
    <row r="81">
      <c r="A81" s="266" t="n">
        <v>44044</v>
      </c>
      <c r="B81" s="268" t="n">
        <v>7931452</v>
      </c>
      <c r="C81" s="268" t="n">
        <v>2706435.533479581</v>
      </c>
      <c r="D81" s="268" t="n">
        <v>197866</v>
      </c>
      <c r="E81" s="268" t="n">
        <v>348726</v>
      </c>
      <c r="F81" s="268" t="n">
        <v>0</v>
      </c>
      <c r="G81" s="268" t="n">
        <v>107732</v>
      </c>
      <c r="H81" s="268" t="n">
        <v>136811</v>
      </c>
      <c r="I81" s="268" t="n">
        <v>2394486.46652042</v>
      </c>
      <c r="J81" s="268" t="n">
        <v>200857</v>
      </c>
      <c r="K81" s="268" t="n">
        <v>76791</v>
      </c>
      <c r="L81" s="268" t="n">
        <v>121644</v>
      </c>
      <c r="M81" s="268" t="n">
        <v>0</v>
      </c>
      <c r="N81" s="268" t="n">
        <v>229261</v>
      </c>
      <c r="O81" s="268" t="n">
        <v>53605</v>
      </c>
      <c r="P81" s="268" t="n">
        <v>0</v>
      </c>
      <c r="Q81" s="268" t="n">
        <v>45846</v>
      </c>
      <c r="R81" s="268" t="n"/>
      <c r="S81" s="268" t="n"/>
      <c r="T81" s="268" t="n"/>
      <c r="U81" s="268" t="n"/>
      <c r="V81" s="268" t="n"/>
      <c r="W81" s="268" t="n">
        <v>0</v>
      </c>
      <c r="X81" s="268" t="n">
        <v>481052</v>
      </c>
      <c r="Y81" s="268" t="n">
        <v>830339</v>
      </c>
      <c r="Z81" s="269" t="n">
        <v>232096</v>
      </c>
      <c r="AA81" s="291" t="n">
        <v>598243</v>
      </c>
      <c r="AB81" s="291" t="n">
        <v>2623747.46652042</v>
      </c>
      <c r="AC81" s="585" t="n"/>
      <c r="AD81" s="308" t="n">
        <v>70639</v>
      </c>
      <c r="AE81" s="268" t="n">
        <v>0</v>
      </c>
      <c r="AF81" s="268" t="n">
        <v>0</v>
      </c>
      <c r="AG81" s="268" t="n">
        <v>0</v>
      </c>
      <c r="AH81" s="268" t="n">
        <v>0</v>
      </c>
      <c r="AI81" s="268" t="n"/>
      <c r="AJ81" s="268" t="n"/>
      <c r="AK81" s="56">
        <f>SUM(B70:B81)</f>
        <v/>
      </c>
      <c r="AL81" s="56" t="n"/>
      <c r="AM81" s="56">
        <f>SUM(C81:Y81)</f>
        <v/>
      </c>
      <c r="AN81" s="56">
        <f>AM81+AD81</f>
        <v/>
      </c>
    </row>
    <row r="82">
      <c r="A82" s="266" t="n">
        <v>44075</v>
      </c>
      <c r="B82" s="268" t="n">
        <v>9473248</v>
      </c>
      <c r="C82" s="268" t="n">
        <v>4067167.602130599</v>
      </c>
      <c r="D82" s="268" t="n">
        <v>227234</v>
      </c>
      <c r="E82" s="268" t="n">
        <v>401301</v>
      </c>
      <c r="F82" s="268" t="n">
        <v>0</v>
      </c>
      <c r="G82" s="268" t="n">
        <v>105161</v>
      </c>
      <c r="H82" s="268" t="n">
        <v>145991</v>
      </c>
      <c r="I82" s="268" t="n">
        <v>2048304.397869401</v>
      </c>
      <c r="J82" s="268" t="n">
        <v>250434</v>
      </c>
      <c r="K82" s="268" t="n">
        <v>74921</v>
      </c>
      <c r="L82" s="268" t="n">
        <v>130572</v>
      </c>
      <c r="M82" s="268" t="n">
        <v>0</v>
      </c>
      <c r="N82" s="268" t="n">
        <v>227888</v>
      </c>
      <c r="O82" s="268" t="n">
        <v>53030</v>
      </c>
      <c r="P82" s="268" t="n">
        <v>0</v>
      </c>
      <c r="Q82" s="268" t="n">
        <v>67681</v>
      </c>
      <c r="R82" s="268" t="n"/>
      <c r="S82" s="268" t="n"/>
      <c r="T82" s="268" t="n"/>
      <c r="U82" s="268" t="n"/>
      <c r="V82" s="268" t="n"/>
      <c r="W82" s="268" t="n">
        <v>290330</v>
      </c>
      <c r="X82" s="268" t="n">
        <v>456104</v>
      </c>
      <c r="Y82" s="268" t="n">
        <v>927129</v>
      </c>
      <c r="Z82" s="269" t="n">
        <v>303922</v>
      </c>
      <c r="AA82" s="291" t="n">
        <v>623207</v>
      </c>
      <c r="AB82" s="291" t="n">
        <v>2276192.397869401</v>
      </c>
      <c r="AC82" s="585" t="n"/>
      <c r="AD82" s="308" t="n">
        <v>228211</v>
      </c>
      <c r="AE82" s="268" t="n">
        <v>0</v>
      </c>
      <c r="AF82" s="268" t="n">
        <v>0</v>
      </c>
      <c r="AG82" s="268" t="n">
        <v>0</v>
      </c>
      <c r="AH82" s="268" t="n">
        <v>0</v>
      </c>
      <c r="AI82" s="268" t="n"/>
      <c r="AJ82" s="268" t="n"/>
      <c r="AK82" s="56">
        <f>SUM(B71:B82)</f>
        <v/>
      </c>
      <c r="AL82" s="56" t="n"/>
      <c r="AM82" s="56">
        <f>SUM(C82:Y82)</f>
        <v/>
      </c>
      <c r="AN82" s="56">
        <f>AM82+AD82</f>
        <v/>
      </c>
    </row>
    <row r="83">
      <c r="A83" s="266" t="n">
        <v>44105</v>
      </c>
      <c r="B83" s="268" t="n">
        <v>7236358</v>
      </c>
      <c r="C83" s="268" t="n">
        <v>3329580.0449934</v>
      </c>
      <c r="D83" s="268" t="n">
        <v>211299</v>
      </c>
      <c r="E83" s="268" t="n">
        <v>373141</v>
      </c>
      <c r="F83" s="268" t="n">
        <v>0</v>
      </c>
      <c r="G83" s="268" t="n">
        <v>104277.6</v>
      </c>
      <c r="H83" s="268" t="n">
        <v>145355</v>
      </c>
      <c r="I83" s="268" t="n">
        <v>1335753.3550066</v>
      </c>
      <c r="J83" s="268" t="n">
        <v>232357</v>
      </c>
      <c r="K83" s="268" t="n">
        <v>54482</v>
      </c>
      <c r="L83" s="268" t="n">
        <v>100678</v>
      </c>
      <c r="M83" s="268" t="n">
        <v>0</v>
      </c>
      <c r="N83" s="268" t="n">
        <v>152364</v>
      </c>
      <c r="O83" s="268" t="n">
        <v>47889</v>
      </c>
      <c r="P83" s="268" t="n">
        <v>0</v>
      </c>
      <c r="Q83" s="268" t="n">
        <v>59602</v>
      </c>
      <c r="R83" s="268" t="n"/>
      <c r="S83" s="268" t="n"/>
      <c r="T83" s="268" t="n"/>
      <c r="U83" s="268" t="n"/>
      <c r="V83" s="268" t="n"/>
      <c r="W83" s="268" t="n">
        <v>89769</v>
      </c>
      <c r="X83" s="268" t="n">
        <v>412147</v>
      </c>
      <c r="Y83" s="268" t="n">
        <v>587664</v>
      </c>
      <c r="Z83" s="269" t="n">
        <v>267278</v>
      </c>
      <c r="AA83" s="291" t="n">
        <v>320386</v>
      </c>
      <c r="AB83" s="291" t="n">
        <v>1488117.3550066</v>
      </c>
      <c r="AC83" s="585" t="n"/>
      <c r="AD83" s="308" t="n">
        <v>90540</v>
      </c>
      <c r="AE83" s="268" t="n">
        <v>0</v>
      </c>
      <c r="AF83" s="268" t="n">
        <v>0</v>
      </c>
      <c r="AG83" s="268" t="n">
        <v>0</v>
      </c>
      <c r="AH83" s="268" t="n">
        <v>0</v>
      </c>
      <c r="AI83" s="268" t="n"/>
      <c r="AJ83" s="268" t="n"/>
      <c r="AK83" s="56">
        <f>SUM(B72:B83)</f>
        <v/>
      </c>
      <c r="AL83" s="56" t="n"/>
      <c r="AM83" s="56">
        <f>SUM(C83:Y83)</f>
        <v/>
      </c>
      <c r="AN83" s="56">
        <f>AM83+AD83</f>
        <v/>
      </c>
    </row>
    <row r="84">
      <c r="A84" s="266" t="n">
        <v>44136</v>
      </c>
      <c r="B84" s="268" t="n">
        <v>6770208</v>
      </c>
      <c r="C84" s="268" t="n">
        <v>3423239.6140418</v>
      </c>
      <c r="D84" s="268" t="n">
        <v>227410</v>
      </c>
      <c r="E84" s="268" t="n">
        <v>396796</v>
      </c>
      <c r="F84" s="268" t="n">
        <v>0</v>
      </c>
      <c r="G84" s="268" t="n">
        <v>108587</v>
      </c>
      <c r="H84" s="268" t="n">
        <v>177222</v>
      </c>
      <c r="I84" s="268" t="n">
        <v>915177.3859581997</v>
      </c>
      <c r="J84" s="268" t="n">
        <v>234747</v>
      </c>
      <c r="K84" s="268" t="n">
        <v>51126</v>
      </c>
      <c r="L84" s="268" t="n">
        <v>81285</v>
      </c>
      <c r="M84" s="268" t="n">
        <v>0</v>
      </c>
      <c r="N84" s="268" t="n">
        <v>98770</v>
      </c>
      <c r="O84" s="268" t="n">
        <v>37909</v>
      </c>
      <c r="P84" s="268" t="n">
        <v>0</v>
      </c>
      <c r="Q84" s="268" t="n">
        <v>53349</v>
      </c>
      <c r="R84" s="268" t="n"/>
      <c r="S84" s="268" t="n"/>
      <c r="T84" s="268" t="n"/>
      <c r="U84" s="268" t="n"/>
      <c r="V84" s="268" t="n"/>
      <c r="W84" s="268" t="n">
        <v>74036</v>
      </c>
      <c r="X84" s="268" t="n">
        <v>365102</v>
      </c>
      <c r="Y84" s="268" t="n">
        <v>525452</v>
      </c>
      <c r="Z84" s="269" t="n">
        <v>293224</v>
      </c>
      <c r="AA84" s="291" t="n">
        <v>232228</v>
      </c>
      <c r="AB84" s="291" t="n">
        <v>1013947.3859582</v>
      </c>
      <c r="AC84" s="585" t="n"/>
      <c r="AD84" s="308" t="n">
        <v>68723</v>
      </c>
      <c r="AE84" s="268" t="n">
        <v>0</v>
      </c>
      <c r="AF84" s="268" t="n">
        <v>0</v>
      </c>
      <c r="AG84" s="268" t="n">
        <v>0</v>
      </c>
      <c r="AH84" s="268" t="n">
        <v>0</v>
      </c>
      <c r="AI84" s="268" t="n"/>
      <c r="AJ84" s="268" t="n"/>
      <c r="AK84" s="56">
        <f>SUM(B73:B84)</f>
        <v/>
      </c>
      <c r="AL84" s="56" t="n"/>
      <c r="AM84" s="56">
        <f>SUM(C84:Y84)</f>
        <v/>
      </c>
      <c r="AN84" s="56">
        <f>AM84+AD84</f>
        <v/>
      </c>
    </row>
    <row r="85">
      <c r="A85" s="266" t="n">
        <v>44166</v>
      </c>
      <c r="B85" s="268" t="n">
        <v>5773520</v>
      </c>
      <c r="C85" s="268" t="n">
        <v>3075672.1964862</v>
      </c>
      <c r="D85" s="268" t="n">
        <v>200695</v>
      </c>
      <c r="E85" s="268" t="n">
        <v>380382</v>
      </c>
      <c r="F85" s="268" t="n">
        <v>0</v>
      </c>
      <c r="G85" s="268" t="n">
        <v>97232</v>
      </c>
      <c r="H85" s="268" t="n">
        <v>152820</v>
      </c>
      <c r="I85" s="268" t="n">
        <v>506804.8035137999</v>
      </c>
      <c r="J85" s="268" t="n">
        <v>232272</v>
      </c>
      <c r="K85" s="268" t="n">
        <v>47403</v>
      </c>
      <c r="L85" s="268" t="n">
        <v>48764</v>
      </c>
      <c r="M85" s="268" t="n">
        <v>0</v>
      </c>
      <c r="N85" s="268" t="n">
        <v>50904</v>
      </c>
      <c r="O85" s="268" t="n">
        <v>62080</v>
      </c>
      <c r="P85" s="268" t="n">
        <v>0</v>
      </c>
      <c r="Q85" s="268" t="n">
        <v>34551</v>
      </c>
      <c r="R85" s="268" t="n"/>
      <c r="S85" s="268" t="n"/>
      <c r="T85" s="268" t="n"/>
      <c r="U85" s="268" t="n"/>
      <c r="V85" s="268" t="n"/>
      <c r="W85" s="268" t="n">
        <v>70802</v>
      </c>
      <c r="X85" s="268" t="n">
        <v>303654</v>
      </c>
      <c r="Y85" s="268" t="n">
        <v>509484</v>
      </c>
      <c r="Z85" s="269" t="n">
        <v>259382</v>
      </c>
      <c r="AA85" s="291" t="n">
        <v>250102</v>
      </c>
      <c r="AB85" s="291" t="n">
        <v>557708.8035137999</v>
      </c>
      <c r="AC85" s="585" t="n"/>
      <c r="AD85" s="308" t="n">
        <v>59377</v>
      </c>
      <c r="AE85" s="268" t="n">
        <v>0</v>
      </c>
      <c r="AF85" s="268" t="n">
        <v>0</v>
      </c>
      <c r="AG85" s="268" t="n">
        <v>0</v>
      </c>
      <c r="AH85" s="268" t="n">
        <v>0</v>
      </c>
      <c r="AI85" s="268" t="n"/>
      <c r="AJ85" s="268" t="n"/>
      <c r="AK85" s="56">
        <f>SUM(B74:B85)</f>
        <v/>
      </c>
      <c r="AL85" s="56" t="n"/>
      <c r="AM85" s="56">
        <f>SUM(C85:Y85)</f>
        <v/>
      </c>
      <c r="AN85" s="56">
        <f>AM85+AD85</f>
        <v/>
      </c>
    </row>
    <row r="86">
      <c r="A86" s="292" t="n">
        <v>44197</v>
      </c>
      <c r="B86" s="293" t="n">
        <v>5701348</v>
      </c>
      <c r="C86" s="293" t="n">
        <v>3020329.7757378</v>
      </c>
      <c r="D86" s="293" t="n">
        <v>206965</v>
      </c>
      <c r="E86" s="293" t="n">
        <v>382076</v>
      </c>
      <c r="F86" s="293" t="n">
        <v>0</v>
      </c>
      <c r="G86" s="293" t="n">
        <v>147415</v>
      </c>
      <c r="H86" s="293" t="n">
        <v>147739</v>
      </c>
      <c r="I86" s="293" t="n">
        <v>393066.2242622</v>
      </c>
      <c r="J86" s="293" t="n">
        <v>223334</v>
      </c>
      <c r="K86" s="293" t="n">
        <v>44857</v>
      </c>
      <c r="L86" s="293" t="n">
        <v>48817</v>
      </c>
      <c r="M86" s="293" t="n">
        <v>0</v>
      </c>
      <c r="N86" s="293" t="n">
        <v>47672</v>
      </c>
      <c r="O86" s="293" t="n">
        <v>30752</v>
      </c>
      <c r="P86" s="293" t="n">
        <v>0</v>
      </c>
      <c r="Q86" s="293" t="n">
        <v>16074</v>
      </c>
      <c r="R86" s="293" t="n"/>
      <c r="S86" s="293" t="n"/>
      <c r="T86" s="293" t="n"/>
      <c r="U86" s="293" t="n"/>
      <c r="V86" s="293" t="n"/>
      <c r="W86" s="293" t="n">
        <v>79942</v>
      </c>
      <c r="X86" s="293" t="n">
        <v>325594</v>
      </c>
      <c r="Y86" s="293" t="n">
        <v>586715</v>
      </c>
      <c r="Z86" s="294" t="n">
        <v>249052</v>
      </c>
      <c r="AA86" s="295" t="n">
        <v>337663</v>
      </c>
      <c r="AB86" s="295" t="n">
        <v>440738.2242622</v>
      </c>
      <c r="AC86" s="585" t="n"/>
      <c r="AD86" s="309" t="n">
        <v>62522</v>
      </c>
      <c r="AE86" s="293" t="n">
        <v>0</v>
      </c>
      <c r="AF86" s="293" t="n">
        <v>0</v>
      </c>
      <c r="AG86" s="293" t="n">
        <v>0</v>
      </c>
      <c r="AH86" s="293" t="n">
        <v>0</v>
      </c>
      <c r="AI86" s="293" t="n"/>
      <c r="AJ86" s="293" t="n"/>
      <c r="AK86" s="56">
        <f>SUM(B75:B86)</f>
        <v/>
      </c>
      <c r="AL86" s="56" t="n"/>
      <c r="AM86" s="56">
        <f>SUM(C86:Y86)</f>
        <v/>
      </c>
      <c r="AN86" s="56">
        <f>AM86+AD86</f>
        <v/>
      </c>
    </row>
    <row r="87">
      <c r="A87" s="292" t="n">
        <v>44228</v>
      </c>
      <c r="B87" s="293" t="n">
        <v>5426615</v>
      </c>
      <c r="C87" s="293" t="n">
        <v>2958403.0367956</v>
      </c>
      <c r="D87" s="293" t="n">
        <v>170515</v>
      </c>
      <c r="E87" s="293" t="n">
        <v>321055</v>
      </c>
      <c r="F87" s="293" t="n">
        <v>0</v>
      </c>
      <c r="G87" s="293" t="n">
        <v>102737</v>
      </c>
      <c r="H87" s="293" t="n">
        <v>161735</v>
      </c>
      <c r="I87" s="293" t="n">
        <v>528780.9632043999</v>
      </c>
      <c r="J87" s="293" t="n">
        <v>197886</v>
      </c>
      <c r="K87" s="293" t="n">
        <v>40970</v>
      </c>
      <c r="L87" s="293" t="n">
        <v>42444</v>
      </c>
      <c r="M87" s="293" t="n">
        <v>0</v>
      </c>
      <c r="N87" s="293" t="n">
        <v>52226</v>
      </c>
      <c r="O87" s="293" t="n">
        <v>26966</v>
      </c>
      <c r="P87" s="293" t="n">
        <v>0</v>
      </c>
      <c r="Q87" s="293" t="n">
        <v>14515</v>
      </c>
      <c r="R87" s="293" t="n"/>
      <c r="S87" s="293" t="n"/>
      <c r="T87" s="293" t="n"/>
      <c r="U87" s="293" t="n"/>
      <c r="V87" s="293" t="n"/>
      <c r="W87" s="293" t="n">
        <v>65365</v>
      </c>
      <c r="X87" s="293" t="n">
        <v>319533</v>
      </c>
      <c r="Y87" s="293" t="n">
        <v>423484</v>
      </c>
      <c r="Z87" s="294" t="n">
        <v>237507</v>
      </c>
      <c r="AA87" s="295" t="n">
        <v>185977</v>
      </c>
      <c r="AB87" s="295" t="n">
        <v>581006.9632043999</v>
      </c>
      <c r="AC87" s="585" t="n"/>
      <c r="AD87" s="309" t="n">
        <v>62522</v>
      </c>
      <c r="AE87" s="293" t="n">
        <v>0</v>
      </c>
      <c r="AF87" s="293" t="n">
        <v>0</v>
      </c>
      <c r="AG87" s="293" t="n">
        <v>0</v>
      </c>
      <c r="AH87" s="293" t="n">
        <v>0</v>
      </c>
      <c r="AI87" s="293" t="n"/>
      <c r="AJ87" s="293" t="n"/>
      <c r="AK87" s="56">
        <f>SUM(B76:B87)</f>
        <v/>
      </c>
      <c r="AL87" s="56" t="n"/>
      <c r="AM87" s="56">
        <f>SUM(C87:Y87)</f>
        <v/>
      </c>
      <c r="AN87" s="56">
        <f>AM87+AD87</f>
        <v/>
      </c>
    </row>
    <row r="88">
      <c r="A88" s="292" t="n">
        <v>44256</v>
      </c>
      <c r="B88" s="293" t="n">
        <v>6796687</v>
      </c>
      <c r="C88" s="293" t="n">
        <v>3625896.4016302</v>
      </c>
      <c r="D88" s="293" t="n">
        <v>213068</v>
      </c>
      <c r="E88" s="293" t="n">
        <v>392798</v>
      </c>
      <c r="F88" s="293" t="n">
        <v>0</v>
      </c>
      <c r="G88" s="293" t="n">
        <v>119602</v>
      </c>
      <c r="H88" s="293" t="n">
        <v>177452</v>
      </c>
      <c r="I88" s="293" t="n">
        <v>785188.5983698</v>
      </c>
      <c r="J88" s="293" t="n">
        <v>242322</v>
      </c>
      <c r="K88" s="293" t="n">
        <v>52128</v>
      </c>
      <c r="L88" s="293" t="n">
        <v>54444</v>
      </c>
      <c r="M88" s="293" t="n">
        <v>0</v>
      </c>
      <c r="N88" s="293" t="n">
        <v>77337</v>
      </c>
      <c r="O88" s="293" t="n">
        <v>34524</v>
      </c>
      <c r="P88" s="293" t="n">
        <v>0</v>
      </c>
      <c r="Q88" s="293" t="n">
        <v>57884</v>
      </c>
      <c r="R88" s="293" t="n"/>
      <c r="S88" s="293" t="n"/>
      <c r="T88" s="293" t="n"/>
      <c r="U88" s="293" t="n"/>
      <c r="V88" s="293" t="n"/>
      <c r="W88" s="293" t="n">
        <v>81956</v>
      </c>
      <c r="X88" s="293" t="n">
        <v>357255</v>
      </c>
      <c r="Y88" s="293" t="n">
        <v>524832</v>
      </c>
      <c r="Z88" s="294" t="n">
        <v>288377</v>
      </c>
      <c r="AA88" s="295" t="n">
        <v>236455</v>
      </c>
      <c r="AB88" s="295" t="n">
        <v>862525.5983698</v>
      </c>
      <c r="AC88" s="585" t="n"/>
      <c r="AD88" s="309" t="n">
        <v>59428</v>
      </c>
      <c r="AE88" s="293" t="n">
        <v>0</v>
      </c>
      <c r="AF88" s="293" t="n">
        <v>0</v>
      </c>
      <c r="AG88" s="293" t="n">
        <v>0</v>
      </c>
      <c r="AH88" s="293" t="n">
        <v>0</v>
      </c>
      <c r="AI88" s="293" t="n"/>
      <c r="AJ88" s="293" t="n"/>
      <c r="AK88" s="56">
        <f>SUM(B77:B88)</f>
        <v/>
      </c>
      <c r="AL88" s="56" t="n"/>
      <c r="AM88" s="56">
        <f>SUM(C88:Y88)</f>
        <v/>
      </c>
      <c r="AN88" s="56">
        <f>AM88+AD88</f>
        <v/>
      </c>
    </row>
    <row r="89">
      <c r="A89" s="292" t="n">
        <v>44287</v>
      </c>
      <c r="B89" s="293" t="n">
        <v>7087733</v>
      </c>
      <c r="C89" s="293" t="n">
        <v>3510739.3847514</v>
      </c>
      <c r="D89" s="293" t="n">
        <v>201013</v>
      </c>
      <c r="E89" s="293" t="n">
        <v>384122</v>
      </c>
      <c r="F89" s="293" t="n">
        <v>0</v>
      </c>
      <c r="G89" s="293" t="n">
        <v>106950</v>
      </c>
      <c r="H89" s="293" t="n">
        <v>160888</v>
      </c>
      <c r="I89" s="293" t="n">
        <v>1050938.6152486</v>
      </c>
      <c r="J89" s="293" t="n">
        <v>233551</v>
      </c>
      <c r="K89" s="293" t="n">
        <v>52762</v>
      </c>
      <c r="L89" s="293" t="n">
        <v>53047</v>
      </c>
      <c r="M89" s="293" t="n">
        <v>0</v>
      </c>
      <c r="N89" s="293" t="n">
        <v>122683</v>
      </c>
      <c r="O89" s="293" t="n">
        <v>44705</v>
      </c>
      <c r="P89" s="293" t="n">
        <v>3251</v>
      </c>
      <c r="Q89" s="293" t="n">
        <v>67675</v>
      </c>
      <c r="R89" s="293" t="n"/>
      <c r="S89" s="293" t="n"/>
      <c r="T89" s="293" t="n"/>
      <c r="U89" s="293" t="n"/>
      <c r="V89" s="293" t="n"/>
      <c r="W89" s="293" t="n">
        <v>91645</v>
      </c>
      <c r="X89" s="293" t="n">
        <v>449503</v>
      </c>
      <c r="Y89" s="293" t="n">
        <v>554260</v>
      </c>
      <c r="Z89" s="294" t="n">
        <v>282594</v>
      </c>
      <c r="AA89" s="295" t="n">
        <v>271666</v>
      </c>
      <c r="AB89" s="295" t="n">
        <v>1173621.6152486</v>
      </c>
      <c r="AC89" s="585" t="n"/>
      <c r="AD89" s="309" t="n">
        <v>84036</v>
      </c>
      <c r="AE89" s="293" t="n">
        <v>0</v>
      </c>
      <c r="AF89" s="293" t="n">
        <v>0</v>
      </c>
      <c r="AG89" s="293" t="n">
        <v>0</v>
      </c>
      <c r="AH89" s="293" t="n">
        <v>0</v>
      </c>
      <c r="AI89" s="293" t="n"/>
      <c r="AJ89" s="293" t="n"/>
      <c r="AK89" s="56">
        <f>SUM(B78:B89)</f>
        <v/>
      </c>
      <c r="AL89" s="56" t="n"/>
      <c r="AM89" s="56">
        <f>SUM(C89:Y89)</f>
        <v/>
      </c>
      <c r="AN89" s="56">
        <f>AM89+AD89</f>
        <v/>
      </c>
    </row>
    <row r="90" ht="17" customHeight="1" thickBot="1">
      <c r="A90" s="292" t="n">
        <v>44317</v>
      </c>
      <c r="B90" s="293" t="n">
        <v>8790715</v>
      </c>
      <c r="C90" s="293" t="n">
        <v>3690093.1497068</v>
      </c>
      <c r="D90" s="293" t="n">
        <v>157781</v>
      </c>
      <c r="E90" s="293" t="n">
        <v>367014</v>
      </c>
      <c r="F90" s="293" t="n">
        <v>0</v>
      </c>
      <c r="G90" s="293" t="n">
        <v>109455</v>
      </c>
      <c r="H90" s="293" t="n">
        <v>167706</v>
      </c>
      <c r="I90" s="293" t="n">
        <v>1964651.8502932</v>
      </c>
      <c r="J90" s="293" t="n">
        <v>209323</v>
      </c>
      <c r="K90" s="293" t="n">
        <v>63649</v>
      </c>
      <c r="L90" s="293" t="n">
        <v>77349</v>
      </c>
      <c r="M90" s="293" t="n">
        <v>0</v>
      </c>
      <c r="N90" s="293" t="n">
        <v>200723</v>
      </c>
      <c r="O90" s="293" t="n">
        <v>47375</v>
      </c>
      <c r="P90" s="293" t="n">
        <v>4531</v>
      </c>
      <c r="Q90" s="293" t="n">
        <v>94294</v>
      </c>
      <c r="R90" s="293" t="n"/>
      <c r="S90" s="293" t="n"/>
      <c r="T90" s="293" t="n"/>
      <c r="U90" s="293" t="n"/>
      <c r="V90" s="293" t="n"/>
      <c r="W90" s="293" t="n">
        <v>117414</v>
      </c>
      <c r="X90" s="293" t="n">
        <v>631202</v>
      </c>
      <c r="Y90" s="293" t="n">
        <v>888154</v>
      </c>
      <c r="Z90" s="294" t="n">
        <v>308231</v>
      </c>
      <c r="AA90" s="295" t="n">
        <v>579923</v>
      </c>
      <c r="AB90" s="295" t="n">
        <v>2165374.8502932</v>
      </c>
      <c r="AC90" s="585" t="n"/>
      <c r="AD90" s="309" t="n">
        <v>108882</v>
      </c>
      <c r="AE90" s="293" t="n">
        <v>0</v>
      </c>
      <c r="AF90" s="293" t="n">
        <v>0</v>
      </c>
      <c r="AG90" s="293" t="n">
        <v>0</v>
      </c>
      <c r="AH90" s="293" t="n">
        <v>0</v>
      </c>
      <c r="AI90" s="293" t="n"/>
      <c r="AJ90" s="293" t="n"/>
      <c r="AK90" s="56">
        <f>SUM(B79:B90)</f>
        <v/>
      </c>
      <c r="AL90" s="56" t="n"/>
      <c r="AM90" s="56">
        <f>SUM(C90:Y90)</f>
        <v/>
      </c>
      <c r="AN90" s="56">
        <f>AM90+AD90</f>
        <v/>
      </c>
    </row>
    <row r="91" ht="17" customHeight="1" thickBot="1">
      <c r="A91" s="292" t="n">
        <v>44348</v>
      </c>
      <c r="B91" s="293" t="n">
        <v>8497159</v>
      </c>
      <c r="C91" s="293" t="n">
        <v>3315619.460143</v>
      </c>
      <c r="D91" s="293" t="n">
        <v>201385</v>
      </c>
      <c r="E91" s="293" t="n">
        <v>411370</v>
      </c>
      <c r="F91" s="293" t="n">
        <v>0</v>
      </c>
      <c r="G91" s="293" t="n">
        <v>113591</v>
      </c>
      <c r="H91" s="293" t="n">
        <v>192254</v>
      </c>
      <c r="I91" s="293" t="n">
        <v>2020738.539857</v>
      </c>
      <c r="J91" s="293" t="n">
        <v>230711</v>
      </c>
      <c r="K91" s="293" t="n">
        <v>64191</v>
      </c>
      <c r="L91" s="293" t="n">
        <v>113132</v>
      </c>
      <c r="M91" s="293" t="n">
        <v>0</v>
      </c>
      <c r="N91" s="293" t="n">
        <v>228931</v>
      </c>
      <c r="O91" s="293" t="n">
        <v>57454</v>
      </c>
      <c r="P91" s="293" t="n">
        <v>5693</v>
      </c>
      <c r="Q91" s="293" t="n">
        <v>93048</v>
      </c>
      <c r="R91" s="293" t="n"/>
      <c r="S91" s="293" t="n"/>
      <c r="T91" s="293" t="n"/>
      <c r="U91" s="293" t="n"/>
      <c r="V91" s="293" t="n"/>
      <c r="W91" s="293" t="n">
        <v>146373</v>
      </c>
      <c r="X91" s="293" t="n">
        <v>491465</v>
      </c>
      <c r="Y91" s="293" t="n">
        <v>811203</v>
      </c>
      <c r="Z91" s="294" t="n">
        <v>275823</v>
      </c>
      <c r="AA91" s="295" t="n">
        <v>535380</v>
      </c>
      <c r="AB91" s="295" t="n">
        <v>2249669.539857</v>
      </c>
      <c r="AC91" s="585" t="n"/>
      <c r="AD91" s="309" t="n">
        <v>114411</v>
      </c>
      <c r="AE91" s="293" t="n">
        <v>0</v>
      </c>
      <c r="AF91" s="293" t="n">
        <v>0</v>
      </c>
      <c r="AG91" s="293" t="n">
        <v>0</v>
      </c>
      <c r="AH91" s="293" t="n">
        <v>0</v>
      </c>
      <c r="AI91" s="293" t="n"/>
      <c r="AJ91" s="295" t="n"/>
      <c r="AK91" s="583">
        <f>SUM(B80:B91)</f>
        <v/>
      </c>
      <c r="AL91" s="584">
        <f>AK91+SUM(AD80:AD91)</f>
        <v/>
      </c>
      <c r="AM91" s="56">
        <f>SUM(C91:Y91)</f>
        <v/>
      </c>
      <c r="AN91" s="56">
        <f>AM91+AD91</f>
        <v/>
      </c>
    </row>
    <row r="92">
      <c r="A92" s="292" t="n">
        <v>44378</v>
      </c>
      <c r="B92" s="293" t="n">
        <v>8964920</v>
      </c>
      <c r="C92" s="293" t="n">
        <v>3490827.429737</v>
      </c>
      <c r="D92" s="293" t="n">
        <v>211130</v>
      </c>
      <c r="E92" s="293" t="n">
        <v>392084</v>
      </c>
      <c r="F92" s="293" t="n">
        <v>0</v>
      </c>
      <c r="G92" s="293" t="n">
        <v>113461</v>
      </c>
      <c r="H92" s="293" t="n">
        <v>192177</v>
      </c>
      <c r="I92" s="293" t="n">
        <v>2299974.570263001</v>
      </c>
      <c r="J92" s="293" t="n">
        <v>217688</v>
      </c>
      <c r="K92" s="293" t="n">
        <v>64138</v>
      </c>
      <c r="L92" s="293" t="n">
        <v>116904</v>
      </c>
      <c r="M92" s="293" t="n">
        <v>0</v>
      </c>
      <c r="N92" s="293" t="n">
        <v>218297</v>
      </c>
      <c r="O92" s="293" t="n">
        <v>56883</v>
      </c>
      <c r="P92" s="293" t="n">
        <v>5581</v>
      </c>
      <c r="Q92" s="293" t="n">
        <v>95666</v>
      </c>
      <c r="R92" s="293" t="n"/>
      <c r="S92" s="293" t="n"/>
      <c r="T92" s="293" t="n"/>
      <c r="U92" s="293" t="n"/>
      <c r="V92" s="293" t="n"/>
      <c r="W92" s="293" t="n">
        <v>151553</v>
      </c>
      <c r="X92" s="293" t="n">
        <v>408611</v>
      </c>
      <c r="Y92" s="293" t="n">
        <v>929945</v>
      </c>
      <c r="Z92" s="294" t="n">
        <v>289890</v>
      </c>
      <c r="AA92" s="295" t="n">
        <v>640055</v>
      </c>
      <c r="AB92" s="295" t="n">
        <v>2518271.570263001</v>
      </c>
      <c r="AC92" s="585" t="n"/>
      <c r="AD92" s="309" t="n">
        <v>81450</v>
      </c>
      <c r="AE92" s="293" t="n">
        <v>0</v>
      </c>
      <c r="AF92" s="293" t="n">
        <v>0</v>
      </c>
      <c r="AG92" s="293" t="n">
        <v>0</v>
      </c>
      <c r="AH92" s="293" t="n">
        <v>0</v>
      </c>
      <c r="AI92" s="293" t="n"/>
      <c r="AJ92" s="293" t="n"/>
      <c r="AK92" s="56">
        <f>SUM(B81:B92)</f>
        <v/>
      </c>
      <c r="AL92" s="56" t="n"/>
      <c r="AM92" s="56">
        <f>SUM(C92:Y92)</f>
        <v/>
      </c>
      <c r="AN92" s="56">
        <f>AM92+AD92</f>
        <v/>
      </c>
    </row>
    <row r="93">
      <c r="A93" s="292" t="n">
        <v>44409</v>
      </c>
      <c r="B93" s="293" t="n">
        <v>8816088</v>
      </c>
      <c r="C93" s="293" t="n">
        <v>3689590.4115214</v>
      </c>
      <c r="D93" s="293" t="n">
        <v>220506</v>
      </c>
      <c r="E93" s="293" t="n">
        <v>352448</v>
      </c>
      <c r="F93" s="293" t="n">
        <v>0</v>
      </c>
      <c r="G93" s="293" t="n">
        <v>132185</v>
      </c>
      <c r="H93" s="293" t="n">
        <v>180103</v>
      </c>
      <c r="I93" s="293" t="n">
        <v>2132948.5884786</v>
      </c>
      <c r="J93" s="293" t="n">
        <v>194063</v>
      </c>
      <c r="K93" s="293" t="n">
        <v>60143</v>
      </c>
      <c r="L93" s="293" t="n">
        <v>118510</v>
      </c>
      <c r="M93" s="293" t="n">
        <v>0</v>
      </c>
      <c r="N93" s="293" t="n">
        <v>200250</v>
      </c>
      <c r="O93" s="293" t="n">
        <v>46263</v>
      </c>
      <c r="P93" s="293" t="n">
        <v>5230</v>
      </c>
      <c r="Q93" s="293" t="n">
        <v>82541</v>
      </c>
      <c r="R93" s="293" t="n"/>
      <c r="S93" s="293" t="n"/>
      <c r="T93" s="293" t="n"/>
      <c r="U93" s="293" t="n"/>
      <c r="V93" s="293" t="n"/>
      <c r="W93" s="293" t="n">
        <v>149677</v>
      </c>
      <c r="X93" s="293" t="n">
        <v>397526</v>
      </c>
      <c r="Y93" s="293" t="n">
        <v>854104</v>
      </c>
      <c r="Z93" s="294" t="n">
        <v>293783</v>
      </c>
      <c r="AA93" s="295" t="n">
        <v>560321</v>
      </c>
      <c r="AB93" s="295" t="n">
        <v>2333198.5884786</v>
      </c>
      <c r="AC93" s="585" t="n"/>
      <c r="AD93" s="309" t="n">
        <v>84180</v>
      </c>
      <c r="AE93" s="293" t="n">
        <v>0</v>
      </c>
      <c r="AF93" s="293" t="n">
        <v>0</v>
      </c>
      <c r="AG93" s="293" t="n">
        <v>0</v>
      </c>
      <c r="AH93" s="293" t="n">
        <v>0</v>
      </c>
      <c r="AI93" s="293" t="n"/>
      <c r="AJ93" s="293" t="n"/>
      <c r="AK93" s="56">
        <f>SUM(B82:B93)</f>
        <v/>
      </c>
      <c r="AL93" s="56" t="n"/>
      <c r="AM93" s="56">
        <f>SUM(C93:Y93)</f>
        <v/>
      </c>
      <c r="AN93" s="56">
        <f>AM93+AD93</f>
        <v/>
      </c>
    </row>
    <row r="94">
      <c r="A94" s="292" t="n">
        <v>44440</v>
      </c>
      <c r="B94" s="293" t="n">
        <v>9747181</v>
      </c>
      <c r="C94" s="293" t="n">
        <v>3783050.722083</v>
      </c>
      <c r="D94" s="293" t="n">
        <v>219215</v>
      </c>
      <c r="E94" s="293" t="n">
        <v>429406</v>
      </c>
      <c r="F94" s="293" t="n">
        <v>0</v>
      </c>
      <c r="G94" s="293" t="n">
        <v>94590</v>
      </c>
      <c r="H94" s="293" t="n">
        <v>181287</v>
      </c>
      <c r="I94" s="293" t="n">
        <v>2283872.277917</v>
      </c>
      <c r="J94" s="293" t="n">
        <v>257162</v>
      </c>
      <c r="K94" s="293" t="n">
        <v>66269</v>
      </c>
      <c r="L94" s="293" t="n">
        <v>118507</v>
      </c>
      <c r="M94" s="293" t="n">
        <v>0</v>
      </c>
      <c r="N94" s="293" t="n">
        <v>225009</v>
      </c>
      <c r="O94" s="293" t="n">
        <v>54395</v>
      </c>
      <c r="P94" s="293" t="n">
        <v>6632</v>
      </c>
      <c r="Q94" s="293" t="n">
        <v>100255</v>
      </c>
      <c r="R94" s="293" t="n"/>
      <c r="S94" s="293" t="n"/>
      <c r="T94" s="293" t="n"/>
      <c r="U94" s="293" t="n"/>
      <c r="V94" s="293" t="n"/>
      <c r="W94" s="293" t="n">
        <v>203939</v>
      </c>
      <c r="X94" s="293" t="n">
        <v>743567</v>
      </c>
      <c r="Y94" s="293" t="n">
        <v>980025</v>
      </c>
      <c r="Z94" s="294" t="n">
        <v>338691</v>
      </c>
      <c r="AA94" s="295" t="n">
        <v>641334</v>
      </c>
      <c r="AB94" s="295" t="n">
        <v>2508881.277917</v>
      </c>
      <c r="AC94" s="585" t="n"/>
      <c r="AD94" s="309" t="n">
        <v>110035</v>
      </c>
      <c r="AE94" s="293" t="n">
        <v>0</v>
      </c>
      <c r="AF94" s="293" t="n">
        <v>0</v>
      </c>
      <c r="AG94" s="293" t="n">
        <v>0</v>
      </c>
      <c r="AH94" s="293" t="n">
        <v>0</v>
      </c>
      <c r="AI94" s="293" t="n"/>
      <c r="AJ94" s="293" t="n"/>
      <c r="AK94" s="56">
        <f>SUM(B83:B94)</f>
        <v/>
      </c>
      <c r="AL94" s="56" t="n"/>
      <c r="AM94" s="56">
        <f>SUM(C94:Y94)</f>
        <v/>
      </c>
      <c r="AN94" s="56">
        <f>AM94+AD94</f>
        <v/>
      </c>
    </row>
    <row r="95">
      <c r="A95" s="292" t="n">
        <v>44470</v>
      </c>
      <c r="B95" s="293" t="n">
        <v>7852903</v>
      </c>
      <c r="C95" s="293" t="n">
        <v>3164305.734702799</v>
      </c>
      <c r="D95" s="293" t="n">
        <v>199774</v>
      </c>
      <c r="E95" s="293" t="n">
        <v>374048</v>
      </c>
      <c r="F95" s="293" t="n">
        <v>0</v>
      </c>
      <c r="G95" s="293" t="n">
        <v>112306</v>
      </c>
      <c r="H95" s="293" t="n">
        <v>239951.182</v>
      </c>
      <c r="I95" s="293" t="n">
        <v>1567023.083297201</v>
      </c>
      <c r="J95" s="293" t="n">
        <v>230083</v>
      </c>
      <c r="K95" s="293" t="n">
        <v>61621</v>
      </c>
      <c r="L95" s="293" t="n">
        <v>100243</v>
      </c>
      <c r="M95" s="293" t="n">
        <v>0</v>
      </c>
      <c r="N95" s="293" t="n">
        <v>172981</v>
      </c>
      <c r="O95" s="293" t="n">
        <v>42197</v>
      </c>
      <c r="P95" s="293" t="n">
        <v>4042</v>
      </c>
      <c r="Q95" s="293" t="n">
        <v>77042</v>
      </c>
      <c r="R95" s="293" t="n"/>
      <c r="S95" s="293" t="n"/>
      <c r="T95" s="293" t="n"/>
      <c r="U95" s="293" t="n"/>
      <c r="V95" s="293" t="n"/>
      <c r="W95" s="293" t="n">
        <v>145097</v>
      </c>
      <c r="X95" s="293" t="n">
        <v>674928</v>
      </c>
      <c r="Y95" s="293" t="n">
        <v>687261</v>
      </c>
      <c r="Z95" s="294" t="n">
        <v>302816</v>
      </c>
      <c r="AA95" s="295" t="n">
        <v>384445</v>
      </c>
      <c r="AB95" s="295" t="n">
        <v>1740004.083297201</v>
      </c>
      <c r="AC95" s="585" t="n"/>
      <c r="AD95" s="309" t="n">
        <v>142617</v>
      </c>
      <c r="AE95" s="293" t="n">
        <v>0</v>
      </c>
      <c r="AF95" s="293" t="n">
        <v>0</v>
      </c>
      <c r="AG95" s="293" t="n">
        <v>0</v>
      </c>
      <c r="AH95" s="293" t="n">
        <v>0</v>
      </c>
      <c r="AI95" s="293" t="n"/>
      <c r="AJ95" s="293" t="n"/>
      <c r="AK95" s="56">
        <f>SUM(B84:B95)</f>
        <v/>
      </c>
      <c r="AL95" s="56" t="n"/>
      <c r="AM95" s="56">
        <f>SUM(C95:Y95)</f>
        <v/>
      </c>
      <c r="AN95" s="56">
        <f>AM95+AD95</f>
        <v/>
      </c>
    </row>
    <row r="96">
      <c r="A96" s="292" t="n">
        <v>44501</v>
      </c>
      <c r="B96" s="293" t="n">
        <v>7467307</v>
      </c>
      <c r="C96" s="293" t="n">
        <v>3695906.9462484</v>
      </c>
      <c r="D96" s="293" t="n">
        <v>203833</v>
      </c>
      <c r="E96" s="293" t="n">
        <v>432887</v>
      </c>
      <c r="F96" s="293" t="n">
        <v>69324</v>
      </c>
      <c r="G96" s="293" t="n">
        <v>109183</v>
      </c>
      <c r="H96" s="293" t="n">
        <v>247373.444</v>
      </c>
      <c r="I96" s="293" t="n">
        <v>935874.6097515997</v>
      </c>
      <c r="J96" s="293" t="n">
        <v>272363</v>
      </c>
      <c r="K96" s="293" t="n">
        <v>46745</v>
      </c>
      <c r="L96" s="293" t="n">
        <v>69976</v>
      </c>
      <c r="M96" s="293" t="n">
        <v>0</v>
      </c>
      <c r="N96" s="293" t="n">
        <v>93801</v>
      </c>
      <c r="O96" s="293" t="n">
        <v>30378</v>
      </c>
      <c r="P96" s="293" t="n">
        <v>3462</v>
      </c>
      <c r="Q96" s="293" t="n">
        <v>57774</v>
      </c>
      <c r="R96" s="293" t="n"/>
      <c r="S96" s="293" t="n"/>
      <c r="T96" s="293" t="n"/>
      <c r="U96" s="293" t="n"/>
      <c r="V96" s="293" t="n"/>
      <c r="W96" s="293" t="n">
        <v>122308</v>
      </c>
      <c r="X96" s="293" t="n">
        <v>495186</v>
      </c>
      <c r="Y96" s="293" t="n">
        <v>580932</v>
      </c>
      <c r="Z96" s="294" t="n">
        <v>338679</v>
      </c>
      <c r="AA96" s="295" t="n">
        <v>242253</v>
      </c>
      <c r="AB96" s="295" t="n">
        <v>1029675.6097516</v>
      </c>
      <c r="AC96" s="585" t="n"/>
      <c r="AD96" s="309" t="n">
        <v>83032</v>
      </c>
      <c r="AE96" s="293" t="n">
        <v>0</v>
      </c>
      <c r="AF96" s="293" t="n">
        <v>0</v>
      </c>
      <c r="AG96" s="293" t="n">
        <v>0</v>
      </c>
      <c r="AH96" s="293" t="n">
        <v>0</v>
      </c>
      <c r="AI96" s="293" t="n"/>
      <c r="AJ96" s="293" t="n"/>
      <c r="AK96" s="56">
        <f>SUM(B85:B96)</f>
        <v/>
      </c>
      <c r="AL96" s="56" t="n"/>
      <c r="AM96" s="56">
        <f>SUM(C96:Y96)</f>
        <v/>
      </c>
      <c r="AN96" s="56">
        <f>AM96+AD96</f>
        <v/>
      </c>
    </row>
    <row r="97">
      <c r="A97" s="292" t="n">
        <v>44531</v>
      </c>
      <c r="B97" s="293" t="n">
        <v>6220963</v>
      </c>
      <c r="C97" s="293" t="n">
        <v>3182178.3547922</v>
      </c>
      <c r="D97" s="293" t="n">
        <v>188870</v>
      </c>
      <c r="E97" s="293" t="n">
        <v>372696</v>
      </c>
      <c r="F97" s="293" t="n">
        <v>51400</v>
      </c>
      <c r="G97" s="293" t="n">
        <v>104736</v>
      </c>
      <c r="H97" s="293" t="n">
        <v>229645.405</v>
      </c>
      <c r="I97" s="293" t="n">
        <v>572406.2402077997</v>
      </c>
      <c r="J97" s="293" t="n">
        <v>233281</v>
      </c>
      <c r="K97" s="293" t="n">
        <v>41794</v>
      </c>
      <c r="L97" s="293" t="n">
        <v>67881</v>
      </c>
      <c r="M97" s="293" t="n">
        <v>0</v>
      </c>
      <c r="N97" s="293" t="n">
        <v>63246</v>
      </c>
      <c r="O97" s="293" t="n">
        <v>28037</v>
      </c>
      <c r="P97" s="293" t="n">
        <v>2677</v>
      </c>
      <c r="Q97" s="293" t="n">
        <v>46306</v>
      </c>
      <c r="R97" s="293" t="n"/>
      <c r="S97" s="293" t="n"/>
      <c r="T97" s="293" t="n"/>
      <c r="U97" s="293" t="n"/>
      <c r="V97" s="293" t="n"/>
      <c r="W97" s="293" t="n">
        <v>104824</v>
      </c>
      <c r="X97" s="293" t="n">
        <v>405363</v>
      </c>
      <c r="Y97" s="293" t="n">
        <v>525622</v>
      </c>
      <c r="Z97" s="294" t="n">
        <v>304173</v>
      </c>
      <c r="AA97" s="295" t="n">
        <v>221449</v>
      </c>
      <c r="AB97" s="295" t="n">
        <v>635652.2402077997</v>
      </c>
      <c r="AC97" s="585" t="n"/>
      <c r="AD97" s="309" t="n">
        <v>77426</v>
      </c>
      <c r="AE97" s="293" t="n">
        <v>0</v>
      </c>
      <c r="AF97" s="293" t="n">
        <v>0</v>
      </c>
      <c r="AG97" s="293" t="n">
        <v>0</v>
      </c>
      <c r="AH97" s="293" t="n">
        <v>0</v>
      </c>
      <c r="AI97" s="293" t="n"/>
      <c r="AJ97" s="293" t="n"/>
      <c r="AK97" s="56">
        <f>SUM(B86:B97)</f>
        <v/>
      </c>
      <c r="AL97" s="56" t="n"/>
      <c r="AM97" s="56">
        <f>SUM(C97:Y97)</f>
        <v/>
      </c>
      <c r="AN97" s="56">
        <f>AM97+AD97</f>
        <v/>
      </c>
    </row>
    <row r="98">
      <c r="A98" s="276" t="n">
        <v>44562</v>
      </c>
      <c r="B98" s="278" t="n">
        <v>5719630</v>
      </c>
      <c r="C98" s="278" t="n">
        <v>2842487.072</v>
      </c>
      <c r="D98" s="278" t="n">
        <v>185403</v>
      </c>
      <c r="E98" s="278" t="n">
        <v>344018</v>
      </c>
      <c r="F98" s="278" t="n">
        <v>42810</v>
      </c>
      <c r="G98" s="278" t="n">
        <v>92900</v>
      </c>
      <c r="H98" s="278" t="n">
        <v>217019.988</v>
      </c>
      <c r="I98" s="278" t="n">
        <v>502701.94</v>
      </c>
      <c r="J98" s="278" t="n">
        <v>215329</v>
      </c>
      <c r="K98" s="278" t="n">
        <v>38644</v>
      </c>
      <c r="L98" s="278" t="n">
        <v>60492</v>
      </c>
      <c r="M98" s="278" t="n">
        <v>0</v>
      </c>
      <c r="N98" s="278" t="n">
        <v>47723</v>
      </c>
      <c r="O98" s="278" t="n">
        <v>40907</v>
      </c>
      <c r="P98" s="278" t="n">
        <v>2661</v>
      </c>
      <c r="Q98" s="278" t="n">
        <v>23332</v>
      </c>
      <c r="R98" s="278" t="n"/>
      <c r="S98" s="278" t="n"/>
      <c r="T98" s="278" t="n"/>
      <c r="U98" s="278" t="n"/>
      <c r="V98" s="278" t="n"/>
      <c r="W98" s="278" t="n">
        <v>111988</v>
      </c>
      <c r="X98" s="278" t="n">
        <v>439968</v>
      </c>
      <c r="Y98" s="278" t="n">
        <v>511246</v>
      </c>
      <c r="Z98" s="279" t="n">
        <v>258838</v>
      </c>
      <c r="AA98" s="296" t="n">
        <v>252408</v>
      </c>
      <c r="AB98" s="296" t="n">
        <v>550424.9399999999</v>
      </c>
      <c r="AC98" s="585" t="n"/>
      <c r="AD98" s="586" t="n"/>
      <c r="AE98" s="278" t="n">
        <v>0</v>
      </c>
      <c r="AF98" s="278" t="n">
        <v>0</v>
      </c>
      <c r="AG98" s="278" t="n">
        <v>0</v>
      </c>
      <c r="AH98" s="278" t="n">
        <v>0</v>
      </c>
      <c r="AI98" s="278" t="n"/>
      <c r="AJ98" s="278" t="n"/>
      <c r="AK98" s="56">
        <f>SUM(B87:B98)</f>
        <v/>
      </c>
      <c r="AL98" s="56" t="n"/>
      <c r="AM98" s="56">
        <f>SUM(C98:Y98)</f>
        <v/>
      </c>
      <c r="AN98" s="56">
        <f>AM98+AD98</f>
        <v/>
      </c>
    </row>
    <row r="99">
      <c r="A99" s="276" t="n">
        <v>44593</v>
      </c>
      <c r="B99" s="278" t="n">
        <v>5973372</v>
      </c>
      <c r="C99" s="278" t="n">
        <v>3167490.763</v>
      </c>
      <c r="D99" s="278" t="n">
        <v>193713</v>
      </c>
      <c r="E99" s="278" t="n">
        <v>357227</v>
      </c>
      <c r="F99" s="278" t="n">
        <v>46410</v>
      </c>
      <c r="G99" s="278" t="n">
        <v>105333</v>
      </c>
      <c r="H99" s="278" t="n">
        <v>231947.367</v>
      </c>
      <c r="I99" s="278" t="n">
        <v>353482.87</v>
      </c>
      <c r="J99" s="278" t="n">
        <v>219454</v>
      </c>
      <c r="K99" s="278" t="n">
        <v>37755</v>
      </c>
      <c r="L99" s="278" t="n">
        <v>52974</v>
      </c>
      <c r="M99" s="278" t="n">
        <v>0</v>
      </c>
      <c r="N99" s="278" t="n">
        <v>40630</v>
      </c>
      <c r="O99" s="278" t="n">
        <v>25565</v>
      </c>
      <c r="P99" s="278" t="n">
        <v>1838.999999999999</v>
      </c>
      <c r="Q99" s="278" t="n">
        <v>11847</v>
      </c>
      <c r="R99" s="278" t="n"/>
      <c r="S99" s="278" t="n"/>
      <c r="T99" s="278" t="n"/>
      <c r="U99" s="278" t="n"/>
      <c r="V99" s="278" t="n"/>
      <c r="W99" s="278" t="n">
        <v>102478</v>
      </c>
      <c r="X99" s="278" t="n">
        <v>374586</v>
      </c>
      <c r="Y99" s="278" t="n">
        <v>650640</v>
      </c>
      <c r="Z99" s="279" t="n">
        <v>261658</v>
      </c>
      <c r="AA99" s="296" t="n">
        <v>388982</v>
      </c>
      <c r="AB99" s="296" t="n">
        <v>394112.87</v>
      </c>
      <c r="AC99" s="585" t="n"/>
      <c r="AD99" s="586" t="n"/>
      <c r="AE99" s="278" t="n">
        <v>0</v>
      </c>
      <c r="AF99" s="278" t="n">
        <v>0</v>
      </c>
      <c r="AG99" s="278" t="n">
        <v>0</v>
      </c>
      <c r="AH99" s="278" t="n">
        <v>0</v>
      </c>
      <c r="AI99" s="278" t="n"/>
      <c r="AJ99" s="278" t="n"/>
      <c r="AK99" s="56">
        <f>SUM(B88:B99)</f>
        <v/>
      </c>
      <c r="AL99" s="56" t="n"/>
      <c r="AM99" s="56">
        <f>SUM(C99:Y99)</f>
        <v/>
      </c>
      <c r="AN99" s="56">
        <f>AM99+AD99</f>
        <v/>
      </c>
    </row>
    <row r="100">
      <c r="A100" s="276" t="n">
        <v>44621</v>
      </c>
      <c r="B100" s="278" t="n">
        <v>6036375</v>
      </c>
      <c r="C100" s="278" t="n">
        <v>2996940.232</v>
      </c>
      <c r="D100" s="278" t="n">
        <v>176300</v>
      </c>
      <c r="E100" s="278" t="n">
        <v>355006</v>
      </c>
      <c r="F100" s="278" t="n">
        <v>47140</v>
      </c>
      <c r="G100" s="278" t="n">
        <v>109266</v>
      </c>
      <c r="H100" s="278" t="n">
        <v>215372.038</v>
      </c>
      <c r="I100" s="278" t="n">
        <v>778373.73</v>
      </c>
      <c r="J100" s="278" t="n">
        <v>211474</v>
      </c>
      <c r="K100" s="278" t="n">
        <v>40293</v>
      </c>
      <c r="L100" s="278" t="n">
        <v>58322</v>
      </c>
      <c r="M100" s="278" t="n">
        <v>0</v>
      </c>
      <c r="N100" s="278" t="n">
        <v>73854</v>
      </c>
      <c r="O100" s="278" t="n">
        <v>24678</v>
      </c>
      <c r="P100" s="278" t="n">
        <v>3000</v>
      </c>
      <c r="Q100" s="278" t="n">
        <v>11987</v>
      </c>
      <c r="R100" s="278" t="n"/>
      <c r="S100" s="278" t="n"/>
      <c r="T100" s="278" t="n"/>
      <c r="U100" s="278" t="n"/>
      <c r="V100" s="278" t="n"/>
      <c r="W100" s="278" t="n">
        <v>111442</v>
      </c>
      <c r="X100" s="278" t="n">
        <v>352459</v>
      </c>
      <c r="Y100" s="278" t="n">
        <v>470468</v>
      </c>
      <c r="Z100" s="279" t="n">
        <v>242578</v>
      </c>
      <c r="AA100" s="296" t="n">
        <v>227890</v>
      </c>
      <c r="AB100" s="296" t="n">
        <v>852227.73</v>
      </c>
      <c r="AC100" s="585" t="n"/>
      <c r="AD100" s="310" t="n">
        <v>63508</v>
      </c>
      <c r="AE100" s="278" t="n">
        <v>0</v>
      </c>
      <c r="AF100" s="278" t="n">
        <v>0</v>
      </c>
      <c r="AG100" s="278" t="n">
        <v>0</v>
      </c>
      <c r="AH100" s="278" t="n">
        <v>0</v>
      </c>
      <c r="AI100" s="278" t="n"/>
      <c r="AJ100" s="278" t="n"/>
      <c r="AK100" s="56">
        <f>SUM(B89:B100)</f>
        <v/>
      </c>
      <c r="AL100" s="56" t="n"/>
      <c r="AM100" s="56">
        <f>SUM(C100:Y100)</f>
        <v/>
      </c>
      <c r="AN100" s="56">
        <f>AM100+AD100</f>
        <v/>
      </c>
    </row>
    <row r="101">
      <c r="A101" s="276" t="n">
        <v>44652</v>
      </c>
      <c r="B101" s="278" t="n">
        <v>6614469</v>
      </c>
      <c r="C101" s="278" t="n">
        <v>3105847.942</v>
      </c>
      <c r="D101" s="278" t="n">
        <v>173413</v>
      </c>
      <c r="E101" s="278" t="n">
        <v>338789</v>
      </c>
      <c r="F101" s="278" t="n">
        <v>49364</v>
      </c>
      <c r="G101" s="278" t="n">
        <v>123200</v>
      </c>
      <c r="H101" s="278" t="n">
        <v>267931.478</v>
      </c>
      <c r="I101" s="278" t="n">
        <v>1054668.58</v>
      </c>
      <c r="J101" s="278" t="n">
        <v>202690</v>
      </c>
      <c r="K101" s="278" t="n">
        <v>50830</v>
      </c>
      <c r="L101" s="278" t="n">
        <v>57767</v>
      </c>
      <c r="M101" s="278" t="n">
        <v>0</v>
      </c>
      <c r="N101" s="278" t="n">
        <v>115979</v>
      </c>
      <c r="O101" s="278" t="n">
        <v>22670</v>
      </c>
      <c r="P101" s="278" t="n">
        <v>3000</v>
      </c>
      <c r="Q101" s="278" t="n">
        <v>24522</v>
      </c>
      <c r="R101" s="278" t="n"/>
      <c r="S101" s="278" t="n"/>
      <c r="T101" s="278" t="n"/>
      <c r="U101" s="278" t="n"/>
      <c r="V101" s="278" t="n"/>
      <c r="W101" s="278" t="n">
        <v>110156</v>
      </c>
      <c r="X101" s="278" t="n">
        <v>393679</v>
      </c>
      <c r="Y101" s="278" t="n">
        <v>519962</v>
      </c>
      <c r="Z101" s="279" t="n">
        <v>257203</v>
      </c>
      <c r="AA101" s="296" t="n">
        <v>262759</v>
      </c>
      <c r="AB101" s="296" t="n">
        <v>1170647.58</v>
      </c>
      <c r="AC101" s="585" t="n"/>
      <c r="AD101" s="310" t="n">
        <v>61090</v>
      </c>
      <c r="AE101" s="278" t="n">
        <v>0</v>
      </c>
      <c r="AF101" s="278" t="n">
        <v>0</v>
      </c>
      <c r="AG101" s="278" t="n">
        <v>0</v>
      </c>
      <c r="AH101" s="278" t="n">
        <v>0</v>
      </c>
      <c r="AI101" s="278" t="n"/>
      <c r="AJ101" s="278" t="n"/>
      <c r="AK101" s="56">
        <f>SUM(B90:B101)</f>
        <v/>
      </c>
      <c r="AL101" s="56" t="n"/>
      <c r="AM101" s="56">
        <f>SUM(C101:Y101)</f>
        <v/>
      </c>
      <c r="AN101" s="56">
        <f>AM101+AD101</f>
        <v/>
      </c>
    </row>
    <row r="102" ht="17" customHeight="1" thickBot="1">
      <c r="A102" s="276" t="n">
        <v>44682</v>
      </c>
      <c r="B102" s="278" t="n">
        <v>7536144</v>
      </c>
      <c r="C102" s="278" t="n">
        <v>3332646.63</v>
      </c>
      <c r="D102" s="278" t="n">
        <v>186465</v>
      </c>
      <c r="E102" s="278" t="n">
        <v>381972</v>
      </c>
      <c r="F102" s="278" t="n">
        <v>66226</v>
      </c>
      <c r="G102" s="278" t="n">
        <v>134268</v>
      </c>
      <c r="H102" s="278" t="n">
        <v>257005.27</v>
      </c>
      <c r="I102" s="278" t="n">
        <v>1500945.1</v>
      </c>
      <c r="J102" s="278" t="n">
        <v>218112</v>
      </c>
      <c r="K102" s="278" t="n">
        <v>47282</v>
      </c>
      <c r="L102" s="278" t="n">
        <v>60742</v>
      </c>
      <c r="M102" s="278" t="n">
        <v>0</v>
      </c>
      <c r="N102" s="278" t="n">
        <v>128870</v>
      </c>
      <c r="O102" s="278" t="n">
        <v>23250</v>
      </c>
      <c r="P102" s="278" t="n">
        <v>9190</v>
      </c>
      <c r="Q102" s="278" t="n">
        <v>64674</v>
      </c>
      <c r="R102" s="278" t="n"/>
      <c r="S102" s="278" t="n"/>
      <c r="T102" s="278" t="n"/>
      <c r="U102" s="278" t="n"/>
      <c r="V102" s="278" t="n"/>
      <c r="W102" s="278" t="n">
        <v>137154</v>
      </c>
      <c r="X102" s="278" t="n">
        <v>386561</v>
      </c>
      <c r="Y102" s="278" t="n">
        <v>600781</v>
      </c>
      <c r="Z102" s="279" t="n">
        <v>291975</v>
      </c>
      <c r="AA102" s="296" t="n">
        <v>308806</v>
      </c>
      <c r="AB102" s="296" t="n">
        <v>1629815.1</v>
      </c>
      <c r="AC102" s="585" t="n"/>
      <c r="AD102" s="310" t="n">
        <v>63499</v>
      </c>
      <c r="AE102" s="278" t="n">
        <v>0</v>
      </c>
      <c r="AF102" s="278" t="n">
        <v>0</v>
      </c>
      <c r="AG102" s="278" t="n">
        <v>0</v>
      </c>
      <c r="AH102" s="278" t="n">
        <v>0</v>
      </c>
      <c r="AI102" s="278" t="n"/>
      <c r="AJ102" s="278" t="n"/>
      <c r="AK102" s="56">
        <f>SUM(B91:B102)</f>
        <v/>
      </c>
      <c r="AL102" s="56" t="n"/>
      <c r="AM102" s="56">
        <f>SUM(C102:Y102)</f>
        <v/>
      </c>
      <c r="AN102" s="56">
        <f>AM102+AD102</f>
        <v/>
      </c>
    </row>
    <row r="103" ht="17" customHeight="1" thickBot="1">
      <c r="A103" s="276" t="n">
        <v>44713</v>
      </c>
      <c r="B103" s="278" t="n">
        <v>8743056</v>
      </c>
      <c r="C103" s="278" t="n">
        <v>3343878.439</v>
      </c>
      <c r="D103" s="278" t="n">
        <v>191180</v>
      </c>
      <c r="E103" s="278" t="n">
        <v>373954</v>
      </c>
      <c r="F103" s="278" t="n">
        <v>64920</v>
      </c>
      <c r="G103" s="278" t="n">
        <v>135646</v>
      </c>
      <c r="H103" s="278" t="n">
        <v>226258.951</v>
      </c>
      <c r="I103" s="278" t="n">
        <v>2130901.61</v>
      </c>
      <c r="J103" s="278" t="n">
        <v>216767</v>
      </c>
      <c r="K103" s="278" t="n">
        <v>69729</v>
      </c>
      <c r="L103" s="278" t="n">
        <v>131317</v>
      </c>
      <c r="M103" s="278" t="n">
        <v>0</v>
      </c>
      <c r="N103" s="278" t="n">
        <v>226263</v>
      </c>
      <c r="O103" s="278" t="n">
        <v>47562</v>
      </c>
      <c r="P103" s="278" t="n">
        <v>4513</v>
      </c>
      <c r="Q103" s="278" t="n">
        <v>74042</v>
      </c>
      <c r="R103" s="278" t="n"/>
      <c r="S103" s="278" t="n"/>
      <c r="T103" s="278" t="n"/>
      <c r="U103" s="278" t="n"/>
      <c r="V103" s="278" t="n"/>
      <c r="W103" s="278" t="n">
        <v>200798</v>
      </c>
      <c r="X103" s="278" t="n">
        <v>482838</v>
      </c>
      <c r="Y103" s="278" t="n">
        <v>822488</v>
      </c>
      <c r="Z103" s="279" t="n">
        <v>299799</v>
      </c>
      <c r="AA103" s="296" t="n">
        <v>522689</v>
      </c>
      <c r="AB103" s="296" t="n">
        <v>2357164.61</v>
      </c>
      <c r="AC103" s="585" t="n"/>
      <c r="AD103" s="310" t="n">
        <v>60911</v>
      </c>
      <c r="AE103" s="278" t="n">
        <v>0</v>
      </c>
      <c r="AF103" s="278" t="n">
        <v>0</v>
      </c>
      <c r="AG103" s="278" t="n">
        <v>0</v>
      </c>
      <c r="AH103" s="278" t="n">
        <v>0</v>
      </c>
      <c r="AI103" s="278" t="n"/>
      <c r="AJ103" s="296" t="n"/>
      <c r="AK103" s="583">
        <f>SUM(B92:B103)</f>
        <v/>
      </c>
      <c r="AL103" s="584">
        <f>AK103+SUM(AD92:AD103)</f>
        <v/>
      </c>
      <c r="AM103" s="56">
        <f>SUM(C103:Y103)</f>
        <v/>
      </c>
      <c r="AN103" s="56">
        <f>AM103+AD103</f>
        <v/>
      </c>
    </row>
    <row r="104">
      <c r="A104" s="276" t="n">
        <v>44743</v>
      </c>
      <c r="B104" s="278" t="n">
        <v>8658648</v>
      </c>
      <c r="C104" s="278" t="n">
        <v>2985191.169</v>
      </c>
      <c r="D104" s="278" t="n">
        <v>180624</v>
      </c>
      <c r="E104" s="278" t="n">
        <v>335327</v>
      </c>
      <c r="F104" s="278" t="n">
        <v>66990</v>
      </c>
      <c r="G104" s="278" t="n">
        <v>125766</v>
      </c>
      <c r="H104" s="278" t="n">
        <v>239655.831</v>
      </c>
      <c r="I104" s="278" t="n">
        <v>2485643</v>
      </c>
      <c r="J104" s="278" t="n">
        <v>181196</v>
      </c>
      <c r="K104" s="278" t="n">
        <v>67366</v>
      </c>
      <c r="L104" s="278" t="n">
        <v>129521</v>
      </c>
      <c r="M104" s="278" t="n">
        <v>0</v>
      </c>
      <c r="N104" s="278" t="n">
        <v>222744</v>
      </c>
      <c r="O104" s="278" t="n">
        <v>46061</v>
      </c>
      <c r="P104" s="278" t="n">
        <v>6355</v>
      </c>
      <c r="Q104" s="278" t="n">
        <v>70476</v>
      </c>
      <c r="R104" s="278" t="n"/>
      <c r="S104" s="278" t="n"/>
      <c r="T104" s="278" t="n"/>
      <c r="U104" s="278" t="n"/>
      <c r="V104" s="278" t="n"/>
      <c r="W104" s="278" t="n">
        <v>188600</v>
      </c>
      <c r="X104" s="278" t="n">
        <v>460050</v>
      </c>
      <c r="Y104" s="278" t="n">
        <v>867082</v>
      </c>
      <c r="Z104" s="279" t="n">
        <v>274978</v>
      </c>
      <c r="AA104" s="296" t="n">
        <v>592104</v>
      </c>
      <c r="AB104" s="296" t="n">
        <v>2708387</v>
      </c>
      <c r="AC104" s="585" t="n"/>
      <c r="AD104" s="310" t="n">
        <v>64945</v>
      </c>
      <c r="AE104" s="278" t="n">
        <v>0</v>
      </c>
      <c r="AF104" s="278" t="n">
        <v>0</v>
      </c>
      <c r="AG104" s="278" t="n">
        <v>0</v>
      </c>
      <c r="AH104" s="278" t="n">
        <v>0</v>
      </c>
      <c r="AI104" s="278" t="n"/>
      <c r="AJ104" s="278" t="n"/>
      <c r="AK104" s="56">
        <f>SUM(B93:B104)</f>
        <v/>
      </c>
      <c r="AL104" s="56" t="n"/>
      <c r="AM104" s="56">
        <f>SUM(C104:Y104)</f>
        <v/>
      </c>
      <c r="AN104" s="56">
        <f>AM104+AD104</f>
        <v/>
      </c>
    </row>
    <row r="105">
      <c r="A105" s="276" t="n">
        <v>44774</v>
      </c>
      <c r="B105" s="278" t="n">
        <v>9488278</v>
      </c>
      <c r="C105" s="278" t="n">
        <v>3657836.06</v>
      </c>
      <c r="D105" s="278" t="n">
        <v>238816</v>
      </c>
      <c r="E105" s="278" t="n">
        <v>389800</v>
      </c>
      <c r="F105" s="278" t="n">
        <v>69480</v>
      </c>
      <c r="G105" s="278" t="n">
        <v>141763</v>
      </c>
      <c r="H105" s="278" t="n">
        <v>279749.7</v>
      </c>
      <c r="I105" s="278" t="n">
        <v>2278104.24</v>
      </c>
      <c r="J105" s="278" t="n">
        <v>202462</v>
      </c>
      <c r="K105" s="278" t="n">
        <v>68389</v>
      </c>
      <c r="L105" s="278" t="n">
        <v>127143</v>
      </c>
      <c r="M105" s="278" t="n">
        <v>0</v>
      </c>
      <c r="N105" s="278" t="n">
        <v>238990</v>
      </c>
      <c r="O105" s="278" t="n">
        <v>58088</v>
      </c>
      <c r="P105" s="278" t="n">
        <v>6748</v>
      </c>
      <c r="Q105" s="278" t="n">
        <v>78711</v>
      </c>
      <c r="R105" s="278" t="n"/>
      <c r="S105" s="278" t="n"/>
      <c r="T105" s="278" t="n"/>
      <c r="U105" s="278" t="n"/>
      <c r="V105" s="278" t="n"/>
      <c r="W105" s="278" t="n">
        <v>200020</v>
      </c>
      <c r="X105" s="278" t="n">
        <v>509485</v>
      </c>
      <c r="Y105" s="278" t="n">
        <v>942693</v>
      </c>
      <c r="Z105" s="279" t="n">
        <v>328477</v>
      </c>
      <c r="AA105" s="296" t="n">
        <v>614216</v>
      </c>
      <c r="AB105" s="296" t="n">
        <v>2517094.24</v>
      </c>
      <c r="AC105" s="585" t="n"/>
      <c r="AD105" s="310" t="n">
        <v>79973</v>
      </c>
      <c r="AE105" s="278" t="n">
        <v>0</v>
      </c>
      <c r="AF105" s="278" t="n">
        <v>0</v>
      </c>
      <c r="AG105" s="278" t="n">
        <v>0</v>
      </c>
      <c r="AH105" s="278" t="n">
        <v>0</v>
      </c>
      <c r="AI105" s="278" t="n"/>
      <c r="AJ105" s="278" t="n"/>
      <c r="AK105" s="56">
        <f>SUM(B94:B105)</f>
        <v/>
      </c>
      <c r="AL105" s="56" t="n"/>
      <c r="AM105" s="56">
        <f>SUM(C105:Y105)</f>
        <v/>
      </c>
      <c r="AN105" s="56">
        <f>AM105+AD105</f>
        <v/>
      </c>
    </row>
    <row r="106">
      <c r="A106" s="276" t="n">
        <v>44805</v>
      </c>
      <c r="B106" s="278" t="n">
        <v>9620380</v>
      </c>
      <c r="C106" s="278" t="n">
        <v>3972223.63</v>
      </c>
      <c r="D106" s="278" t="n">
        <v>182258</v>
      </c>
      <c r="E106" s="278" t="n">
        <v>370600</v>
      </c>
      <c r="F106" s="278" t="n">
        <v>70960</v>
      </c>
      <c r="G106" s="278" t="n">
        <v>129726</v>
      </c>
      <c r="H106" s="278" t="n">
        <v>279735.37</v>
      </c>
      <c r="I106" s="278" t="n">
        <v>1988413</v>
      </c>
      <c r="J106" s="278" t="n">
        <v>144397</v>
      </c>
      <c r="K106" s="278" t="n">
        <v>59150</v>
      </c>
      <c r="L106" s="278" t="n">
        <v>126966</v>
      </c>
      <c r="M106" s="278" t="n">
        <v>0</v>
      </c>
      <c r="N106" s="278" t="n">
        <v>209950</v>
      </c>
      <c r="O106" s="278" t="n">
        <v>49648</v>
      </c>
      <c r="P106" s="278" t="n">
        <v>14349</v>
      </c>
      <c r="Q106" s="278" t="n">
        <v>74107</v>
      </c>
      <c r="R106" s="278" t="n"/>
      <c r="S106" s="278" t="n"/>
      <c r="T106" s="278" t="n"/>
      <c r="U106" s="278" t="n"/>
      <c r="V106" s="278" t="n"/>
      <c r="W106" s="278" t="n">
        <v>197340</v>
      </c>
      <c r="X106" s="278" t="n">
        <v>792745</v>
      </c>
      <c r="Y106" s="278" t="n">
        <v>957812</v>
      </c>
      <c r="Z106" s="279" t="n">
        <v>371840</v>
      </c>
      <c r="AA106" s="296" t="n">
        <v>585972</v>
      </c>
      <c r="AB106" s="296" t="n">
        <v>2198363</v>
      </c>
      <c r="AC106" s="585" t="n"/>
      <c r="AD106" s="310" t="n">
        <v>128837</v>
      </c>
      <c r="AE106" s="278" t="n">
        <v>0</v>
      </c>
      <c r="AF106" s="278" t="n">
        <v>0</v>
      </c>
      <c r="AG106" s="278" t="n">
        <v>0</v>
      </c>
      <c r="AH106" s="278" t="n">
        <v>0</v>
      </c>
      <c r="AI106" s="278" t="n"/>
      <c r="AJ106" s="278" t="n"/>
      <c r="AK106" s="56">
        <f>SUM(B95:B106)</f>
        <v/>
      </c>
      <c r="AL106" s="56" t="n"/>
      <c r="AM106" s="56">
        <f>SUM(C106:Y106)</f>
        <v/>
      </c>
      <c r="AN106" s="56">
        <f>AM106+AD106</f>
        <v/>
      </c>
    </row>
    <row r="107">
      <c r="A107" s="276" t="n">
        <v>44835</v>
      </c>
      <c r="B107" s="278" t="n">
        <v>7608376</v>
      </c>
      <c r="C107" s="278" t="n">
        <v>3026537.964947</v>
      </c>
      <c r="D107" s="278" t="n">
        <v>201410</v>
      </c>
      <c r="E107" s="278" t="n">
        <v>352020</v>
      </c>
      <c r="F107" s="278" t="n">
        <v>62050</v>
      </c>
      <c r="G107" s="278" t="n">
        <v>145774</v>
      </c>
      <c r="H107" s="278" t="n">
        <v>275237.4744140001</v>
      </c>
      <c r="I107" s="278" t="n">
        <v>1469216.260639</v>
      </c>
      <c r="J107" s="278" t="n">
        <v>304172</v>
      </c>
      <c r="K107" s="278" t="n">
        <v>47679</v>
      </c>
      <c r="L107" s="278" t="n">
        <v>93814</v>
      </c>
      <c r="M107" s="278" t="n">
        <v>0</v>
      </c>
      <c r="N107" s="278" t="n">
        <v>143116</v>
      </c>
      <c r="O107" s="278" t="n">
        <v>29278</v>
      </c>
      <c r="P107" s="278" t="n">
        <v>7337.300000000003</v>
      </c>
      <c r="Q107" s="278" t="n">
        <v>64072</v>
      </c>
      <c r="R107" s="278" t="n"/>
      <c r="S107" s="278" t="n"/>
      <c r="T107" s="278" t="n"/>
      <c r="U107" s="278" t="n"/>
      <c r="V107" s="278" t="n"/>
      <c r="W107" s="278" t="n">
        <v>133610</v>
      </c>
      <c r="X107" s="278" t="n">
        <v>595968</v>
      </c>
      <c r="Y107" s="278" t="n">
        <v>657084</v>
      </c>
      <c r="Z107" s="279" t="n">
        <v>337505</v>
      </c>
      <c r="AA107" s="296" t="n">
        <v>319579</v>
      </c>
      <c r="AB107" s="296" t="n">
        <v>1612332.260639</v>
      </c>
      <c r="AC107" s="585" t="n"/>
      <c r="AD107" s="310" t="n">
        <v>135269</v>
      </c>
      <c r="AE107" s="278" t="n">
        <v>0</v>
      </c>
      <c r="AF107" s="278" t="n">
        <v>0</v>
      </c>
      <c r="AG107" s="278" t="n">
        <v>0</v>
      </c>
      <c r="AH107" s="278" t="n">
        <v>0</v>
      </c>
      <c r="AI107" s="278" t="n"/>
      <c r="AJ107" s="278" t="n"/>
      <c r="AK107" s="56">
        <f>SUM(B96:B107)</f>
        <v/>
      </c>
      <c r="AL107" s="56" t="n"/>
      <c r="AM107" s="56">
        <f>SUM(C107:Y107)</f>
        <v/>
      </c>
      <c r="AN107" s="56">
        <f>AM107+AD107</f>
        <v/>
      </c>
    </row>
    <row r="108">
      <c r="A108" s="276" t="n">
        <v>44866</v>
      </c>
      <c r="B108" s="278" t="n">
        <v>8270405</v>
      </c>
      <c r="C108" s="278" t="n">
        <v>3955547.4860226</v>
      </c>
      <c r="D108" s="278" t="n">
        <v>261890</v>
      </c>
      <c r="E108" s="278" t="n">
        <v>399870</v>
      </c>
      <c r="F108" s="278" t="n">
        <v>73590</v>
      </c>
      <c r="G108" s="278" t="n">
        <v>160396</v>
      </c>
      <c r="H108" s="278" t="n">
        <v>274731.021586</v>
      </c>
      <c r="I108" s="278" t="n">
        <v>1233452.4923914</v>
      </c>
      <c r="J108" s="278" t="n">
        <v>258047</v>
      </c>
      <c r="K108" s="278" t="n">
        <v>56060</v>
      </c>
      <c r="L108" s="278" t="n">
        <v>72060</v>
      </c>
      <c r="M108" s="278" t="n">
        <v>0</v>
      </c>
      <c r="N108" s="278" t="n">
        <v>130337</v>
      </c>
      <c r="O108" s="278" t="n">
        <v>42146</v>
      </c>
      <c r="P108" s="278" t="n">
        <v>6492</v>
      </c>
      <c r="Q108" s="278" t="n">
        <v>61394</v>
      </c>
      <c r="R108" s="278" t="n"/>
      <c r="S108" s="278" t="n"/>
      <c r="T108" s="278" t="n"/>
      <c r="U108" s="278" t="n"/>
      <c r="V108" s="278" t="n"/>
      <c r="W108" s="278" t="n">
        <v>119820</v>
      </c>
      <c r="X108" s="278" t="n">
        <v>509994</v>
      </c>
      <c r="Y108" s="278" t="n">
        <v>654578</v>
      </c>
      <c r="Z108" s="279" t="n">
        <v>378554</v>
      </c>
      <c r="AA108" s="296" t="n">
        <v>276024</v>
      </c>
      <c r="AB108" s="296" t="n">
        <v>1363789.4923914</v>
      </c>
      <c r="AC108" s="585" t="n"/>
      <c r="AD108" s="310" t="n">
        <v>98952</v>
      </c>
      <c r="AE108" s="278" t="n">
        <v>0</v>
      </c>
      <c r="AF108" s="278" t="n">
        <v>0</v>
      </c>
      <c r="AG108" s="278" t="n">
        <v>0</v>
      </c>
      <c r="AH108" s="278" t="n">
        <v>0</v>
      </c>
      <c r="AI108" s="278" t="n"/>
      <c r="AJ108" s="278" t="n"/>
      <c r="AK108" s="56">
        <f>SUM(B97:B108)</f>
        <v/>
      </c>
      <c r="AL108" s="56" t="n"/>
      <c r="AM108" s="56">
        <f>SUM(C108:Y108)</f>
        <v/>
      </c>
      <c r="AN108" s="56">
        <f>AM108+AD108</f>
        <v/>
      </c>
    </row>
    <row r="109">
      <c r="A109" s="276" t="n">
        <v>44896</v>
      </c>
      <c r="B109" s="278" t="n">
        <v>6285639</v>
      </c>
      <c r="C109" s="278" t="n">
        <v>3000351.525332287</v>
      </c>
      <c r="D109" s="278" t="n">
        <v>189301</v>
      </c>
      <c r="E109" s="278" t="n">
        <v>364897</v>
      </c>
      <c r="F109" s="278" t="n">
        <v>66390</v>
      </c>
      <c r="G109" s="278" t="n">
        <v>207432</v>
      </c>
      <c r="H109" s="278" t="n">
        <v>284045.8819453125</v>
      </c>
      <c r="I109" s="278" t="n">
        <v>556257.5927224</v>
      </c>
      <c r="J109" s="278" t="n">
        <v>229681</v>
      </c>
      <c r="K109" s="278" t="n">
        <v>44577</v>
      </c>
      <c r="L109" s="278" t="n">
        <v>91252</v>
      </c>
      <c r="M109" s="278" t="n">
        <v>0</v>
      </c>
      <c r="N109" s="278" t="n">
        <v>47314</v>
      </c>
      <c r="O109" s="278" t="n">
        <v>30935</v>
      </c>
      <c r="P109" s="278" t="n">
        <v>3918</v>
      </c>
      <c r="Q109" s="278" t="n">
        <v>49088</v>
      </c>
      <c r="R109" s="278" t="n"/>
      <c r="S109" s="278" t="n"/>
      <c r="T109" s="278" t="n"/>
      <c r="U109" s="278" t="n"/>
      <c r="V109" s="278" t="n"/>
      <c r="W109" s="278" t="n">
        <v>105310</v>
      </c>
      <c r="X109" s="278" t="n">
        <v>408265</v>
      </c>
      <c r="Y109" s="278" t="n">
        <v>606624</v>
      </c>
      <c r="Z109" s="279" t="n">
        <v>330635</v>
      </c>
      <c r="AA109" s="296" t="n">
        <v>275989</v>
      </c>
      <c r="AB109" s="296" t="n">
        <v>603571.5927224</v>
      </c>
      <c r="AC109" s="585" t="n"/>
      <c r="AD109" s="310" t="n">
        <v>79105</v>
      </c>
      <c r="AE109" s="278" t="n">
        <v>0</v>
      </c>
      <c r="AF109" s="278" t="n">
        <v>0</v>
      </c>
      <c r="AG109" s="278" t="n">
        <v>0</v>
      </c>
      <c r="AH109" s="278" t="n">
        <v>0</v>
      </c>
      <c r="AI109" s="278" t="n"/>
      <c r="AJ109" s="278" t="n"/>
      <c r="AK109" s="56">
        <f>SUM(B98:B109)</f>
        <v/>
      </c>
      <c r="AL109" s="56" t="n"/>
      <c r="AM109" s="56">
        <f>SUM(C109:Y109)</f>
        <v/>
      </c>
      <c r="AN109" s="56">
        <f>AM109+AD109</f>
        <v/>
      </c>
    </row>
    <row r="110">
      <c r="A110" s="297" t="n">
        <v>44927</v>
      </c>
      <c r="B110" s="298" t="n">
        <v>6116888</v>
      </c>
      <c r="C110" s="298" t="n">
        <v>2907283</v>
      </c>
      <c r="D110" s="298" t="n">
        <v>203969</v>
      </c>
      <c r="E110" s="298" t="n">
        <v>366341</v>
      </c>
      <c r="F110" s="298" t="n">
        <v>64380</v>
      </c>
      <c r="G110" s="298" t="n">
        <v>206177</v>
      </c>
      <c r="H110" s="298" t="n">
        <v>274256</v>
      </c>
      <c r="I110" s="298" t="n">
        <v>556060</v>
      </c>
      <c r="J110" s="298" t="n">
        <v>217300</v>
      </c>
      <c r="K110" s="298" t="n">
        <v>39987</v>
      </c>
      <c r="L110" s="298" t="n">
        <v>69190</v>
      </c>
      <c r="M110" s="298" t="n">
        <v>0</v>
      </c>
      <c r="N110" s="298" t="n">
        <v>45634</v>
      </c>
      <c r="O110" s="298" t="n">
        <v>21361</v>
      </c>
      <c r="P110" s="298" t="n">
        <v>3960</v>
      </c>
      <c r="Q110" s="298" t="n">
        <v>46743</v>
      </c>
      <c r="R110" s="298" t="n"/>
      <c r="S110" s="298" t="n"/>
      <c r="T110" s="298" t="n">
        <v>0</v>
      </c>
      <c r="U110" s="298" t="n">
        <v>0</v>
      </c>
      <c r="V110" s="298" t="n">
        <v>120500</v>
      </c>
      <c r="W110" s="298" t="n">
        <v>95650</v>
      </c>
      <c r="X110" s="298" t="n">
        <v>318713</v>
      </c>
      <c r="Y110" s="298" t="n">
        <v>559384</v>
      </c>
      <c r="Z110" s="299" t="n">
        <v>291933</v>
      </c>
      <c r="AA110" s="300" t="n">
        <v>267451</v>
      </c>
      <c r="AB110" s="300" t="n">
        <v>601694</v>
      </c>
      <c r="AC110" s="585" t="n"/>
      <c r="AD110" s="311" t="n">
        <v>42482</v>
      </c>
      <c r="AE110" s="298" t="n">
        <v>0</v>
      </c>
      <c r="AF110" s="298" t="n">
        <v>0</v>
      </c>
      <c r="AG110" s="298" t="n">
        <v>0</v>
      </c>
      <c r="AH110" s="298" t="n">
        <v>0</v>
      </c>
      <c r="AI110" s="298" t="n"/>
      <c r="AJ110" s="298" t="n"/>
      <c r="AK110" s="56">
        <f>SUM(B99:B110)</f>
        <v/>
      </c>
      <c r="AL110" s="56" t="n"/>
      <c r="AM110" s="56">
        <f>SUM(C110:Y110)</f>
        <v/>
      </c>
      <c r="AN110" s="56">
        <f>AM110+AD110</f>
        <v/>
      </c>
    </row>
    <row r="111">
      <c r="A111" s="297" t="n">
        <v>44958</v>
      </c>
      <c r="B111" s="298" t="n">
        <v>6266442</v>
      </c>
      <c r="C111" s="298" t="n">
        <v>3003711</v>
      </c>
      <c r="D111" s="298" t="n">
        <v>199047</v>
      </c>
      <c r="E111" s="298" t="n">
        <v>344682</v>
      </c>
      <c r="F111" s="298" t="n">
        <v>59850</v>
      </c>
      <c r="G111" s="298" t="n">
        <v>180898</v>
      </c>
      <c r="H111" s="298" t="n">
        <v>266331</v>
      </c>
      <c r="I111" s="298" t="n">
        <v>601288</v>
      </c>
      <c r="J111" s="298" t="n">
        <v>228400</v>
      </c>
      <c r="K111" s="298" t="n">
        <v>42292</v>
      </c>
      <c r="L111" s="298" t="n">
        <v>66777</v>
      </c>
      <c r="M111" s="298" t="n">
        <v>0</v>
      </c>
      <c r="N111" s="298" t="n">
        <v>53805</v>
      </c>
      <c r="O111" s="298" t="n">
        <v>25635</v>
      </c>
      <c r="P111" s="298" t="n">
        <v>3751</v>
      </c>
      <c r="Q111" s="298" t="n">
        <v>32839</v>
      </c>
      <c r="R111" s="298" t="n"/>
      <c r="S111" s="298" t="n"/>
      <c r="T111" s="298" t="n">
        <v>0</v>
      </c>
      <c r="U111" s="298" t="n">
        <v>0</v>
      </c>
      <c r="V111" s="298" t="n">
        <v>111300</v>
      </c>
      <c r="W111" s="298" t="n">
        <v>97450</v>
      </c>
      <c r="X111" s="298" t="n">
        <v>401557</v>
      </c>
      <c r="Y111" s="298" t="n">
        <v>546828</v>
      </c>
      <c r="Z111" s="299" t="n">
        <v>330857</v>
      </c>
      <c r="AA111" s="300" t="n">
        <v>215971</v>
      </c>
      <c r="AB111" s="300" t="n">
        <v>655093</v>
      </c>
      <c r="AC111" s="585" t="n"/>
      <c r="AD111" s="311" t="n">
        <v>66007</v>
      </c>
      <c r="AE111" s="298" t="n">
        <v>0</v>
      </c>
      <c r="AF111" s="298" t="n">
        <v>0</v>
      </c>
      <c r="AG111" s="298" t="n">
        <v>0</v>
      </c>
      <c r="AH111" s="298" t="n">
        <v>0</v>
      </c>
      <c r="AI111" s="298" t="n"/>
      <c r="AJ111" s="298" t="n"/>
      <c r="AK111" s="56">
        <f>SUM(B100:B111)</f>
        <v/>
      </c>
      <c r="AL111" s="56" t="n"/>
      <c r="AM111" s="56">
        <f>SUM(C111:Y111)</f>
        <v/>
      </c>
      <c r="AN111" s="56">
        <f>AM111+AD111</f>
        <v/>
      </c>
    </row>
    <row r="112">
      <c r="A112" s="297" t="n">
        <v>44986</v>
      </c>
      <c r="B112" s="298" t="n">
        <v>6828592</v>
      </c>
      <c r="C112" s="298" t="n">
        <v>3087483</v>
      </c>
      <c r="D112" s="298" t="n">
        <v>208188</v>
      </c>
      <c r="E112" s="298" t="n">
        <v>371708</v>
      </c>
      <c r="F112" s="298" t="n">
        <v>62330</v>
      </c>
      <c r="G112" s="298" t="n">
        <v>161082</v>
      </c>
      <c r="H112" s="298" t="n">
        <v>290893</v>
      </c>
      <c r="I112" s="298" t="n">
        <v>869346</v>
      </c>
      <c r="J112" s="298" t="n">
        <v>244523</v>
      </c>
      <c r="K112" s="298" t="n">
        <v>53343</v>
      </c>
      <c r="L112" s="298" t="n">
        <v>77615</v>
      </c>
      <c r="M112" s="298" t="n"/>
      <c r="N112" s="298" t="n">
        <v>87303</v>
      </c>
      <c r="O112" s="298" t="n">
        <v>29052</v>
      </c>
      <c r="P112" s="298" t="n">
        <v>4863</v>
      </c>
      <c r="Q112" s="298" t="n">
        <v>60432</v>
      </c>
      <c r="R112" s="298" t="n"/>
      <c r="S112" s="298" t="n"/>
      <c r="T112" s="298" t="n">
        <v>0</v>
      </c>
      <c r="U112" s="298" t="n">
        <v>0</v>
      </c>
      <c r="V112" s="298" t="n">
        <v>128500</v>
      </c>
      <c r="W112" s="298" t="n">
        <v>105840</v>
      </c>
      <c r="X112" s="298" t="n">
        <v>422423</v>
      </c>
      <c r="Y112" s="298" t="n">
        <v>563668</v>
      </c>
      <c r="Z112" s="299" t="n">
        <v>362033</v>
      </c>
      <c r="AA112" s="300" t="n">
        <v>201635</v>
      </c>
      <c r="AB112" s="300" t="n">
        <v>956649</v>
      </c>
      <c r="AC112" s="585" t="n"/>
      <c r="AD112" s="311" t="n">
        <v>65226</v>
      </c>
      <c r="AE112" s="298" t="n">
        <v>0</v>
      </c>
      <c r="AF112" s="298" t="n">
        <v>0</v>
      </c>
      <c r="AG112" s="298" t="n">
        <v>0</v>
      </c>
      <c r="AH112" s="298" t="n">
        <v>0</v>
      </c>
      <c r="AI112" s="298" t="n"/>
      <c r="AJ112" s="298" t="n"/>
      <c r="AK112" s="56">
        <f>SUM(B101:B112)</f>
        <v/>
      </c>
      <c r="AL112" s="56" t="n"/>
      <c r="AM112" s="56">
        <f>SUM(C112:Y112)</f>
        <v/>
      </c>
      <c r="AN112" s="56">
        <f>AM112+AD112</f>
        <v/>
      </c>
    </row>
    <row r="113">
      <c r="A113" s="297" t="n">
        <v>45017</v>
      </c>
      <c r="B113" s="298" t="n">
        <v>6998355</v>
      </c>
      <c r="C113" s="298" t="n">
        <v>2888262</v>
      </c>
      <c r="D113" s="298" t="n">
        <v>203002</v>
      </c>
      <c r="E113" s="298" t="n">
        <v>343942</v>
      </c>
      <c r="F113" s="298" t="n">
        <v>60020</v>
      </c>
      <c r="G113" s="298" t="n">
        <v>130668</v>
      </c>
      <c r="H113" s="298" t="n">
        <v>296464</v>
      </c>
      <c r="I113" s="298" t="n">
        <v>1134981</v>
      </c>
      <c r="J113" s="298" t="n">
        <v>221077</v>
      </c>
      <c r="K113" s="298" t="n">
        <v>51421</v>
      </c>
      <c r="L113" s="298" t="n">
        <v>84792</v>
      </c>
      <c r="M113" s="298" t="n"/>
      <c r="N113" s="298" t="n">
        <v>105975</v>
      </c>
      <c r="O113" s="298" t="n">
        <v>33207</v>
      </c>
      <c r="P113" s="298" t="n">
        <v>5858</v>
      </c>
      <c r="Q113" s="298" t="n">
        <v>55411</v>
      </c>
      <c r="R113" s="298" t="n"/>
      <c r="S113" s="298" t="n"/>
      <c r="T113" s="298" t="n">
        <v>0</v>
      </c>
      <c r="U113" s="298" t="n">
        <v>0</v>
      </c>
      <c r="V113" s="298" t="n">
        <v>171500</v>
      </c>
      <c r="W113" s="298" t="n">
        <v>112930</v>
      </c>
      <c r="X113" s="298" t="n">
        <v>505398</v>
      </c>
      <c r="Y113" s="298" t="n">
        <v>593447</v>
      </c>
      <c r="Z113" s="299" t="n">
        <v>334481</v>
      </c>
      <c r="AA113" s="300" t="n">
        <v>258966</v>
      </c>
      <c r="AB113" s="300" t="n">
        <v>1240956</v>
      </c>
      <c r="AC113" s="585" t="n"/>
      <c r="AD113" s="311" t="n">
        <v>98989</v>
      </c>
      <c r="AE113" s="298" t="n">
        <v>0</v>
      </c>
      <c r="AF113" s="298" t="n">
        <v>0</v>
      </c>
      <c r="AG113" s="298" t="n">
        <v>0</v>
      </c>
      <c r="AH113" s="298" t="n">
        <v>0</v>
      </c>
      <c r="AI113" s="298" t="n"/>
      <c r="AJ113" s="298" t="n"/>
      <c r="AK113" s="56">
        <f>SUM(B102:B113)</f>
        <v/>
      </c>
      <c r="AL113" s="56" t="n"/>
      <c r="AM113" s="56">
        <f>SUM(C113:Y113)</f>
        <v/>
      </c>
      <c r="AN113" s="56">
        <f>AM113+AD113</f>
        <v/>
      </c>
    </row>
    <row r="114" ht="17" customHeight="1" thickBot="1">
      <c r="A114" s="297" t="n">
        <v>45047</v>
      </c>
      <c r="B114" s="298" t="n">
        <v>8625441</v>
      </c>
      <c r="C114" s="298" t="n">
        <v>3325897</v>
      </c>
      <c r="D114" s="298" t="n">
        <v>217017</v>
      </c>
      <c r="E114" s="298" t="n">
        <v>395100</v>
      </c>
      <c r="F114" s="298" t="n">
        <v>70780</v>
      </c>
      <c r="G114" s="298" t="n">
        <v>134571</v>
      </c>
      <c r="H114" s="298" t="n">
        <v>333422</v>
      </c>
      <c r="I114" s="298" t="n">
        <v>1674901</v>
      </c>
      <c r="J114" s="298" t="n">
        <v>246200</v>
      </c>
      <c r="K114" s="298" t="n">
        <v>67214</v>
      </c>
      <c r="L114" s="298" t="n">
        <v>129786</v>
      </c>
      <c r="M114" s="298" t="n"/>
      <c r="N114" s="298" t="n">
        <v>162347</v>
      </c>
      <c r="O114" s="298" t="n">
        <v>34087</v>
      </c>
      <c r="P114" s="298" t="n">
        <v>9007</v>
      </c>
      <c r="Q114" s="298" t="n">
        <v>69546</v>
      </c>
      <c r="R114" s="298" t="n"/>
      <c r="S114" s="298" t="n"/>
      <c r="T114" s="298" t="n">
        <v>0</v>
      </c>
      <c r="U114" s="298" t="n">
        <v>0</v>
      </c>
      <c r="V114" s="298" t="n">
        <v>241758</v>
      </c>
      <c r="W114" s="298" t="n">
        <v>158700</v>
      </c>
      <c r="X114" s="298" t="n">
        <v>580251</v>
      </c>
      <c r="Y114" s="298" t="n">
        <v>774857</v>
      </c>
      <c r="Z114" s="299" t="n">
        <v>378813</v>
      </c>
      <c r="AA114" s="300" t="n">
        <v>396044</v>
      </c>
      <c r="AB114" s="300" t="n">
        <v>1837248</v>
      </c>
      <c r="AC114" s="585" t="n"/>
      <c r="AD114" s="311" t="n">
        <v>100765</v>
      </c>
      <c r="AE114" s="298" t="n">
        <v>0</v>
      </c>
      <c r="AF114" s="298" t="n">
        <v>0</v>
      </c>
      <c r="AG114" s="298" t="n">
        <v>0</v>
      </c>
      <c r="AH114" s="298" t="n">
        <v>0</v>
      </c>
      <c r="AI114" s="298" t="n"/>
      <c r="AJ114" s="298" t="n"/>
      <c r="AK114" s="56">
        <f>SUM(B103:B114)</f>
        <v/>
      </c>
      <c r="AL114" s="56" t="n"/>
      <c r="AM114" s="56">
        <f>SUM(C114:Y114)</f>
        <v/>
      </c>
      <c r="AN114" s="56">
        <f>AM114+AD114</f>
        <v/>
      </c>
    </row>
    <row r="115" ht="17" customHeight="1" thickBot="1">
      <c r="A115" s="297" t="n">
        <v>45078</v>
      </c>
      <c r="B115" s="298" t="n">
        <v>9164894</v>
      </c>
      <c r="C115" s="298" t="n">
        <v>3168628</v>
      </c>
      <c r="D115" s="298" t="n">
        <v>196368</v>
      </c>
      <c r="E115" s="298" t="n">
        <v>377740</v>
      </c>
      <c r="F115" s="298" t="n">
        <v>69220</v>
      </c>
      <c r="G115" s="298" t="n">
        <v>130018</v>
      </c>
      <c r="H115" s="298" t="n">
        <v>325721</v>
      </c>
      <c r="I115" s="298" t="n">
        <v>2088084</v>
      </c>
      <c r="J115" s="298" t="n">
        <v>221800</v>
      </c>
      <c r="K115" s="298" t="n">
        <v>56861</v>
      </c>
      <c r="L115" s="298" t="n">
        <v>153093</v>
      </c>
      <c r="M115" s="298" t="n"/>
      <c r="N115" s="298" t="n">
        <v>185045</v>
      </c>
      <c r="O115" s="298" t="n">
        <v>35804</v>
      </c>
      <c r="P115" s="298" t="n">
        <v>11908</v>
      </c>
      <c r="Q115" s="298" t="n">
        <v>63058</v>
      </c>
      <c r="R115" s="298" t="n"/>
      <c r="S115" s="298" t="n"/>
      <c r="T115" s="298" t="n">
        <v>0</v>
      </c>
      <c r="U115" s="298" t="n">
        <v>0</v>
      </c>
      <c r="V115" s="298" t="n">
        <v>309600</v>
      </c>
      <c r="W115" s="298" t="n">
        <v>197740</v>
      </c>
      <c r="X115" s="298" t="n">
        <v>654247</v>
      </c>
      <c r="Y115" s="298" t="n">
        <v>919959</v>
      </c>
      <c r="Z115" s="299" t="n">
        <v>338399</v>
      </c>
      <c r="AA115" s="300" t="n">
        <v>581560</v>
      </c>
      <c r="AB115" s="300" t="n">
        <v>2273129</v>
      </c>
      <c r="AC115" s="585" t="n"/>
      <c r="AD115" s="311" t="n">
        <v>122163</v>
      </c>
      <c r="AE115" s="298" t="n">
        <v>0</v>
      </c>
      <c r="AF115" s="298" t="n">
        <v>0</v>
      </c>
      <c r="AG115" s="298" t="n">
        <v>0</v>
      </c>
      <c r="AH115" s="298" t="n">
        <v>0</v>
      </c>
      <c r="AI115" s="298" t="n"/>
      <c r="AJ115" s="300" t="n"/>
      <c r="AK115" s="583">
        <f>SUM(B104:B115)</f>
        <v/>
      </c>
      <c r="AL115" s="584">
        <f>AK115+SUM(AD104:AD115)</f>
        <v/>
      </c>
      <c r="AM115" s="56">
        <f>SUM(C115:Y115)</f>
        <v/>
      </c>
      <c r="AN115" s="56">
        <f>AM115+AD115</f>
        <v/>
      </c>
    </row>
    <row r="116">
      <c r="A116" s="297" t="n">
        <v>45108</v>
      </c>
      <c r="B116" s="298" t="n">
        <v>8395978</v>
      </c>
      <c r="C116" s="298" t="n">
        <v>2247388</v>
      </c>
      <c r="D116" s="298" t="n">
        <v>231950</v>
      </c>
      <c r="E116" s="298" t="n">
        <v>401450</v>
      </c>
      <c r="F116" s="298" t="n">
        <v>66610</v>
      </c>
      <c r="G116" s="298" t="n">
        <v>124539</v>
      </c>
      <c r="H116" s="298" t="n">
        <v>366511</v>
      </c>
      <c r="I116" s="298" t="n">
        <v>2235244</v>
      </c>
      <c r="J116" s="298" t="n">
        <v>230400</v>
      </c>
      <c r="K116" s="298" t="n">
        <v>49612</v>
      </c>
      <c r="L116" s="298" t="n">
        <v>149108</v>
      </c>
      <c r="M116" s="298" t="n"/>
      <c r="N116" s="298" t="n">
        <v>186865</v>
      </c>
      <c r="O116" s="298" t="n">
        <v>43768</v>
      </c>
      <c r="P116" s="298" t="n">
        <v>14113</v>
      </c>
      <c r="Q116" s="298" t="n">
        <v>67884</v>
      </c>
      <c r="R116" s="298" t="n"/>
      <c r="S116" s="298" t="n"/>
      <c r="T116" s="298" t="n">
        <v>0</v>
      </c>
      <c r="U116" s="298" t="n">
        <v>0</v>
      </c>
      <c r="V116" s="298" t="n">
        <v>355700</v>
      </c>
      <c r="W116" s="298" t="n">
        <v>191240</v>
      </c>
      <c r="X116" s="298" t="n">
        <v>578961</v>
      </c>
      <c r="Y116" s="298" t="n">
        <v>854635</v>
      </c>
      <c r="Z116" s="299" t="n">
        <v>301258</v>
      </c>
      <c r="AA116" s="300" t="n">
        <v>553377</v>
      </c>
      <c r="AB116" s="300" t="n">
        <v>2422109</v>
      </c>
      <c r="AC116" s="585" t="n"/>
      <c r="AD116" s="311" t="n">
        <v>101445</v>
      </c>
      <c r="AE116" s="298" t="n">
        <v>0</v>
      </c>
      <c r="AF116" s="298" t="n">
        <v>0</v>
      </c>
      <c r="AG116" s="298" t="n">
        <v>0</v>
      </c>
      <c r="AH116" s="298" t="n">
        <v>0</v>
      </c>
      <c r="AI116" s="298" t="n"/>
      <c r="AJ116" s="298" t="n"/>
      <c r="AK116" s="56">
        <f>SUM(B105:B116)</f>
        <v/>
      </c>
      <c r="AL116" s="56" t="n"/>
      <c r="AM116" s="56">
        <f>SUM(C116:Y116)</f>
        <v/>
      </c>
      <c r="AN116" s="56">
        <f>AM116+AD116</f>
        <v/>
      </c>
    </row>
    <row r="117">
      <c r="A117" s="297" t="n">
        <v>45139</v>
      </c>
      <c r="B117" s="298" t="n">
        <v>10021052</v>
      </c>
      <c r="C117" s="298" t="n">
        <v>3687850</v>
      </c>
      <c r="D117" s="298" t="n">
        <v>212471</v>
      </c>
      <c r="E117" s="298" t="n">
        <v>386230</v>
      </c>
      <c r="F117" s="298" t="n">
        <v>63030</v>
      </c>
      <c r="G117" s="298" t="n">
        <v>123688</v>
      </c>
      <c r="H117" s="298" t="n">
        <v>315255</v>
      </c>
      <c r="I117" s="298" t="n">
        <v>2261709</v>
      </c>
      <c r="J117" s="298" t="n">
        <v>220600</v>
      </c>
      <c r="K117" s="298" t="n">
        <v>63082</v>
      </c>
      <c r="L117" s="298" t="n">
        <v>196791</v>
      </c>
      <c r="M117" s="298" t="n"/>
      <c r="N117" s="298" t="n">
        <v>245701</v>
      </c>
      <c r="O117" s="298" t="n">
        <v>33881</v>
      </c>
      <c r="P117" s="298" t="n">
        <v>12424</v>
      </c>
      <c r="Q117" s="298" t="n">
        <v>62895</v>
      </c>
      <c r="R117" s="298" t="n"/>
      <c r="S117" s="298" t="n"/>
      <c r="T117" s="298" t="n">
        <v>0</v>
      </c>
      <c r="U117" s="298" t="n">
        <v>0</v>
      </c>
      <c r="V117" s="298" t="n">
        <v>355100</v>
      </c>
      <c r="W117" s="298" t="n">
        <v>182220</v>
      </c>
      <c r="X117" s="298" t="n">
        <v>574170</v>
      </c>
      <c r="Y117" s="298" t="n">
        <v>1023955</v>
      </c>
      <c r="Z117" s="299" t="n">
        <v>353508</v>
      </c>
      <c r="AA117" s="300" t="n">
        <v>670447</v>
      </c>
      <c r="AB117" s="300" t="n">
        <v>2507410</v>
      </c>
      <c r="AC117" s="585" t="n"/>
      <c r="AD117" s="311" t="n">
        <v>132118</v>
      </c>
      <c r="AE117" s="298" t="n">
        <v>0</v>
      </c>
      <c r="AF117" s="298" t="n">
        <v>0</v>
      </c>
      <c r="AG117" s="298" t="n">
        <v>0</v>
      </c>
      <c r="AH117" s="298" t="n">
        <v>0</v>
      </c>
      <c r="AI117" s="298" t="n"/>
      <c r="AJ117" s="298" t="n"/>
      <c r="AK117" s="56">
        <f>SUM(B106:B117)</f>
        <v/>
      </c>
      <c r="AL117" s="56" t="n"/>
      <c r="AM117" s="56">
        <f>SUM(C117:Y117)</f>
        <v/>
      </c>
      <c r="AN117" s="56">
        <f>AM117+AD117</f>
        <v/>
      </c>
    </row>
    <row r="118">
      <c r="A118" s="297" t="n">
        <v>45170</v>
      </c>
      <c r="B118" s="298" t="n">
        <v>9234983</v>
      </c>
      <c r="C118" s="298" t="n">
        <v>3068198</v>
      </c>
      <c r="D118" s="298" t="n">
        <v>210702</v>
      </c>
      <c r="E118" s="298" t="n">
        <v>397330</v>
      </c>
      <c r="F118" s="298" t="n">
        <v>60020</v>
      </c>
      <c r="G118" s="298" t="n">
        <v>125072</v>
      </c>
      <c r="H118" s="298" t="n">
        <v>309832</v>
      </c>
      <c r="I118" s="298" t="n">
        <v>2087766</v>
      </c>
      <c r="J118" s="298" t="n">
        <v>228100</v>
      </c>
      <c r="K118" s="298" t="n">
        <v>48820</v>
      </c>
      <c r="L118" s="298" t="n">
        <v>133636</v>
      </c>
      <c r="M118" s="298" t="n"/>
      <c r="N118" s="298" t="n">
        <v>172602</v>
      </c>
      <c r="O118" s="298" t="n">
        <v>57403</v>
      </c>
      <c r="P118" s="298" t="n">
        <v>8392</v>
      </c>
      <c r="Q118" s="298" t="n">
        <v>58131</v>
      </c>
      <c r="R118" s="298" t="n"/>
      <c r="S118" s="298" t="n"/>
      <c r="T118" s="298" t="n">
        <v>0</v>
      </c>
      <c r="U118" s="298" t="n">
        <v>37989</v>
      </c>
      <c r="V118" s="298" t="n">
        <v>332800</v>
      </c>
      <c r="W118" s="298" t="n">
        <v>174560</v>
      </c>
      <c r="X118" s="298" t="n">
        <v>798145</v>
      </c>
      <c r="Y118" s="298" t="n">
        <v>925485</v>
      </c>
      <c r="Z118" s="299" t="n">
        <v>370944</v>
      </c>
      <c r="AA118" s="300" t="n">
        <v>554541</v>
      </c>
      <c r="AB118" s="300" t="n">
        <v>2260368</v>
      </c>
      <c r="AC118" s="585" t="n"/>
      <c r="AD118" s="311" t="n">
        <v>123050</v>
      </c>
      <c r="AE118" s="298" t="n">
        <v>0</v>
      </c>
      <c r="AF118" s="298" t="n">
        <v>0</v>
      </c>
      <c r="AG118" s="298" t="n">
        <v>0</v>
      </c>
      <c r="AH118" s="298" t="n">
        <v>0</v>
      </c>
      <c r="AI118" s="298" t="n"/>
      <c r="AJ118" s="298" t="n"/>
      <c r="AK118" s="56">
        <f>SUM(B107:B118)</f>
        <v/>
      </c>
      <c r="AL118" s="56" t="n"/>
      <c r="AM118" s="56">
        <f>SUM(C118:Y118)</f>
        <v/>
      </c>
      <c r="AN118" s="56">
        <f>AM118+AD118</f>
        <v/>
      </c>
    </row>
    <row r="119">
      <c r="A119" s="297" t="n">
        <v>45200</v>
      </c>
      <c r="B119" s="298" t="n">
        <v>8906994</v>
      </c>
      <c r="C119" s="298" t="n">
        <v>3472720</v>
      </c>
      <c r="D119" s="298" t="n">
        <v>209344</v>
      </c>
      <c r="E119" s="298" t="n">
        <v>401070</v>
      </c>
      <c r="F119" s="298" t="n">
        <v>60560</v>
      </c>
      <c r="G119" s="298" t="n">
        <v>130293</v>
      </c>
      <c r="H119" s="298" t="n">
        <v>330878</v>
      </c>
      <c r="I119" s="298" t="n">
        <v>1682178</v>
      </c>
      <c r="J119" s="298" t="n">
        <v>234800</v>
      </c>
      <c r="K119" s="298" t="n">
        <v>54006</v>
      </c>
      <c r="L119" s="298" t="n">
        <v>129915</v>
      </c>
      <c r="M119" s="298" t="n"/>
      <c r="N119" s="298" t="n">
        <v>161279</v>
      </c>
      <c r="O119" s="298" t="n">
        <v>30563</v>
      </c>
      <c r="P119" s="298" t="n">
        <v>6860</v>
      </c>
      <c r="Q119" s="298" t="n">
        <v>55225</v>
      </c>
      <c r="R119" s="298" t="n"/>
      <c r="S119" s="298" t="n"/>
      <c r="T119" s="298" t="n">
        <v>0</v>
      </c>
      <c r="U119" s="298" t="n">
        <v>37989</v>
      </c>
      <c r="V119" s="298" t="n">
        <v>273600</v>
      </c>
      <c r="W119" s="298" t="n">
        <v>141370</v>
      </c>
      <c r="X119" s="298" t="n">
        <v>695080</v>
      </c>
      <c r="Y119" s="298" t="n">
        <v>799264</v>
      </c>
      <c r="Z119" s="299" t="n">
        <v>377527</v>
      </c>
      <c r="AA119" s="300" t="n">
        <v>421737</v>
      </c>
      <c r="AB119" s="300" t="n">
        <v>1843457</v>
      </c>
      <c r="AC119" s="585" t="n"/>
      <c r="AD119" s="311" t="n">
        <v>129469</v>
      </c>
      <c r="AE119" s="298" t="n">
        <v>0</v>
      </c>
      <c r="AF119" s="298" t="n">
        <v>0</v>
      </c>
      <c r="AG119" s="298" t="n">
        <v>0</v>
      </c>
      <c r="AH119" s="298" t="n">
        <v>0</v>
      </c>
      <c r="AI119" s="298" t="n"/>
      <c r="AJ119" s="298" t="n"/>
      <c r="AK119" s="56">
        <f>SUM(B108:B119)</f>
        <v/>
      </c>
      <c r="AL119" s="56" t="n"/>
      <c r="AM119" s="56">
        <f>SUM(C119:Y119)</f>
        <v/>
      </c>
      <c r="AN119" s="56">
        <f>AM119+AD119</f>
        <v/>
      </c>
    </row>
    <row r="120">
      <c r="A120" s="297" t="n">
        <v>45231</v>
      </c>
      <c r="B120" s="298" t="n">
        <v>7592642</v>
      </c>
      <c r="C120" s="298" t="n">
        <v>3137873</v>
      </c>
      <c r="D120" s="298" t="n">
        <v>209208</v>
      </c>
      <c r="E120" s="298" t="n">
        <v>401387</v>
      </c>
      <c r="F120" s="298" t="n">
        <v>61030</v>
      </c>
      <c r="G120" s="298" t="n">
        <v>132665</v>
      </c>
      <c r="H120" s="298" t="n">
        <v>335333</v>
      </c>
      <c r="I120" s="298" t="n">
        <v>1145718</v>
      </c>
      <c r="J120" s="298" t="n">
        <v>240600</v>
      </c>
      <c r="K120" s="298" t="n">
        <v>52505</v>
      </c>
      <c r="L120" s="298" t="n">
        <v>114445</v>
      </c>
      <c r="M120" s="298" t="n"/>
      <c r="N120" s="298" t="n">
        <v>110214</v>
      </c>
      <c r="O120" s="298" t="n">
        <v>45235</v>
      </c>
      <c r="P120" s="298" t="n">
        <v>6132</v>
      </c>
      <c r="Q120" s="298" t="n">
        <v>48733</v>
      </c>
      <c r="R120" s="298" t="n"/>
      <c r="S120" s="298" t="n"/>
      <c r="T120" s="298" t="n">
        <v>0</v>
      </c>
      <c r="U120" s="298" t="n">
        <v>37989</v>
      </c>
      <c r="V120" s="298" t="n">
        <v>188800</v>
      </c>
      <c r="W120" s="298" t="n">
        <v>116120</v>
      </c>
      <c r="X120" s="298" t="n">
        <v>542826</v>
      </c>
      <c r="Y120" s="298" t="n">
        <v>665829</v>
      </c>
      <c r="Z120" s="299" t="n">
        <v>389105</v>
      </c>
      <c r="AA120" s="300" t="n">
        <v>276724</v>
      </c>
      <c r="AB120" s="300" t="n">
        <v>1255932</v>
      </c>
      <c r="AC120" s="585" t="n"/>
      <c r="AD120" s="311" t="n">
        <v>81480</v>
      </c>
      <c r="AE120" s="298" t="n">
        <v>0</v>
      </c>
      <c r="AF120" s="298" t="n">
        <v>0</v>
      </c>
      <c r="AG120" s="298" t="n">
        <v>0</v>
      </c>
      <c r="AH120" s="298" t="n">
        <v>0</v>
      </c>
      <c r="AI120" s="298" t="n"/>
      <c r="AJ120" s="298" t="n"/>
      <c r="AK120" s="56">
        <f>SUM(B109:B120)</f>
        <v/>
      </c>
      <c r="AL120" s="56" t="n"/>
      <c r="AM120" s="56">
        <f>SUM(C120:Y120)</f>
        <v/>
      </c>
      <c r="AN120" s="56">
        <f>AM120+AD120</f>
        <v/>
      </c>
    </row>
    <row r="121">
      <c r="A121" s="297" t="n">
        <v>45261</v>
      </c>
      <c r="B121" s="298" t="n">
        <v>6470056</v>
      </c>
      <c r="C121" s="298" t="n">
        <v>2881577</v>
      </c>
      <c r="D121" s="298" t="n">
        <v>187500</v>
      </c>
      <c r="E121" s="298" t="n">
        <v>362093</v>
      </c>
      <c r="F121" s="298" t="n">
        <v>58940</v>
      </c>
      <c r="G121" s="298" t="n">
        <v>141268</v>
      </c>
      <c r="H121" s="298" t="n">
        <v>297075</v>
      </c>
      <c r="I121" s="298" t="n">
        <v>760035</v>
      </c>
      <c r="J121" s="298" t="n">
        <v>205900</v>
      </c>
      <c r="K121" s="298" t="n">
        <v>47269</v>
      </c>
      <c r="L121" s="298" t="n">
        <v>92079</v>
      </c>
      <c r="M121" s="298" t="n"/>
      <c r="N121" s="298" t="n">
        <v>63014</v>
      </c>
      <c r="O121" s="298" t="n">
        <v>26483</v>
      </c>
      <c r="P121" s="298" t="n">
        <v>3860</v>
      </c>
      <c r="Q121" s="298" t="n">
        <v>40280</v>
      </c>
      <c r="R121" s="298" t="n"/>
      <c r="S121" s="298" t="n"/>
      <c r="T121" s="298" t="n">
        <v>0</v>
      </c>
      <c r="U121" s="298" t="n">
        <v>37989</v>
      </c>
      <c r="V121" s="298" t="n">
        <v>157500</v>
      </c>
      <c r="W121" s="298" t="n">
        <v>102910</v>
      </c>
      <c r="X121" s="298" t="n">
        <v>423456</v>
      </c>
      <c r="Y121" s="298" t="n">
        <v>580828</v>
      </c>
      <c r="Z121" s="299" t="n">
        <v>332453</v>
      </c>
      <c r="AA121" s="300" t="n">
        <v>248375</v>
      </c>
      <c r="AB121" s="300" t="n">
        <v>823049</v>
      </c>
      <c r="AC121" s="585" t="n"/>
      <c r="AD121" s="311" t="n">
        <v>61721</v>
      </c>
      <c r="AE121" s="298" t="n">
        <v>0</v>
      </c>
      <c r="AF121" s="298" t="n">
        <v>0</v>
      </c>
      <c r="AG121" s="298" t="n">
        <v>0</v>
      </c>
      <c r="AH121" s="298" t="n">
        <v>0</v>
      </c>
      <c r="AI121" s="298" t="n"/>
      <c r="AJ121" s="298" t="n"/>
      <c r="AK121" s="56">
        <f>SUM(B110:B121)</f>
        <v/>
      </c>
      <c r="AL121" s="56" t="n"/>
      <c r="AM121" s="56">
        <f>SUM(C121:Y121)</f>
        <v/>
      </c>
      <c r="AN121" s="56">
        <f>AM121+AD121</f>
        <v/>
      </c>
    </row>
    <row r="122">
      <c r="A122" s="282" t="n">
        <v>45292</v>
      </c>
      <c r="B122" s="284" t="n">
        <v>6692267</v>
      </c>
      <c r="C122" s="284" t="n">
        <v>3287729</v>
      </c>
      <c r="D122" s="284" t="n">
        <v>208974</v>
      </c>
      <c r="E122" s="284" t="n">
        <v>396860</v>
      </c>
      <c r="F122" s="284" t="n">
        <v>58410</v>
      </c>
      <c r="G122" s="284" t="n">
        <v>149803</v>
      </c>
      <c r="H122" s="284" t="n">
        <v>338199</v>
      </c>
      <c r="I122" s="284" t="n">
        <v>578170</v>
      </c>
      <c r="J122" s="284" t="n">
        <v>227300</v>
      </c>
      <c r="K122" s="284" t="n">
        <v>41306</v>
      </c>
      <c r="L122" s="284" t="n">
        <v>88012</v>
      </c>
      <c r="M122" s="284" t="n"/>
      <c r="N122" s="284" t="n">
        <v>40751</v>
      </c>
      <c r="O122" s="284" t="n">
        <v>27266</v>
      </c>
      <c r="P122" s="284" t="n">
        <v>4854</v>
      </c>
      <c r="Q122" s="284" t="n">
        <v>43154</v>
      </c>
      <c r="R122" s="284" t="n"/>
      <c r="S122" s="284" t="n"/>
      <c r="T122" s="284" t="n">
        <v>0</v>
      </c>
      <c r="U122" s="284" t="n">
        <v>40620</v>
      </c>
      <c r="V122" s="284" t="n">
        <v>142000</v>
      </c>
      <c r="W122" s="284" t="n">
        <v>110960</v>
      </c>
      <c r="X122" s="284" t="n">
        <v>290247</v>
      </c>
      <c r="Y122" s="284" t="n">
        <v>617652</v>
      </c>
      <c r="Z122" s="285" t="n">
        <v>349422</v>
      </c>
      <c r="AA122" s="289" t="n">
        <v>268230</v>
      </c>
      <c r="AB122" s="289" t="n">
        <v>618921</v>
      </c>
      <c r="AC122" s="585" t="n"/>
      <c r="AD122" s="306" t="n">
        <v>41708</v>
      </c>
      <c r="AE122" s="284" t="n">
        <v>0</v>
      </c>
      <c r="AF122" s="284" t="n">
        <v>0</v>
      </c>
      <c r="AG122" s="284" t="n">
        <v>0</v>
      </c>
      <c r="AH122" s="284" t="n">
        <v>0</v>
      </c>
      <c r="AI122" s="284" t="n"/>
      <c r="AJ122" s="284" t="n"/>
      <c r="AK122" s="56">
        <f>SUM(B111:B122)</f>
        <v/>
      </c>
      <c r="AL122" s="56" t="n"/>
      <c r="AM122" s="56">
        <f>SUM(C122:Y122)</f>
        <v/>
      </c>
      <c r="AN122" s="56">
        <f>AM122+AD122</f>
        <v/>
      </c>
    </row>
    <row r="123">
      <c r="A123" s="282" t="n">
        <v>45323</v>
      </c>
      <c r="B123" s="284" t="n">
        <v>6654580</v>
      </c>
      <c r="C123" s="284" t="n">
        <v>3141372</v>
      </c>
      <c r="D123" s="284" t="n">
        <v>237623</v>
      </c>
      <c r="E123" s="284" t="n">
        <v>372509</v>
      </c>
      <c r="F123" s="284" t="n">
        <v>58160</v>
      </c>
      <c r="G123" s="284" t="n">
        <v>126061</v>
      </c>
      <c r="H123" s="284" t="n">
        <v>326079</v>
      </c>
      <c r="I123" s="284" t="n">
        <v>682091</v>
      </c>
      <c r="J123" s="284" t="n">
        <v>216300</v>
      </c>
      <c r="K123" s="284" t="n">
        <v>38954</v>
      </c>
      <c r="L123" s="284" t="n">
        <v>71168</v>
      </c>
      <c r="M123" s="284" t="n"/>
      <c r="N123" s="284" t="n">
        <v>59396</v>
      </c>
      <c r="O123" s="284" t="n">
        <v>28310</v>
      </c>
      <c r="P123" s="284" t="n">
        <v>4703</v>
      </c>
      <c r="Q123" s="284" t="n">
        <v>39420</v>
      </c>
      <c r="R123" s="284" t="n"/>
      <c r="S123" s="284" t="n">
        <v>1879</v>
      </c>
      <c r="T123" s="284" t="n">
        <v>0</v>
      </c>
      <c r="U123" s="284" t="n">
        <v>59861</v>
      </c>
      <c r="V123" s="284" t="n">
        <v>136800</v>
      </c>
      <c r="W123" s="284" t="n">
        <v>90700</v>
      </c>
      <c r="X123" s="284" t="n">
        <v>359002</v>
      </c>
      <c r="Y123" s="284" t="n">
        <v>604192</v>
      </c>
      <c r="Z123" s="283" t="n">
        <v>351548</v>
      </c>
      <c r="AA123" s="283" t="n">
        <v>252644</v>
      </c>
      <c r="AB123" s="283" t="n">
        <v>741487</v>
      </c>
      <c r="AC123" s="587" t="n"/>
      <c r="AD123" s="306" t="n">
        <v>58086</v>
      </c>
      <c r="AE123" s="284" t="n">
        <v>0</v>
      </c>
      <c r="AF123" s="284" t="n">
        <v>0</v>
      </c>
      <c r="AG123" s="284" t="n">
        <v>0</v>
      </c>
      <c r="AH123" s="284" t="n">
        <v>0</v>
      </c>
      <c r="AI123" s="284" t="n"/>
      <c r="AJ123" s="284" t="n"/>
      <c r="AK123" s="56">
        <f>SUM(B112:B123)</f>
        <v/>
      </c>
      <c r="AL123" s="56" t="n"/>
      <c r="AM123" s="56">
        <f>SUM(C123:Y123)</f>
        <v/>
      </c>
      <c r="AN123" s="56">
        <f>AM123+AD123</f>
        <v/>
      </c>
    </row>
    <row r="124">
      <c r="A124" s="282" t="n">
        <v>45352</v>
      </c>
      <c r="B124" s="284" t="n">
        <v>6611330</v>
      </c>
      <c r="C124" s="284" t="n">
        <v>2763966</v>
      </c>
      <c r="D124" s="284" t="n">
        <v>160809</v>
      </c>
      <c r="E124" s="284" t="n">
        <v>367021</v>
      </c>
      <c r="F124" s="284" t="n">
        <v>57060</v>
      </c>
      <c r="G124" s="284" t="n">
        <v>139733</v>
      </c>
      <c r="H124" s="284" t="n">
        <v>295189</v>
      </c>
      <c r="I124" s="284" t="n">
        <v>921046</v>
      </c>
      <c r="J124" s="284" t="n">
        <v>217900</v>
      </c>
      <c r="K124" s="284" t="n">
        <v>42295</v>
      </c>
      <c r="L124" s="284" t="n">
        <v>88712</v>
      </c>
      <c r="M124" s="284" t="n"/>
      <c r="N124" s="284" t="n">
        <v>72772</v>
      </c>
      <c r="O124" s="284" t="n">
        <v>31071</v>
      </c>
      <c r="P124" s="284" t="n">
        <v>4856</v>
      </c>
      <c r="Q124" s="284" t="n">
        <v>38008</v>
      </c>
      <c r="R124" s="284" t="n"/>
      <c r="S124" s="284" t="n">
        <v>5290</v>
      </c>
      <c r="T124" s="284" t="n">
        <v>0</v>
      </c>
      <c r="U124" s="284" t="n">
        <v>64137</v>
      </c>
      <c r="V124" s="284" t="n">
        <v>190100</v>
      </c>
      <c r="W124" s="284" t="n">
        <v>115360</v>
      </c>
      <c r="X124" s="284" t="n">
        <v>416757</v>
      </c>
      <c r="Y124" s="284" t="n">
        <v>619248</v>
      </c>
      <c r="Z124" s="283" t="n">
        <v>350051</v>
      </c>
      <c r="AA124" s="283" t="n">
        <v>269197</v>
      </c>
      <c r="AB124" s="283" t="n">
        <v>993818</v>
      </c>
      <c r="AC124" s="587" t="n"/>
      <c r="AD124" s="306" t="n">
        <v>67798</v>
      </c>
      <c r="AE124" s="284" t="n">
        <v>0</v>
      </c>
      <c r="AF124" s="284" t="n">
        <v>0</v>
      </c>
      <c r="AG124" s="284" t="n">
        <v>0</v>
      </c>
      <c r="AH124" s="284" t="n">
        <v>0</v>
      </c>
      <c r="AI124" s="284" t="n"/>
      <c r="AJ124" s="284" t="n"/>
      <c r="AK124" s="56">
        <f>SUM(B113:B124)</f>
        <v/>
      </c>
      <c r="AL124" s="56" t="n"/>
      <c r="AM124" s="56">
        <f>SUM(C124:Y124)</f>
        <v/>
      </c>
      <c r="AN124" s="56">
        <f>AM124+AD124</f>
        <v/>
      </c>
    </row>
    <row r="125">
      <c r="A125" s="282" t="n">
        <v>45383</v>
      </c>
      <c r="B125" s="284" t="n">
        <v>9041985</v>
      </c>
      <c r="C125" s="284" t="n">
        <v>3471953</v>
      </c>
      <c r="D125" s="284" t="n">
        <v>222022</v>
      </c>
      <c r="E125" s="284" t="n">
        <v>452750</v>
      </c>
      <c r="F125" s="284" t="n">
        <v>70170</v>
      </c>
      <c r="G125" s="284" t="n">
        <v>148209</v>
      </c>
      <c r="H125" s="284" t="n">
        <v>383286</v>
      </c>
      <c r="I125" s="284" t="n">
        <v>1608077</v>
      </c>
      <c r="J125" s="284" t="n">
        <v>248500</v>
      </c>
      <c r="K125" s="284" t="n">
        <v>48452</v>
      </c>
      <c r="L125" s="284" t="n">
        <v>116672</v>
      </c>
      <c r="M125" s="284" t="n"/>
      <c r="N125" s="284" t="n">
        <v>116582</v>
      </c>
      <c r="O125" s="284" t="n">
        <v>52517</v>
      </c>
      <c r="P125" s="284" t="n">
        <v>6798</v>
      </c>
      <c r="Q125" s="284" t="n">
        <v>68967</v>
      </c>
      <c r="R125" s="284" t="n"/>
      <c r="S125" s="284" t="n">
        <v>7974</v>
      </c>
      <c r="T125" s="284" t="n">
        <v>0</v>
      </c>
      <c r="U125" s="284" t="n">
        <v>66275</v>
      </c>
      <c r="V125" s="284" t="n">
        <v>273800</v>
      </c>
      <c r="W125" s="284" t="n">
        <v>163640</v>
      </c>
      <c r="X125" s="284" t="n">
        <v>674790</v>
      </c>
      <c r="Y125" s="284" t="n">
        <v>840552</v>
      </c>
      <c r="Z125" s="283" t="n">
        <v>399926</v>
      </c>
      <c r="AA125" s="283" t="n">
        <v>440626</v>
      </c>
      <c r="AB125" s="283" t="n">
        <v>1724659</v>
      </c>
      <c r="AC125" s="587" t="n"/>
      <c r="AD125" s="306" t="n">
        <v>94741</v>
      </c>
      <c r="AE125" s="284" t="n">
        <v>0</v>
      </c>
      <c r="AF125" s="284" t="n">
        <v>0</v>
      </c>
      <c r="AG125" s="284" t="n">
        <v>0</v>
      </c>
      <c r="AH125" s="284" t="n">
        <v>0</v>
      </c>
      <c r="AI125" s="284" t="n"/>
      <c r="AJ125" s="284" t="n"/>
      <c r="AK125" s="56">
        <f>SUM(B114:B125)</f>
        <v/>
      </c>
      <c r="AL125" s="56" t="n"/>
      <c r="AM125" s="56">
        <f>SUM(C125:Y125)</f>
        <v/>
      </c>
      <c r="AN125" s="56">
        <f>AM125+AD125</f>
        <v/>
      </c>
    </row>
    <row r="126" ht="17" customHeight="1" thickBot="1">
      <c r="A126" s="282" t="n">
        <v>45413</v>
      </c>
      <c r="B126" s="284" t="n">
        <v>8421191</v>
      </c>
      <c r="C126" s="284" t="n">
        <v>3058697</v>
      </c>
      <c r="D126" s="284" t="n">
        <v>207943</v>
      </c>
      <c r="E126" s="284" t="n">
        <v>410970</v>
      </c>
      <c r="F126" s="284" t="n">
        <v>62210</v>
      </c>
      <c r="G126" s="284" t="n">
        <v>134017</v>
      </c>
      <c r="H126" s="284" t="n">
        <v>334772</v>
      </c>
      <c r="I126" s="284" t="n">
        <v>1626912</v>
      </c>
      <c r="J126" s="284" t="n">
        <v>231500</v>
      </c>
      <c r="K126" s="284" t="n">
        <v>42471</v>
      </c>
      <c r="L126" s="284" t="n">
        <v>113551</v>
      </c>
      <c r="M126" s="284" t="n"/>
      <c r="N126" s="284" t="n">
        <v>101590</v>
      </c>
      <c r="O126" s="284" t="n">
        <v>52658</v>
      </c>
      <c r="P126" s="284" t="n">
        <v>7342</v>
      </c>
      <c r="Q126" s="284" t="n">
        <v>56046</v>
      </c>
      <c r="R126" s="284" t="n"/>
      <c r="S126" s="284" t="n">
        <v>10102</v>
      </c>
      <c r="T126" s="284" t="n">
        <v>0</v>
      </c>
      <c r="U126" s="284" t="n">
        <v>66275</v>
      </c>
      <c r="V126" s="284" t="n">
        <v>278100</v>
      </c>
      <c r="W126" s="284" t="n">
        <v>144060</v>
      </c>
      <c r="X126" s="284" t="n">
        <v>712034</v>
      </c>
      <c r="Y126" s="284" t="n">
        <v>769941</v>
      </c>
      <c r="Z126" s="283" t="n">
        <v>380344</v>
      </c>
      <c r="AA126" s="283" t="n">
        <v>389597</v>
      </c>
      <c r="AB126" s="283" t="n">
        <v>1728502</v>
      </c>
      <c r="AC126" s="587" t="n"/>
      <c r="AD126" s="306" t="n">
        <v>107822</v>
      </c>
      <c r="AE126" s="284" t="n">
        <v>0</v>
      </c>
      <c r="AF126" s="284" t="n">
        <v>0</v>
      </c>
      <c r="AG126" s="284" t="n">
        <v>0</v>
      </c>
      <c r="AH126" s="284" t="n">
        <v>0</v>
      </c>
      <c r="AI126" s="284" t="n">
        <v>25801</v>
      </c>
      <c r="AJ126" s="284" t="n"/>
      <c r="AK126" s="56">
        <f>SUM(B115:B126)</f>
        <v/>
      </c>
      <c r="AL126" s="56" t="n"/>
      <c r="AM126" s="56">
        <f>SUM(C126:Y126)</f>
        <v/>
      </c>
      <c r="AN126" s="56">
        <f>AM126+AD126</f>
        <v/>
      </c>
    </row>
    <row r="127" ht="17" customHeight="1" thickBot="1">
      <c r="A127" s="282" t="n">
        <v>45444</v>
      </c>
      <c r="B127" s="284" t="n">
        <v>8666283</v>
      </c>
      <c r="C127" s="284" t="n">
        <v>2717512</v>
      </c>
      <c r="D127" s="284" t="n">
        <v>214754</v>
      </c>
      <c r="E127" s="284" t="n">
        <v>396960</v>
      </c>
      <c r="F127" s="284" t="n">
        <v>57110</v>
      </c>
      <c r="G127" s="284" t="n">
        <v>127748</v>
      </c>
      <c r="H127" s="284" t="n">
        <v>329649</v>
      </c>
      <c r="I127" s="284" t="n">
        <v>2083326</v>
      </c>
      <c r="J127" s="284" t="n">
        <v>211700</v>
      </c>
      <c r="K127" s="284" t="n">
        <v>59734</v>
      </c>
      <c r="L127" s="284" t="n">
        <v>167321</v>
      </c>
      <c r="M127" s="284" t="n"/>
      <c r="N127" s="284" t="n">
        <v>166930</v>
      </c>
      <c r="O127" s="284" t="n">
        <v>44227</v>
      </c>
      <c r="P127" s="284" t="n">
        <v>8040</v>
      </c>
      <c r="Q127" s="284" t="n">
        <v>63275</v>
      </c>
      <c r="R127" s="284" t="n"/>
      <c r="S127" s="284" t="n">
        <v>10738</v>
      </c>
      <c r="T127" s="284" t="n">
        <v>0</v>
      </c>
      <c r="U127" s="284" t="n">
        <v>64137</v>
      </c>
      <c r="V127" s="284" t="n">
        <v>353300</v>
      </c>
      <c r="W127" s="284" t="n">
        <v>169890</v>
      </c>
      <c r="X127" s="284" t="n">
        <v>539097</v>
      </c>
      <c r="Y127" s="284" t="n">
        <v>880835</v>
      </c>
      <c r="Z127" s="283" t="n">
        <v>335002</v>
      </c>
      <c r="AA127" s="283" t="n">
        <v>545833</v>
      </c>
      <c r="AB127" s="283" t="n">
        <v>2250256</v>
      </c>
      <c r="AC127" s="587" t="n"/>
      <c r="AD127" s="306" t="n">
        <v>95744</v>
      </c>
      <c r="AE127" s="284" t="n">
        <v>0</v>
      </c>
      <c r="AF127" s="284" t="n">
        <v>0</v>
      </c>
      <c r="AG127" s="284" t="n">
        <v>0</v>
      </c>
      <c r="AH127" s="284" t="n">
        <v>0</v>
      </c>
      <c r="AI127" s="284" t="n">
        <v>13248</v>
      </c>
      <c r="AJ127" s="289" t="n">
        <v>318</v>
      </c>
      <c r="AK127" s="583">
        <f>SUM(B116:B127)</f>
        <v/>
      </c>
      <c r="AL127" s="584">
        <f>AK127+SUM(AD116:AD127)</f>
        <v/>
      </c>
      <c r="AM127" s="56">
        <f>SUM(C127:Y127)</f>
        <v/>
      </c>
      <c r="AN127" s="56">
        <f>AM127+AD127</f>
        <v/>
      </c>
    </row>
    <row r="128">
      <c r="A128" s="282" t="n">
        <v>45474</v>
      </c>
      <c r="B128" s="284" t="n">
        <v>10350803</v>
      </c>
      <c r="C128" s="284" t="n">
        <v>3299350</v>
      </c>
      <c r="D128" s="284" t="n">
        <v>312619</v>
      </c>
      <c r="E128" s="284" t="n">
        <v>452350</v>
      </c>
      <c r="F128" s="284" t="n">
        <v>57810</v>
      </c>
      <c r="G128" s="284" t="n">
        <v>138033</v>
      </c>
      <c r="H128" s="284" t="n">
        <v>365868</v>
      </c>
      <c r="I128" s="284" t="n">
        <v>2536101</v>
      </c>
      <c r="J128" s="284" t="n">
        <v>242000</v>
      </c>
      <c r="K128" s="284" t="n">
        <v>49635</v>
      </c>
      <c r="L128" s="284" t="n">
        <v>148622</v>
      </c>
      <c r="M128" s="284" t="n"/>
      <c r="N128" s="284" t="n">
        <v>146460</v>
      </c>
      <c r="O128" s="284" t="n">
        <v>54600</v>
      </c>
      <c r="P128" s="284" t="n">
        <v>11806</v>
      </c>
      <c r="Q128" s="284" t="n">
        <v>75700</v>
      </c>
      <c r="R128" s="284" t="n"/>
      <c r="S128" s="284" t="n">
        <v>12602</v>
      </c>
      <c r="T128" s="284" t="n">
        <v>0</v>
      </c>
      <c r="U128" s="284" t="n">
        <v>66275</v>
      </c>
      <c r="V128" s="284" t="n">
        <v>407800</v>
      </c>
      <c r="W128" s="284" t="n">
        <v>212120</v>
      </c>
      <c r="X128" s="284" t="n">
        <v>696785</v>
      </c>
      <c r="Y128" s="284" t="n">
        <v>1064267</v>
      </c>
      <c r="Z128" s="284" t="n">
        <v>365544</v>
      </c>
      <c r="AA128" s="284" t="n">
        <v>698723</v>
      </c>
      <c r="AB128" s="284" t="n">
        <v>2682561</v>
      </c>
      <c r="AC128" s="588" t="n"/>
      <c r="AD128" s="284" t="n">
        <v>106600</v>
      </c>
      <c r="AE128" s="284" t="n">
        <v>69045</v>
      </c>
      <c r="AF128" s="284" t="n">
        <v>1329</v>
      </c>
      <c r="AG128" s="284" t="n">
        <v>0</v>
      </c>
      <c r="AH128" s="284" t="n">
        <v>0</v>
      </c>
      <c r="AI128" s="284" t="n">
        <v>11258</v>
      </c>
      <c r="AJ128" s="284" t="n">
        <v>7737</v>
      </c>
      <c r="AK128" s="56">
        <f>SUM(B117:B128)</f>
        <v/>
      </c>
      <c r="AL128" s="56" t="n"/>
      <c r="AM128" s="56">
        <f>SUM(C128:Y128)</f>
        <v/>
      </c>
      <c r="AN128" s="56">
        <f>AM128+AD128</f>
        <v/>
      </c>
    </row>
    <row r="129">
      <c r="A129" s="282" t="n">
        <v>45505</v>
      </c>
      <c r="B129" s="284" t="n">
        <v>9800377</v>
      </c>
      <c r="C129" s="284" t="n">
        <v>3045342</v>
      </c>
      <c r="D129" s="284" t="n">
        <v>304855</v>
      </c>
      <c r="E129" s="284" t="n">
        <v>430560</v>
      </c>
      <c r="F129" s="284" t="n">
        <v>59070</v>
      </c>
      <c r="G129" s="284" t="n">
        <v>135560</v>
      </c>
      <c r="H129" s="284" t="n">
        <v>358699</v>
      </c>
      <c r="I129" s="284" t="n">
        <v>2339192</v>
      </c>
      <c r="J129" s="284" t="n">
        <v>245100</v>
      </c>
      <c r="K129" s="284" t="n">
        <v>56920</v>
      </c>
      <c r="L129" s="284" t="n">
        <v>181289</v>
      </c>
      <c r="M129" s="284" t="n"/>
      <c r="N129" s="284" t="n">
        <v>171979</v>
      </c>
      <c r="O129" s="284" t="n">
        <v>54131</v>
      </c>
      <c r="P129" s="284" t="n">
        <v>14358</v>
      </c>
      <c r="Q129" s="284" t="n">
        <v>66652</v>
      </c>
      <c r="R129" s="284" t="n"/>
      <c r="S129" s="284" t="n">
        <v>12862</v>
      </c>
      <c r="T129" s="284" t="n">
        <v>0</v>
      </c>
      <c r="U129" s="284" t="n">
        <v>66275</v>
      </c>
      <c r="V129" s="284" t="n">
        <v>395600</v>
      </c>
      <c r="W129" s="284" t="n">
        <v>180530</v>
      </c>
      <c r="X129" s="284" t="n">
        <v>656280</v>
      </c>
      <c r="Y129" s="284" t="n">
        <v>1025123</v>
      </c>
      <c r="Z129" s="284" t="n">
        <v>369772</v>
      </c>
      <c r="AA129" s="284" t="n">
        <v>655351</v>
      </c>
      <c r="AB129" s="284" t="n">
        <v>2511171</v>
      </c>
      <c r="AC129" s="588" t="n"/>
      <c r="AD129" s="284" t="n">
        <v>84306</v>
      </c>
      <c r="AE129" s="284" t="n">
        <v>69331</v>
      </c>
      <c r="AF129" s="284" t="n">
        <v>1335</v>
      </c>
      <c r="AG129" s="284" t="n">
        <v>0</v>
      </c>
      <c r="AH129" s="284" t="n">
        <v>0</v>
      </c>
      <c r="AI129" s="284" t="n">
        <v>8509</v>
      </c>
      <c r="AJ129" s="284" t="n">
        <v>17199</v>
      </c>
      <c r="AK129" s="56">
        <f>SUM(B118:B129)</f>
        <v/>
      </c>
      <c r="AL129" s="56" t="n"/>
      <c r="AM129" s="56">
        <f>SUM(C129:Y129)</f>
        <v/>
      </c>
      <c r="AN129" s="56">
        <f>AM129+AD129</f>
        <v/>
      </c>
    </row>
    <row r="130">
      <c r="A130" s="282" t="n">
        <v>45536</v>
      </c>
      <c r="B130" s="284" t="n">
        <v>10205357</v>
      </c>
      <c r="C130" s="284">
        <f>B130-SUM(D130:Y130)</f>
        <v/>
      </c>
      <c r="D130" s="284" t="n">
        <v>339702</v>
      </c>
      <c r="E130" s="284" t="n">
        <v>411230</v>
      </c>
      <c r="F130" s="284" t="n">
        <v>59690</v>
      </c>
      <c r="G130" s="284" t="n">
        <v>133432</v>
      </c>
      <c r="H130" s="284" t="n">
        <v>360327</v>
      </c>
      <c r="I130" s="284" t="n">
        <v>2259366</v>
      </c>
      <c r="J130" s="284" t="n">
        <v>247100</v>
      </c>
      <c r="K130" s="284" t="n">
        <v>52628</v>
      </c>
      <c r="L130" s="284" t="n">
        <v>163882</v>
      </c>
      <c r="M130" s="284" t="n"/>
      <c r="N130" s="284" t="n">
        <v>166126</v>
      </c>
      <c r="O130" s="284" t="n">
        <v>50830</v>
      </c>
      <c r="P130" s="284" t="n">
        <v>11481</v>
      </c>
      <c r="Q130" s="284" t="n">
        <v>70316</v>
      </c>
      <c r="R130" s="284" t="n"/>
      <c r="S130" s="284" t="n">
        <v>15342</v>
      </c>
      <c r="T130" s="284" t="n">
        <v>0</v>
      </c>
      <c r="U130" s="284" t="n">
        <v>77142</v>
      </c>
      <c r="V130" s="284" t="n">
        <v>395100</v>
      </c>
      <c r="W130" s="284" t="n">
        <v>199630</v>
      </c>
      <c r="X130" s="284" t="n">
        <v>847948</v>
      </c>
      <c r="Y130" s="284" t="n">
        <v>1057385</v>
      </c>
      <c r="Z130" s="284" t="n">
        <v>418704</v>
      </c>
      <c r="AA130" s="284" t="n">
        <v>638681</v>
      </c>
      <c r="AB130" s="284" t="n">
        <v>2425492</v>
      </c>
      <c r="AC130" s="588" t="n"/>
      <c r="AD130" s="284" t="n">
        <v>117909</v>
      </c>
      <c r="AE130" s="284" t="n">
        <v>92614</v>
      </c>
      <c r="AF130" s="284" t="n">
        <v>1782</v>
      </c>
      <c r="AG130" s="284" t="n">
        <v>0</v>
      </c>
      <c r="AH130" s="284" t="n">
        <v>0</v>
      </c>
      <c r="AI130" s="284" t="n">
        <v>9978</v>
      </c>
      <c r="AJ130" s="284" t="n">
        <v>13862</v>
      </c>
      <c r="AK130" s="56">
        <f>SUM(B119:B130)</f>
        <v/>
      </c>
      <c r="AL130" s="56" t="n"/>
      <c r="AM130" s="56">
        <f>SUM(C130:Y130)</f>
        <v/>
      </c>
      <c r="AN130" s="56">
        <f>AM130+AD130</f>
        <v/>
      </c>
    </row>
    <row r="131">
      <c r="A131" s="282" t="n">
        <v>45566</v>
      </c>
      <c r="B131" s="284" t="n">
        <v>8850727</v>
      </c>
      <c r="C131" s="284" t="n">
        <v>3180284</v>
      </c>
      <c r="D131" s="284" t="n">
        <v>351255</v>
      </c>
      <c r="E131" s="284" t="n">
        <v>410000</v>
      </c>
      <c r="F131" s="284" t="n">
        <v>58020</v>
      </c>
      <c r="G131" s="284" t="n">
        <v>124872</v>
      </c>
      <c r="H131" s="284" t="n">
        <v>358234</v>
      </c>
      <c r="I131" s="284" t="n">
        <v>1681166</v>
      </c>
      <c r="J131" s="284" t="n">
        <v>251900</v>
      </c>
      <c r="K131" s="284" t="n">
        <v>45340</v>
      </c>
      <c r="L131" s="284" t="n">
        <v>117930</v>
      </c>
      <c r="M131" s="284" t="n"/>
      <c r="N131" s="284" t="n">
        <v>120288</v>
      </c>
      <c r="O131" s="284" t="n">
        <v>41251</v>
      </c>
      <c r="P131" s="284" t="n">
        <v>8886</v>
      </c>
      <c r="Q131" s="284" t="n">
        <v>57947</v>
      </c>
      <c r="R131" s="284" t="n"/>
      <c r="S131" s="284" t="n">
        <v>12002</v>
      </c>
      <c r="T131" s="284" t="n">
        <v>0</v>
      </c>
      <c r="U131" s="284" t="n">
        <v>77913</v>
      </c>
      <c r="V131" s="284" t="n">
        <v>290300</v>
      </c>
      <c r="W131" s="284" t="n">
        <v>125116</v>
      </c>
      <c r="X131" s="284" t="n">
        <v>702498</v>
      </c>
      <c r="Y131" s="284" t="n">
        <v>835525</v>
      </c>
      <c r="Z131" s="284" t="n">
        <v>413057</v>
      </c>
      <c r="AA131" s="284" t="n">
        <v>422468</v>
      </c>
      <c r="AB131" s="284" t="n">
        <v>1801454</v>
      </c>
      <c r="AC131" s="588" t="n"/>
      <c r="AD131" s="284" t="n">
        <v>130326</v>
      </c>
      <c r="AE131" s="284" t="n">
        <v>113338</v>
      </c>
      <c r="AF131" s="284" t="n">
        <v>2182</v>
      </c>
      <c r="AG131" s="284" t="n">
        <v>0</v>
      </c>
      <c r="AH131" s="284" t="n">
        <v>0</v>
      </c>
      <c r="AI131" s="284" t="n">
        <v>10622</v>
      </c>
      <c r="AJ131" s="284" t="n">
        <v>23633</v>
      </c>
      <c r="AK131" s="56">
        <f>SUM(B120:B131)</f>
        <v/>
      </c>
      <c r="AL131" s="56" t="n"/>
      <c r="AM131" s="56">
        <f>SUM(C131:Y131)</f>
        <v/>
      </c>
      <c r="AN131" s="56">
        <f>AM131+AD131</f>
        <v/>
      </c>
    </row>
    <row r="132">
      <c r="A132" s="282" t="n">
        <v>45597</v>
      </c>
      <c r="B132" s="284" t="n">
        <v>8264525</v>
      </c>
      <c r="C132" s="284" t="n">
        <v>3359311</v>
      </c>
      <c r="D132" s="284" t="n">
        <v>514384</v>
      </c>
      <c r="E132" s="284" t="n">
        <v>386500</v>
      </c>
      <c r="F132" s="284" t="n">
        <v>60720</v>
      </c>
      <c r="G132" s="284" t="n">
        <v>119609</v>
      </c>
      <c r="H132" s="284" t="n">
        <v>328006</v>
      </c>
      <c r="I132" s="284" t="n">
        <v>1208974</v>
      </c>
      <c r="J132" s="284" t="n">
        <v>241600</v>
      </c>
      <c r="K132" s="284" t="n">
        <v>54146</v>
      </c>
      <c r="L132" s="284" t="n">
        <v>116907</v>
      </c>
      <c r="M132" s="284" t="n"/>
      <c r="N132" s="284" t="n">
        <v>108966</v>
      </c>
      <c r="O132" s="284" t="n">
        <v>51180</v>
      </c>
      <c r="P132" s="284" t="n">
        <v>6866</v>
      </c>
      <c r="Q132" s="284" t="n">
        <v>46415</v>
      </c>
      <c r="R132" s="284" t="n"/>
      <c r="S132" s="284" t="n">
        <v>5447</v>
      </c>
      <c r="T132" s="284" t="n">
        <v>0</v>
      </c>
      <c r="U132" s="284" t="n">
        <v>77142</v>
      </c>
      <c r="V132" s="284" t="n">
        <v>201885</v>
      </c>
      <c r="W132" s="284" t="n">
        <v>128564</v>
      </c>
      <c r="X132" s="284" t="n">
        <v>551175</v>
      </c>
      <c r="Y132" s="284" t="n">
        <v>696728</v>
      </c>
      <c r="Z132" s="284" t="n">
        <v>402470</v>
      </c>
      <c r="AA132" s="284" t="n">
        <v>294258</v>
      </c>
      <c r="AB132" s="284" t="n">
        <v>1317940</v>
      </c>
      <c r="AC132" s="588" t="n"/>
      <c r="AD132" s="284" t="n">
        <v>91888</v>
      </c>
      <c r="AE132" s="284" t="n">
        <v>249206</v>
      </c>
      <c r="AF132" s="284" t="n">
        <v>4797</v>
      </c>
      <c r="AG132" s="284" t="n">
        <v>0</v>
      </c>
      <c r="AH132" s="284" t="n">
        <v>0</v>
      </c>
      <c r="AI132" s="284" t="n">
        <v>9756</v>
      </c>
      <c r="AJ132" s="284" t="n">
        <v>23715</v>
      </c>
      <c r="AK132" s="56">
        <f>SUM(B121:B132)</f>
        <v/>
      </c>
      <c r="AL132" s="56" t="n"/>
      <c r="AM132" s="56">
        <f>SUM(C132:Y132)</f>
        <v/>
      </c>
      <c r="AN132" s="56">
        <f>AM132+AD132</f>
        <v/>
      </c>
    </row>
    <row r="133">
      <c r="A133" s="282" t="n">
        <v>45627</v>
      </c>
      <c r="B133" s="284" t="n">
        <v>7242946</v>
      </c>
      <c r="C133" s="284" t="n">
        <v>3126953</v>
      </c>
      <c r="D133" s="284" t="n">
        <v>486932</v>
      </c>
      <c r="E133" s="284" t="n">
        <v>439800</v>
      </c>
      <c r="F133" s="284" t="n">
        <v>62370</v>
      </c>
      <c r="G133" s="284" t="n">
        <v>182418</v>
      </c>
      <c r="H133" s="284" t="n">
        <v>343029</v>
      </c>
      <c r="I133" s="284" t="n">
        <v>668561</v>
      </c>
      <c r="J133" s="284" t="n">
        <v>261300</v>
      </c>
      <c r="K133" s="284" t="n">
        <v>39693</v>
      </c>
      <c r="L133" s="284" t="n">
        <v>75231</v>
      </c>
      <c r="M133" s="284" t="n"/>
      <c r="N133" s="284" t="n">
        <v>47641</v>
      </c>
      <c r="O133" s="284" t="n">
        <v>31724</v>
      </c>
      <c r="P133" s="284" t="n">
        <v>6181</v>
      </c>
      <c r="Q133" s="284" t="n">
        <v>43619</v>
      </c>
      <c r="R133" s="284" t="n"/>
      <c r="S133" s="284" t="n">
        <v>9029</v>
      </c>
      <c r="T133" s="284" t="n">
        <v>37973</v>
      </c>
      <c r="U133" s="284" t="n">
        <v>77913</v>
      </c>
      <c r="V133" s="284" t="n">
        <v>150315</v>
      </c>
      <c r="W133" s="284" t="n">
        <v>110500</v>
      </c>
      <c r="X133" s="284" t="n">
        <v>406820</v>
      </c>
      <c r="Y133" s="284" t="n">
        <v>634944</v>
      </c>
      <c r="Z133" s="284" t="n">
        <v>386220</v>
      </c>
      <c r="AA133" s="284" t="n">
        <v>248724</v>
      </c>
      <c r="AB133" s="284" t="n">
        <v>716202</v>
      </c>
      <c r="AC133" s="588" t="n"/>
      <c r="AD133" s="284" t="n">
        <v>61467</v>
      </c>
      <c r="AE133" s="284" t="n">
        <v>266004</v>
      </c>
      <c r="AF133" s="284" t="n">
        <v>5120</v>
      </c>
      <c r="AG133" s="284" t="n">
        <v>0</v>
      </c>
      <c r="AH133" s="284" t="n">
        <v>0</v>
      </c>
      <c r="AI133" s="284" t="n">
        <v>9486</v>
      </c>
      <c r="AJ133" s="284" t="n">
        <v>14599</v>
      </c>
      <c r="AK133" s="56">
        <f>SUM(B122:B133)</f>
        <v/>
      </c>
      <c r="AL133" s="56" t="n"/>
      <c r="AM133" s="56">
        <f>SUM(C133:Y133)</f>
        <v/>
      </c>
      <c r="AN133" s="56">
        <f>AM133+AD133</f>
        <v/>
      </c>
    </row>
    <row r="134">
      <c r="A134" s="276" t="n">
        <v>45658</v>
      </c>
      <c r="B134" s="278" t="n">
        <v>6471482</v>
      </c>
      <c r="C134" s="278" t="n">
        <v>2967005</v>
      </c>
      <c r="D134" s="278" t="n">
        <v>447376</v>
      </c>
      <c r="E134" s="278" t="n">
        <v>373437</v>
      </c>
      <c r="F134" s="278" t="n">
        <v>49109</v>
      </c>
      <c r="G134" s="278" t="n">
        <v>166280</v>
      </c>
      <c r="H134" s="278" t="n">
        <v>280003</v>
      </c>
      <c r="I134" s="278" t="n">
        <v>529555</v>
      </c>
      <c r="J134" s="278" t="n">
        <v>214600</v>
      </c>
      <c r="K134" s="278" t="n">
        <v>47528</v>
      </c>
      <c r="L134" s="278" t="n">
        <v>83004</v>
      </c>
      <c r="M134" s="278" t="n"/>
      <c r="N134" s="278" t="n">
        <v>51613</v>
      </c>
      <c r="O134" s="278" t="n">
        <v>29551</v>
      </c>
      <c r="P134" s="278" t="n">
        <v>4790</v>
      </c>
      <c r="Q134" s="278" t="n">
        <v>36317</v>
      </c>
      <c r="R134" s="278" t="n"/>
      <c r="S134" s="278" t="n">
        <v>10237</v>
      </c>
      <c r="T134" s="278" t="n">
        <v>28831</v>
      </c>
      <c r="U134" s="278" t="n">
        <v>77913</v>
      </c>
      <c r="V134" s="278" t="n">
        <v>151700</v>
      </c>
      <c r="W134" s="278" t="n">
        <v>83133</v>
      </c>
      <c r="X134" s="278" t="n">
        <v>259167</v>
      </c>
      <c r="Y134" s="278" t="n">
        <v>580333</v>
      </c>
      <c r="Z134" s="278" t="n">
        <v>369287</v>
      </c>
      <c r="AA134" s="278" t="n">
        <v>211046</v>
      </c>
      <c r="AB134" s="278" t="n">
        <v>581168</v>
      </c>
      <c r="AC134" s="588" t="n"/>
      <c r="AD134" s="278" t="n">
        <v>40980</v>
      </c>
      <c r="AE134" s="278" t="n">
        <v>225898</v>
      </c>
      <c r="AF134" s="278" t="n">
        <v>4348</v>
      </c>
      <c r="AG134" s="278" t="n">
        <v>0</v>
      </c>
      <c r="AH134" s="278" t="n">
        <v>0</v>
      </c>
      <c r="AI134" s="278" t="n">
        <v>9050</v>
      </c>
      <c r="AJ134" s="278" t="n">
        <v>24617</v>
      </c>
      <c r="AK134" s="56">
        <f>SUM(B123:B134)</f>
        <v/>
      </c>
      <c r="AM134" s="56">
        <f>SUM(C134:Y134)</f>
        <v/>
      </c>
      <c r="AN134" s="56">
        <f>AM134+AD134</f>
        <v/>
      </c>
    </row>
    <row r="135">
      <c r="A135" s="276" t="n">
        <v>45689</v>
      </c>
      <c r="B135" s="278" t="n">
        <v>7133252</v>
      </c>
      <c r="C135" s="278" t="n">
        <v>3122532</v>
      </c>
      <c r="D135" s="278" t="n">
        <v>514438</v>
      </c>
      <c r="E135" s="278" t="n">
        <v>416863</v>
      </c>
      <c r="F135" s="278" t="n">
        <v>58261</v>
      </c>
      <c r="G135" s="278" t="n">
        <v>195405</v>
      </c>
      <c r="H135" s="278" t="n">
        <v>334235</v>
      </c>
      <c r="I135" s="278" t="n">
        <v>522670</v>
      </c>
      <c r="J135" s="278" t="n">
        <v>253800</v>
      </c>
      <c r="K135" s="278" t="n">
        <v>46126</v>
      </c>
      <c r="L135" s="278" t="n">
        <v>79071</v>
      </c>
      <c r="M135" s="278" t="n"/>
      <c r="N135" s="278" t="n">
        <v>48514</v>
      </c>
      <c r="O135" s="278" t="n">
        <v>32530</v>
      </c>
      <c r="P135" s="278" t="n">
        <v>6009</v>
      </c>
      <c r="Q135" s="278" t="n">
        <v>41318</v>
      </c>
      <c r="R135" s="278" t="n"/>
      <c r="S135" s="278" t="n">
        <v>10191</v>
      </c>
      <c r="T135" s="278" t="n">
        <v>37593</v>
      </c>
      <c r="U135" s="278" t="n">
        <v>71999</v>
      </c>
      <c r="V135" s="278" t="n">
        <v>115200</v>
      </c>
      <c r="W135" s="278" t="n">
        <v>111997</v>
      </c>
      <c r="X135" s="278" t="n">
        <v>436049</v>
      </c>
      <c r="Y135" s="278" t="n">
        <v>678452</v>
      </c>
      <c r="Z135" s="278" t="n">
        <v>387630</v>
      </c>
      <c r="AA135" s="278" t="n">
        <v>290822</v>
      </c>
      <c r="AB135" s="278" t="n">
        <v>571184</v>
      </c>
      <c r="AC135" s="588" t="n"/>
      <c r="AD135" s="278" t="n">
        <v>57424</v>
      </c>
      <c r="AE135" s="278" t="n">
        <v>263978</v>
      </c>
      <c r="AF135" s="278" t="n">
        <v>5081</v>
      </c>
      <c r="AG135" s="278" t="n">
        <v>0</v>
      </c>
      <c r="AH135" s="278" t="n">
        <v>0</v>
      </c>
      <c r="AI135" s="278" t="n">
        <v>9360</v>
      </c>
      <c r="AJ135" s="278" t="n">
        <v>15192</v>
      </c>
      <c r="AK135" s="56">
        <f>SUM(B124:B135)</f>
        <v/>
      </c>
      <c r="AM135" s="56">
        <f>SUM(C135:Y135)</f>
        <v/>
      </c>
      <c r="AN135" s="56">
        <f>AM135+AD135</f>
        <v/>
      </c>
      <c r="AR135" s="56" t="n"/>
    </row>
    <row r="136">
      <c r="A136" s="276" t="n">
        <v>45717</v>
      </c>
      <c r="B136" s="278" t="n">
        <v>7022454</v>
      </c>
      <c r="C136" s="278" t="n">
        <v>2858148</v>
      </c>
      <c r="D136" s="278" t="n">
        <v>472737</v>
      </c>
      <c r="E136" s="278" t="n">
        <v>380900</v>
      </c>
      <c r="F136" s="278" t="n">
        <v>50890</v>
      </c>
      <c r="G136" s="278" t="n">
        <v>149557</v>
      </c>
      <c r="H136" s="278" t="n">
        <v>316702</v>
      </c>
      <c r="I136" s="278" t="n">
        <v>869960</v>
      </c>
      <c r="J136" s="278" t="n">
        <v>224600</v>
      </c>
      <c r="K136" s="278" t="n">
        <v>44236</v>
      </c>
      <c r="L136" s="278" t="n">
        <v>76787</v>
      </c>
      <c r="M136" s="278" t="n"/>
      <c r="N136" s="278" t="n">
        <v>66365</v>
      </c>
      <c r="O136" s="278" t="n">
        <v>30925</v>
      </c>
      <c r="P136" s="278" t="n">
        <v>5523</v>
      </c>
      <c r="Q136" s="278" t="n">
        <v>42001</v>
      </c>
      <c r="R136" s="278" t="n"/>
      <c r="S136" s="278" t="n">
        <v>5290</v>
      </c>
      <c r="T136" s="278" t="n">
        <v>21570</v>
      </c>
      <c r="U136" s="278" t="n">
        <v>77142</v>
      </c>
      <c r="V136" s="278" t="n">
        <v>185800</v>
      </c>
      <c r="W136" s="278" t="n">
        <v>102130</v>
      </c>
      <c r="X136" s="278" t="n">
        <v>403183</v>
      </c>
      <c r="Y136" s="278" t="n">
        <v>638008</v>
      </c>
      <c r="Z136" s="278" t="n">
        <v>377349</v>
      </c>
      <c r="AA136" s="278" t="n">
        <v>260659</v>
      </c>
      <c r="AB136" s="278" t="n">
        <v>936325</v>
      </c>
      <c r="AC136" s="588" t="n"/>
      <c r="AD136" s="278" t="n">
        <v>65639</v>
      </c>
      <c r="AE136" s="278" t="n">
        <v>245438</v>
      </c>
      <c r="AF136" s="278" t="n">
        <v>4724</v>
      </c>
      <c r="AG136" s="278" t="n">
        <v>0</v>
      </c>
      <c r="AH136" s="278" t="n">
        <v>0</v>
      </c>
      <c r="AI136" s="278" t="n">
        <v>11946</v>
      </c>
      <c r="AJ136" s="278" t="n">
        <v>23174</v>
      </c>
      <c r="AK136" s="56">
        <f>SUM(B125:B136)</f>
        <v/>
      </c>
      <c r="AM136" s="56">
        <f>SUM(C136:Y136)</f>
        <v/>
      </c>
      <c r="AN136" s="56">
        <f>AM136+AD136</f>
        <v/>
      </c>
    </row>
    <row r="137">
      <c r="A137" s="276" t="n">
        <v>45748</v>
      </c>
      <c r="B137" s="278" t="n">
        <v>8751020</v>
      </c>
      <c r="C137" s="278" t="n">
        <v>3603467</v>
      </c>
      <c r="D137" s="278" t="n">
        <v>558983</v>
      </c>
      <c r="E137" s="278" t="n">
        <v>428000</v>
      </c>
      <c r="F137" s="278" t="n">
        <v>60460</v>
      </c>
      <c r="G137" s="278" t="n">
        <v>150720</v>
      </c>
      <c r="H137" s="278" t="n">
        <v>359483</v>
      </c>
      <c r="I137" s="278" t="n">
        <v>1232583</v>
      </c>
      <c r="J137" s="278" t="n">
        <v>256600</v>
      </c>
      <c r="K137" s="278" t="n">
        <v>46949</v>
      </c>
      <c r="L137" s="278" t="n">
        <v>86079</v>
      </c>
      <c r="M137" s="278" t="n"/>
      <c r="N137" s="278" t="n">
        <v>81173</v>
      </c>
      <c r="O137" s="278" t="n">
        <v>36400</v>
      </c>
      <c r="P137" s="278" t="n">
        <v>6874</v>
      </c>
      <c r="Q137" s="278" t="n">
        <v>54833</v>
      </c>
      <c r="R137" s="278" t="n"/>
      <c r="S137" s="278" t="n">
        <v>14747</v>
      </c>
      <c r="T137" s="278" t="n">
        <v>21570</v>
      </c>
      <c r="U137" s="278" t="n">
        <v>79713</v>
      </c>
      <c r="V137" s="278" t="n">
        <v>221400</v>
      </c>
      <c r="W137" s="278" t="n">
        <v>131620</v>
      </c>
      <c r="X137" s="278" t="n">
        <v>544718</v>
      </c>
      <c r="Y137" s="278" t="n">
        <v>774648</v>
      </c>
      <c r="Z137" s="278" t="n">
        <v>427060</v>
      </c>
      <c r="AA137" s="278" t="n">
        <v>347588</v>
      </c>
      <c r="AB137" s="278" t="n">
        <v>1313756</v>
      </c>
      <c r="AC137" s="588" t="n"/>
      <c r="AD137" s="278" t="n">
        <v>75910</v>
      </c>
      <c r="AE137" s="278" t="n">
        <v>293058</v>
      </c>
      <c r="AF137" s="278" t="n">
        <v>5641</v>
      </c>
      <c r="AG137" s="278" t="n">
        <v>0</v>
      </c>
      <c r="AH137" s="278" t="n">
        <v>0</v>
      </c>
      <c r="AI137" s="278" t="n">
        <v>11196</v>
      </c>
      <c r="AJ137" s="278" t="n">
        <v>28426</v>
      </c>
      <c r="AK137" s="56">
        <f>SUM(B126:B137)</f>
        <v/>
      </c>
      <c r="AM137" s="56">
        <f>SUM(C137:Y137)</f>
        <v/>
      </c>
      <c r="AN137" s="56">
        <f>AM137+AD137</f>
        <v/>
      </c>
    </row>
    <row r="138" ht="17" customHeight="1" thickBot="1">
      <c r="A138" s="276" t="n">
        <v>45778</v>
      </c>
      <c r="B138" s="278" t="n">
        <v>9287018</v>
      </c>
      <c r="C138" s="278" t="n">
        <v>3041240</v>
      </c>
      <c r="D138" s="278" t="n">
        <v>520090</v>
      </c>
      <c r="E138" s="278" t="n">
        <v>398200</v>
      </c>
      <c r="F138" s="278" t="n">
        <v>61220</v>
      </c>
      <c r="G138" s="278" t="n">
        <v>133326</v>
      </c>
      <c r="H138" s="278" t="n">
        <v>366216</v>
      </c>
      <c r="I138" s="278" t="n">
        <v>1887473</v>
      </c>
      <c r="J138" s="278" t="n">
        <v>234700</v>
      </c>
      <c r="K138" s="278" t="n">
        <v>57670</v>
      </c>
      <c r="L138" s="278" t="n">
        <v>128987</v>
      </c>
      <c r="M138" s="278" t="n"/>
      <c r="N138" s="278" t="n">
        <v>145549</v>
      </c>
      <c r="O138" s="278" t="n">
        <v>48118</v>
      </c>
      <c r="P138" s="278" t="n">
        <v>10224</v>
      </c>
      <c r="Q138" s="278" t="n">
        <v>56468</v>
      </c>
      <c r="R138" s="278" t="n"/>
      <c r="S138" s="278" t="n">
        <v>35670</v>
      </c>
      <c r="T138" s="278" t="n">
        <v>22289</v>
      </c>
      <c r="U138" s="278" t="n">
        <v>79713</v>
      </c>
      <c r="V138" s="278" t="n">
        <v>307200</v>
      </c>
      <c r="W138" s="278" t="n">
        <v>159170</v>
      </c>
      <c r="X138" s="278" t="n">
        <v>723374</v>
      </c>
      <c r="Y138" s="278" t="n">
        <v>870121</v>
      </c>
      <c r="Z138" s="278" t="n">
        <v>404853</v>
      </c>
      <c r="AA138" s="278" t="n">
        <v>465268</v>
      </c>
      <c r="AB138" s="278" t="n">
        <v>2033022</v>
      </c>
      <c r="AC138" s="588" t="n"/>
      <c r="AD138" s="278" t="n">
        <v>107059</v>
      </c>
      <c r="AE138" s="278" t="n">
        <v>283112</v>
      </c>
      <c r="AF138" s="278" t="n">
        <v>5449</v>
      </c>
      <c r="AG138" s="278" t="n">
        <v>0</v>
      </c>
      <c r="AH138" s="278" t="n">
        <v>0</v>
      </c>
      <c r="AI138" s="278" t="n">
        <v>14242</v>
      </c>
      <c r="AJ138" s="278" t="n">
        <v>5518</v>
      </c>
      <c r="AK138" s="56">
        <f>SUM(B127:B138)</f>
        <v/>
      </c>
      <c r="AM138" s="56">
        <f>SUM(C138:Y138)</f>
        <v/>
      </c>
      <c r="AN138" s="56">
        <f>AM138+AD138</f>
        <v/>
      </c>
    </row>
    <row r="139" ht="17" customHeight="1" thickBot="1">
      <c r="A139" s="276" t="n">
        <v>45809</v>
      </c>
      <c r="B139" s="278" t="n">
        <v>10004035</v>
      </c>
      <c r="C139" s="278" t="n">
        <v>3282572</v>
      </c>
      <c r="D139" s="278" t="n">
        <v>540933</v>
      </c>
      <c r="E139" s="278" t="n">
        <v>403500</v>
      </c>
      <c r="F139" s="278" t="n">
        <v>59310</v>
      </c>
      <c r="G139" s="278" t="n">
        <v>132324</v>
      </c>
      <c r="H139" s="278" t="n">
        <v>369127</v>
      </c>
      <c r="I139" s="278" t="n">
        <v>2251997</v>
      </c>
      <c r="J139" s="278" t="n">
        <v>231300</v>
      </c>
      <c r="K139" s="278" t="n">
        <v>56296</v>
      </c>
      <c r="L139" s="278" t="n">
        <v>128696</v>
      </c>
      <c r="M139" s="278" t="n"/>
      <c r="N139" s="278" t="n">
        <v>189802</v>
      </c>
      <c r="O139" s="278" t="n">
        <v>51217</v>
      </c>
      <c r="P139" s="278" t="n">
        <v>11935</v>
      </c>
      <c r="Q139" s="278" t="n">
        <v>68453</v>
      </c>
      <c r="R139" s="278" t="n"/>
      <c r="S139" s="278" t="n">
        <v>36406</v>
      </c>
      <c r="T139" s="278" t="n">
        <v>21570</v>
      </c>
      <c r="U139" s="278" t="n">
        <v>77142</v>
      </c>
      <c r="V139" s="278" t="n">
        <v>347000</v>
      </c>
      <c r="W139" s="278" t="n">
        <v>191950</v>
      </c>
      <c r="X139" s="278" t="n">
        <v>591496</v>
      </c>
      <c r="Y139" s="278" t="n">
        <v>961009</v>
      </c>
      <c r="Z139" s="278" t="n">
        <v>375997</v>
      </c>
      <c r="AA139" s="278" t="n">
        <v>585012</v>
      </c>
      <c r="AB139" s="278" t="n">
        <v>2441799</v>
      </c>
      <c r="AC139" s="588" t="n"/>
      <c r="AD139" s="278" t="n">
        <v>96095</v>
      </c>
      <c r="AE139" s="278" t="n">
        <v>302479</v>
      </c>
      <c r="AF139" s="278" t="n">
        <v>5822</v>
      </c>
      <c r="AG139" s="278" t="n">
        <v>0</v>
      </c>
      <c r="AH139" s="278" t="n">
        <v>0</v>
      </c>
      <c r="AI139" s="278" t="n">
        <v>14634</v>
      </c>
      <c r="AJ139" s="296" t="n">
        <v>41355</v>
      </c>
      <c r="AK139" s="583">
        <f>SUM(B128:B139)</f>
        <v/>
      </c>
      <c r="AL139" s="584">
        <f>AK139+SUM(AD128:AD139)</f>
        <v/>
      </c>
      <c r="AM139" s="56">
        <f>SUM(C139:Y139)</f>
        <v/>
      </c>
      <c r="AN139" s="56">
        <f>AM139+AD139</f>
        <v/>
      </c>
    </row>
    <row r="140">
      <c r="A140" s="276" t="n">
        <v>45839</v>
      </c>
      <c r="B140" s="278" t="n">
        <v>10192458</v>
      </c>
      <c r="C140" s="278" t="n">
        <v>2999218</v>
      </c>
      <c r="D140" s="278" t="n">
        <v>534109</v>
      </c>
      <c r="E140" s="278" t="n">
        <v>413100</v>
      </c>
      <c r="F140" s="278" t="n">
        <v>66640</v>
      </c>
      <c r="G140" s="278" t="n">
        <v>125053</v>
      </c>
      <c r="H140" s="278" t="n">
        <v>357034</v>
      </c>
      <c r="I140" s="278" t="n">
        <v>2504159</v>
      </c>
      <c r="J140" s="278" t="n">
        <v>221700</v>
      </c>
      <c r="K140" s="278" t="n">
        <v>68672</v>
      </c>
      <c r="L140" s="278" t="n">
        <v>145108</v>
      </c>
      <c r="M140" s="278" t="n"/>
      <c r="N140" s="278" t="n">
        <v>265504</v>
      </c>
      <c r="O140" s="278" t="n">
        <v>56223</v>
      </c>
      <c r="P140" s="278" t="n">
        <v>15162</v>
      </c>
      <c r="Q140" s="278" t="n">
        <v>69381</v>
      </c>
      <c r="R140" s="278" t="n"/>
      <c r="S140" s="278" t="inlineStr"/>
      <c r="T140" s="278" t="n">
        <v>22289</v>
      </c>
      <c r="U140" s="278" t="n">
        <v>79713</v>
      </c>
      <c r="V140" s="278" t="n">
        <v>387200</v>
      </c>
      <c r="W140" s="278" t="n">
        <v>197380</v>
      </c>
      <c r="X140" s="278" t="n">
        <v>655026</v>
      </c>
      <c r="Y140" s="278" t="n">
        <v>979848</v>
      </c>
      <c r="Z140" s="278" t="n">
        <v>362265</v>
      </c>
      <c r="AA140" s="278" t="n">
        <v>617583</v>
      </c>
      <c r="AB140" s="278" t="n">
        <v>2769663</v>
      </c>
      <c r="AC140" s="588" t="n"/>
      <c r="AD140" s="278" t="n">
        <v>110338</v>
      </c>
      <c r="AE140" s="278">
        <f>146476+153686</f>
        <v/>
      </c>
      <c r="AF140" s="278" t="n">
        <v>5778</v>
      </c>
      <c r="AG140" s="278" t="n">
        <v>0</v>
      </c>
      <c r="AH140" s="278" t="n">
        <v>25928</v>
      </c>
      <c r="AI140" s="278" t="n">
        <v>16929</v>
      </c>
      <c r="AJ140" s="278" t="n">
        <v>29691</v>
      </c>
      <c r="AK140" s="56">
        <f>SUM(B129:B140)</f>
        <v/>
      </c>
      <c r="AM140" s="56">
        <f>SUM(C140:Y140)</f>
        <v/>
      </c>
      <c r="AN140" s="56">
        <f>AM140+AD140</f>
        <v/>
      </c>
      <c r="AR140" s="56" t="n"/>
    </row>
    <row r="141">
      <c r="A141" s="276" t="n">
        <v>45870</v>
      </c>
      <c r="B141" s="278" t="n">
        <v>10054427</v>
      </c>
      <c r="C141" s="278" t="n">
        <v>3032319</v>
      </c>
      <c r="D141" s="278" t="n">
        <v>538375</v>
      </c>
      <c r="E141" s="278" t="n">
        <v>404500</v>
      </c>
      <c r="F141" s="278" t="n">
        <v>76950</v>
      </c>
      <c r="G141" s="278" t="n">
        <v>125905</v>
      </c>
      <c r="H141" s="278" t="n">
        <v>350137</v>
      </c>
      <c r="I141" s="278" t="n">
        <v>2414329</v>
      </c>
      <c r="J141" s="278" t="n">
        <v>222500</v>
      </c>
      <c r="K141" s="278" t="n">
        <v>77608</v>
      </c>
      <c r="L141" s="278" t="n">
        <v>173834</v>
      </c>
      <c r="M141" s="278" t="n"/>
      <c r="N141" s="278" t="n">
        <v>300733</v>
      </c>
      <c r="O141" s="278" t="n">
        <v>70093</v>
      </c>
      <c r="P141" s="278" t="n">
        <v>13557</v>
      </c>
      <c r="Q141" s="278" t="n">
        <v>64657</v>
      </c>
      <c r="R141" s="278" t="n">
        <v>6228</v>
      </c>
      <c r="S141" s="278" t="inlineStr"/>
      <c r="T141" s="278" t="n">
        <v>23886</v>
      </c>
      <c r="U141" s="278" t="n">
        <v>79709</v>
      </c>
      <c r="V141" s="278" t="n">
        <v>348280</v>
      </c>
      <c r="W141" s="278" t="n">
        <v>175870</v>
      </c>
      <c r="X141" s="278" t="n">
        <v>581766</v>
      </c>
      <c r="Y141" s="278" t="n">
        <v>946647</v>
      </c>
      <c r="Z141" s="278" t="n">
        <v>378878</v>
      </c>
      <c r="AA141" s="278" t="n">
        <v>567769</v>
      </c>
      <c r="AB141" s="278" t="n">
        <v>2715062</v>
      </c>
      <c r="AC141" s="588" t="n"/>
      <c r="AD141" s="278">
        <f>920+62111+28859</f>
        <v/>
      </c>
      <c r="AE141" s="278">
        <f>162566+145248</f>
        <v/>
      </c>
      <c r="AF141" s="278" t="n">
        <v>5925</v>
      </c>
      <c r="AG141" s="278" t="n">
        <v>0</v>
      </c>
      <c r="AH141" s="278" t="n">
        <v>22631</v>
      </c>
      <c r="AI141" s="278" t="n">
        <v>16477</v>
      </c>
      <c r="AJ141" s="278" t="n">
        <v>31194</v>
      </c>
      <c r="AK141" s="56">
        <f>SUM(B130:B141)</f>
        <v/>
      </c>
      <c r="AM141" s="56">
        <f>SUM(C141:Y141)</f>
        <v/>
      </c>
      <c r="AN141" s="56">
        <f>AM141+AD141</f>
        <v/>
      </c>
    </row>
    <row r="142">
      <c r="A142" s="276" t="n">
        <v>45901</v>
      </c>
      <c r="B142" s="278" t="n">
        <v>11331409</v>
      </c>
      <c r="C142" s="278" t="n">
        <v>3760683</v>
      </c>
      <c r="D142" s="278" t="n">
        <v>483822</v>
      </c>
      <c r="E142" s="278" t="n">
        <v>440900</v>
      </c>
      <c r="F142" s="278" t="n">
        <v>81980</v>
      </c>
      <c r="G142" s="278" t="n">
        <v>132068</v>
      </c>
      <c r="H142" s="278" t="n">
        <v>386828</v>
      </c>
      <c r="I142" s="278" t="n">
        <v>2405351</v>
      </c>
      <c r="J142" s="278" t="n">
        <v>243800</v>
      </c>
      <c r="K142" s="278" t="n">
        <v>66523</v>
      </c>
      <c r="L142" s="278" t="n">
        <v>142935</v>
      </c>
      <c r="M142" s="278" t="n"/>
      <c r="N142" s="278" t="n">
        <v>268527</v>
      </c>
      <c r="O142" s="278" t="n">
        <v>80022</v>
      </c>
      <c r="P142" s="278" t="n">
        <v>12799</v>
      </c>
      <c r="Q142" s="278" t="n">
        <v>72316</v>
      </c>
      <c r="R142" s="278" t="n">
        <v>17858</v>
      </c>
      <c r="S142" s="278" t="inlineStr"/>
      <c r="T142" s="278" t="n">
        <v>35948</v>
      </c>
      <c r="U142" s="278" t="n">
        <v>145148</v>
      </c>
      <c r="V142" s="278" t="n">
        <v>352640</v>
      </c>
      <c r="W142" s="278" t="n">
        <v>205980</v>
      </c>
      <c r="X142" s="278" t="n">
        <v>880103</v>
      </c>
      <c r="Y142" s="278" t="n">
        <v>1079806</v>
      </c>
      <c r="Z142" s="278" t="n">
        <v>437109</v>
      </c>
      <c r="AA142" s="278" t="n">
        <v>642697</v>
      </c>
      <c r="AB142" s="278" t="n">
        <v>2673878</v>
      </c>
      <c r="AC142" s="588" t="n"/>
      <c r="AD142" s="278">
        <f>920+32349+107995</f>
        <v/>
      </c>
      <c r="AE142" s="278">
        <f>173828+156721</f>
        <v/>
      </c>
      <c r="AF142" s="278" t="n">
        <v>6362</v>
      </c>
      <c r="AG142" s="278" t="n">
        <v>121900</v>
      </c>
      <c r="AH142" s="278" t="n">
        <v>15382</v>
      </c>
      <c r="AI142" s="278" t="n">
        <v>17662</v>
      </c>
      <c r="AJ142" s="278" t="n">
        <v>15592</v>
      </c>
      <c r="AK142" s="56">
        <f>SUM(B131:B142)</f>
        <v/>
      </c>
      <c r="AM142" s="56">
        <f>SUM(C142:Y142)</f>
        <v/>
      </c>
      <c r="AN142" s="56">
        <f>AM142+AD142</f>
        <v/>
      </c>
    </row>
    <row r="143">
      <c r="A143" s="276" t="n">
        <v>45931</v>
      </c>
      <c r="B143" s="278" t="n">
        <v>9796105</v>
      </c>
      <c r="C143" s="278" t="n">
        <v>3147886</v>
      </c>
      <c r="D143" s="278" t="n">
        <v>504929</v>
      </c>
      <c r="E143" s="278" t="n">
        <v>404500</v>
      </c>
      <c r="F143" s="278" t="n">
        <v>82270</v>
      </c>
      <c r="G143" s="278" t="n">
        <v>126782</v>
      </c>
      <c r="H143" s="278" t="n">
        <v>359852</v>
      </c>
      <c r="I143" s="278" t="n">
        <v>1957753</v>
      </c>
      <c r="J143" s="278" t="n">
        <v>241000</v>
      </c>
      <c r="K143" s="278" t="n">
        <v>70315</v>
      </c>
      <c r="L143" s="278" t="n">
        <v>143945</v>
      </c>
      <c r="M143" s="278" t="n"/>
      <c r="N143" s="278" t="n">
        <v>251737</v>
      </c>
      <c r="O143" s="278" t="n">
        <v>56142</v>
      </c>
      <c r="P143" s="278" t="n">
        <v>11057</v>
      </c>
      <c r="Q143" s="278" t="n">
        <v>63511</v>
      </c>
      <c r="R143" s="278" t="n">
        <v>17675</v>
      </c>
      <c r="S143" s="278" t="inlineStr"/>
      <c r="T143" s="278" t="n">
        <v>54788</v>
      </c>
      <c r="U143" s="278" t="n">
        <v>138274</v>
      </c>
      <c r="V143" s="278" t="n">
        <v>300280</v>
      </c>
      <c r="W143" s="278" t="n">
        <v>165910</v>
      </c>
      <c r="X143" s="278" t="n">
        <v>777120</v>
      </c>
      <c r="Y143" s="278" t="n">
        <v>885502</v>
      </c>
      <c r="Z143" s="279" t="n">
        <v>417169</v>
      </c>
      <c r="AA143" s="296" t="n">
        <v>468333</v>
      </c>
      <c r="AB143" s="278" t="n">
        <v>2209490</v>
      </c>
      <c r="AC143" s="588" t="n"/>
      <c r="AD143" s="278" t="n">
        <v>138998</v>
      </c>
      <c r="AE143" s="278" t="n">
        <v>306911</v>
      </c>
      <c r="AF143" s="278" t="n">
        <v>5908</v>
      </c>
      <c r="AG143" s="278" t="n">
        <v>74466</v>
      </c>
      <c r="AH143" s="278" t="n">
        <v>6497</v>
      </c>
      <c r="AI143" s="278" t="n">
        <v>16020</v>
      </c>
      <c r="AJ143" s="278" t="n">
        <v>24292</v>
      </c>
      <c r="AK143" s="56">
        <f>SUM(B132:B143)</f>
        <v/>
      </c>
      <c r="AM143" s="56">
        <f>SUM(C143:Y143)</f>
        <v/>
      </c>
      <c r="AN143" s="56">
        <f>AM143+AD143</f>
        <v/>
      </c>
    </row>
    <row r="144">
      <c r="A144" s="276" t="n">
        <v>45962</v>
      </c>
      <c r="B144" s="278" t="n">
        <v>7978764</v>
      </c>
      <c r="C144" s="278" t="n">
        <v>3333008</v>
      </c>
      <c r="D144" s="278" t="n">
        <v>500521</v>
      </c>
      <c r="E144" s="278" t="n">
        <v>388197</v>
      </c>
      <c r="F144" s="278" t="n">
        <v>75078</v>
      </c>
      <c r="G144" s="278" t="n">
        <v>133398</v>
      </c>
      <c r="H144" s="278" t="n">
        <v>341845</v>
      </c>
      <c r="I144" s="278" t="n">
        <v>1020447</v>
      </c>
      <c r="J144" s="278" t="n">
        <v>236053</v>
      </c>
      <c r="K144" s="278" t="n">
        <v>50979</v>
      </c>
      <c r="L144" s="278" t="n">
        <v>85990</v>
      </c>
      <c r="M144" s="278" t="n"/>
      <c r="N144" s="278" t="n">
        <v>105031</v>
      </c>
      <c r="O144" s="278" t="n">
        <v>49795</v>
      </c>
      <c r="P144" s="278" t="n">
        <v>5078</v>
      </c>
      <c r="Q144" s="278" t="n">
        <v>47584</v>
      </c>
      <c r="R144" s="278" t="n">
        <v>18927</v>
      </c>
      <c r="S144" s="278" t="inlineStr"/>
      <c r="T144" s="278" t="n">
        <v>44844</v>
      </c>
      <c r="U144" s="278" t="n">
        <v>116174</v>
      </c>
      <c r="V144" s="278" t="n">
        <v>179100</v>
      </c>
      <c r="W144" s="278" t="n">
        <v>107311</v>
      </c>
      <c r="X144" s="278" t="n">
        <v>465405</v>
      </c>
      <c r="Y144" s="278" t="n">
        <v>646160</v>
      </c>
      <c r="Z144" s="279" t="n">
        <v>402881</v>
      </c>
      <c r="AA144" s="296" t="n">
        <v>243279</v>
      </c>
      <c r="AB144" s="278" t="n">
        <v>1125478</v>
      </c>
      <c r="AC144" s="588" t="n"/>
      <c r="AD144" s="278" t="n">
        <v>77480</v>
      </c>
      <c r="AE144" s="278" t="n">
        <v>306060</v>
      </c>
      <c r="AF144" s="278" t="n">
        <v>5891</v>
      </c>
      <c r="AG144" s="278" t="n">
        <v>9262</v>
      </c>
      <c r="AH144" s="278" t="n">
        <v>8282</v>
      </c>
      <c r="AI144" s="278" t="n">
        <v>16718</v>
      </c>
      <c r="AJ144" s="278" t="n">
        <v>47210</v>
      </c>
      <c r="AK144" s="56">
        <f>SUM(B133:B144)</f>
        <v/>
      </c>
      <c r="AM144" s="56">
        <f>SUM(C144:Y144)</f>
        <v/>
      </c>
      <c r="AN144" s="56">
        <f>AM144+AD144</f>
        <v/>
      </c>
    </row>
    <row r="145">
      <c r="A145" s="276" t="n">
        <v>45992</v>
      </c>
      <c r="B145" s="278" t="n">
        <v>8046008</v>
      </c>
      <c r="C145" s="278" t="n">
        <v>3520854</v>
      </c>
      <c r="D145" s="278" t="n">
        <v>584958</v>
      </c>
      <c r="E145" s="278" t="n">
        <v>414803</v>
      </c>
      <c r="F145" s="278" t="n">
        <v>86752</v>
      </c>
      <c r="G145" s="278" t="n">
        <v>145603</v>
      </c>
      <c r="H145" s="278" t="n">
        <v>353167</v>
      </c>
      <c r="I145" s="278" t="n">
        <v>842964</v>
      </c>
      <c r="J145" s="278" t="n">
        <v>253147</v>
      </c>
      <c r="K145" s="278" t="n">
        <v>43259</v>
      </c>
      <c r="L145" s="278" t="n">
        <v>81529</v>
      </c>
      <c r="M145" s="278" t="n"/>
      <c r="N145" s="278" t="n">
        <v>63573</v>
      </c>
      <c r="O145" s="278" t="n">
        <v>39556</v>
      </c>
      <c r="P145" s="278" t="n">
        <v>2864</v>
      </c>
      <c r="Q145" s="278" t="n">
        <v>45888</v>
      </c>
      <c r="R145" s="278" t="n">
        <v>22453</v>
      </c>
      <c r="S145" s="278" t="inlineStr"/>
      <c r="T145" s="278" t="n">
        <v>45023</v>
      </c>
      <c r="U145" s="278" t="n">
        <v>150747</v>
      </c>
      <c r="V145" s="278" t="n">
        <v>151900</v>
      </c>
      <c r="W145" s="278" t="n">
        <v>113682</v>
      </c>
      <c r="X145" s="278" t="n">
        <v>426201</v>
      </c>
      <c r="Y145" s="278" t="n">
        <v>626735</v>
      </c>
      <c r="Z145" s="279" t="n">
        <v>388825</v>
      </c>
      <c r="AA145" s="296" t="n">
        <v>237910</v>
      </c>
      <c r="AB145" s="278" t="n">
        <v>906537</v>
      </c>
      <c r="AC145" s="588" t="n"/>
      <c r="AD145" s="278" t="n">
        <v>61061</v>
      </c>
      <c r="AE145" s="278" t="n">
        <v>374372</v>
      </c>
      <c r="AF145" s="278" t="n">
        <v>7206</v>
      </c>
      <c r="AG145" s="278" t="n">
        <v>9784</v>
      </c>
      <c r="AH145" s="278" t="n">
        <v>973</v>
      </c>
      <c r="AI145" s="278" t="n">
        <v>18703</v>
      </c>
      <c r="AJ145" s="278" t="n">
        <v>27110</v>
      </c>
      <c r="AK145" s="56">
        <f>SUM(B134:B145)</f>
        <v/>
      </c>
      <c r="AM145" s="56">
        <f>SUM(C145:Y145)</f>
        <v/>
      </c>
      <c r="AN145" s="56">
        <f>AM145+AD145</f>
        <v/>
      </c>
    </row>
    <row r="146">
      <c r="A146" s="297" t="n">
        <v>46023</v>
      </c>
      <c r="B146" s="298" t="n">
        <v>7308543</v>
      </c>
      <c r="C146" s="298" t="n">
        <v>3219229</v>
      </c>
      <c r="D146" s="298" t="n">
        <v>543221</v>
      </c>
      <c r="E146" s="298" t="n">
        <v>418200</v>
      </c>
      <c r="F146" s="298" t="n">
        <v>71330</v>
      </c>
      <c r="G146" s="298" t="n">
        <v>170604</v>
      </c>
      <c r="H146" s="298" t="n">
        <v>335356</v>
      </c>
      <c r="I146" s="298" t="n">
        <v>620519</v>
      </c>
      <c r="J146" s="298" t="n">
        <v>239400</v>
      </c>
      <c r="K146" s="298" t="n">
        <v>56131</v>
      </c>
      <c r="L146" s="298" t="n">
        <v>102592</v>
      </c>
      <c r="M146" s="298" t="n"/>
      <c r="N146" s="298" t="n">
        <v>56618</v>
      </c>
      <c r="O146" s="298" t="n">
        <v>44806</v>
      </c>
      <c r="P146" s="298" t="n">
        <v>1825</v>
      </c>
      <c r="Q146" s="298" t="n">
        <v>33942</v>
      </c>
      <c r="R146" s="298" t="n">
        <v>24808</v>
      </c>
      <c r="S146" s="298" t="inlineStr"/>
      <c r="T146" s="298" t="n">
        <v>38524</v>
      </c>
      <c r="U146" s="298" t="n">
        <v>159687</v>
      </c>
      <c r="V146" s="298" t="n">
        <v>144300</v>
      </c>
      <c r="W146" s="298" t="n">
        <v>103340</v>
      </c>
      <c r="X146" s="298" t="n">
        <v>286673</v>
      </c>
      <c r="Y146" s="298" t="n">
        <v>620567</v>
      </c>
      <c r="Z146" s="298" t="n">
        <v>338985</v>
      </c>
      <c r="AA146" s="298">
        <f>Y146-Z146</f>
        <v/>
      </c>
      <c r="AB146" s="298" t="n">
        <v>677137</v>
      </c>
      <c r="AC146" s="588" t="n"/>
      <c r="AD146" s="298" t="n">
        <v>37428</v>
      </c>
      <c r="AE146" s="298" t="n">
        <v>347633</v>
      </c>
      <c r="AF146" s="298" t="n">
        <v>6691</v>
      </c>
      <c r="AG146" s="298" t="n">
        <v>3084</v>
      </c>
      <c r="AH146" s="298" t="n">
        <v>1321</v>
      </c>
      <c r="AI146" s="298" t="n">
        <v>18141</v>
      </c>
      <c r="AJ146" s="298" t="n">
        <v>51800</v>
      </c>
      <c r="AK146" s="56">
        <f>SUM(B135:B146)</f>
        <v/>
      </c>
      <c r="AM146" s="56">
        <f>SUM(C146:Y146)</f>
        <v/>
      </c>
      <c r="AN146" s="56">
        <f>AM146+AD146</f>
        <v/>
      </c>
    </row>
    <row r="147">
      <c r="A147" s="297" t="n">
        <v>46054</v>
      </c>
      <c r="B147" s="298" t="n">
        <v>7053934</v>
      </c>
      <c r="C147" s="298" t="n">
        <v>3046467.2</v>
      </c>
      <c r="D147" s="298" t="n">
        <v>483759</v>
      </c>
      <c r="E147" s="298" t="n">
        <v>339400</v>
      </c>
      <c r="F147" s="298" t="n">
        <v>69110</v>
      </c>
      <c r="G147" s="298" t="n">
        <v>127047</v>
      </c>
      <c r="H147" s="298" t="n">
        <v>303408</v>
      </c>
      <c r="I147" s="298" t="n">
        <v>762926.1</v>
      </c>
      <c r="J147" s="298" t="n">
        <v>225600</v>
      </c>
      <c r="K147" s="298" t="n">
        <v>50950</v>
      </c>
      <c r="L147" s="298" t="n">
        <v>81167</v>
      </c>
      <c r="M147" s="298" t="n"/>
      <c r="N147" s="298" t="n">
        <v>57790</v>
      </c>
      <c r="O147" s="298" t="n">
        <v>31457</v>
      </c>
      <c r="P147" s="298" t="n">
        <v>1061</v>
      </c>
      <c r="Q147" s="298" t="n">
        <v>37880</v>
      </c>
      <c r="R147" s="298" t="n"/>
      <c r="S147" s="298" t="inlineStr"/>
      <c r="T147" s="298" t="n">
        <v>33598</v>
      </c>
      <c r="U147" s="298" t="n">
        <v>234192</v>
      </c>
      <c r="V147" s="298" t="n">
        <v>126900</v>
      </c>
      <c r="W147" s="298" t="n">
        <v>79940</v>
      </c>
      <c r="X147" s="298" t="n">
        <v>329433</v>
      </c>
      <c r="Y147" s="298" t="n">
        <v>559322</v>
      </c>
      <c r="Z147" s="298" t="n">
        <v>320308</v>
      </c>
      <c r="AA147" s="298" t="n">
        <v>239014</v>
      </c>
      <c r="AB147" s="298" t="n"/>
      <c r="AC147" s="588" t="n"/>
      <c r="AD147" s="298" t="n">
        <v>48095</v>
      </c>
      <c r="AE147" s="298" t="n">
        <v>297089</v>
      </c>
      <c r="AF147" s="298" t="n"/>
      <c r="AG147" s="298" t="n">
        <v>7887</v>
      </c>
      <c r="AH147" s="298" t="n">
        <v>1252</v>
      </c>
      <c r="AI147" s="298" t="n"/>
      <c r="AJ147" s="298" t="n">
        <v>43012</v>
      </c>
      <c r="AK147" s="56">
        <f>SUM(B136:B147)</f>
        <v/>
      </c>
      <c r="AM147" s="56">
        <f>SUM(C147:Y147)</f>
        <v/>
      </c>
      <c r="AN147" s="56">
        <f>AM147+AD147</f>
        <v/>
      </c>
    </row>
    <row r="148">
      <c r="A148" s="297" t="n">
        <v>46082</v>
      </c>
      <c r="B148" s="298" t="n">
        <v>8470012</v>
      </c>
      <c r="C148" s="298" t="n">
        <v>3439476.3</v>
      </c>
      <c r="D148" s="298" t="n">
        <v>564806</v>
      </c>
      <c r="E148" s="298" t="n">
        <v>460300</v>
      </c>
      <c r="F148" s="298" t="n">
        <v>78120</v>
      </c>
      <c r="G148" s="298" t="n">
        <v>135394</v>
      </c>
      <c r="H148" s="298" t="n">
        <v>317680</v>
      </c>
      <c r="I148" s="298" t="n">
        <v>1087049</v>
      </c>
      <c r="J148" s="298" t="n">
        <v>257674</v>
      </c>
      <c r="K148" s="298" t="n">
        <v>57348</v>
      </c>
      <c r="L148" s="298" t="n">
        <v>79410</v>
      </c>
      <c r="M148" s="298" t="n"/>
      <c r="N148" s="298" t="n">
        <v>103510</v>
      </c>
      <c r="O148" s="298" t="n">
        <v>41318</v>
      </c>
      <c r="P148" s="298" t="n">
        <v>600</v>
      </c>
      <c r="Q148" s="298" t="n">
        <v>49608</v>
      </c>
      <c r="R148" s="298" t="n"/>
      <c r="S148" s="298" t="inlineStr"/>
      <c r="T148" s="298" t="n">
        <v>37566</v>
      </c>
      <c r="U148" s="298" t="n">
        <v>214226</v>
      </c>
      <c r="V148" s="298" t="n">
        <v>178700</v>
      </c>
      <c r="W148" s="298" t="n">
        <v>119300</v>
      </c>
      <c r="X148" s="298" t="n">
        <v>483477</v>
      </c>
      <c r="Y148" s="298" t="n">
        <v>690846</v>
      </c>
      <c r="Z148" s="298" t="n">
        <v>442364</v>
      </c>
      <c r="AA148" s="298" t="n">
        <v>248482</v>
      </c>
      <c r="AB148" s="298" t="n"/>
      <c r="AC148" s="588" t="n"/>
      <c r="AD148" s="298" t="n">
        <v>57101</v>
      </c>
      <c r="AE148" s="298" t="n">
        <v>365474</v>
      </c>
      <c r="AF148" s="298" t="n"/>
      <c r="AG148" s="298" t="n">
        <v>23685</v>
      </c>
      <c r="AH148" s="298" t="n">
        <v>8255</v>
      </c>
      <c r="AI148" s="298" t="n"/>
      <c r="AJ148" s="298" t="n">
        <v>56770</v>
      </c>
      <c r="AK148" s="56">
        <f>SUM(B137:B148)</f>
        <v/>
      </c>
      <c r="AM148" s="56">
        <f>SUM(C148:Y148)</f>
        <v/>
      </c>
      <c r="AN148" s="56">
        <f>AM148+AD148</f>
        <v/>
      </c>
    </row>
    <row r="149">
      <c r="A149" s="297" t="n">
        <v>46113</v>
      </c>
      <c r="B149" s="298" t="n">
        <v>9717646</v>
      </c>
      <c r="C149" s="298" t="n">
        <v>3637811</v>
      </c>
      <c r="D149" s="298" t="n">
        <v>571275</v>
      </c>
      <c r="E149" s="298" t="n">
        <v>432000</v>
      </c>
      <c r="F149" s="298" t="n">
        <v>82230</v>
      </c>
      <c r="G149" s="298" t="n">
        <v>129264</v>
      </c>
      <c r="H149" s="298" t="n">
        <v>318714</v>
      </c>
      <c r="I149" s="298" t="n">
        <v>1654219</v>
      </c>
      <c r="J149" s="298" t="n">
        <v>256126</v>
      </c>
      <c r="K149" s="298" t="n">
        <v>110678</v>
      </c>
      <c r="L149" s="298" t="n">
        <v>118081</v>
      </c>
      <c r="M149" s="298" t="n"/>
      <c r="N149" s="298" t="n">
        <v>208610</v>
      </c>
      <c r="O149" s="298" t="n">
        <v>39977</v>
      </c>
      <c r="P149" s="298" t="n">
        <v>2940</v>
      </c>
      <c r="Q149" s="298" t="n">
        <v>53118</v>
      </c>
      <c r="R149" s="298" t="n"/>
      <c r="S149" s="298" t="inlineStr"/>
      <c r="T149" s="298" t="n">
        <v>34567</v>
      </c>
      <c r="U149" s="298" t="n">
        <v>204802</v>
      </c>
      <c r="V149" s="298" t="n">
        <v>246200</v>
      </c>
      <c r="W149" s="298" t="n">
        <v>142270</v>
      </c>
      <c r="X149" s="298" t="n">
        <v>606652</v>
      </c>
      <c r="Y149" s="298" t="n">
        <v>793479</v>
      </c>
      <c r="Z149" s="298" t="n">
        <v>449653</v>
      </c>
      <c r="AA149" s="298" t="n">
        <v>343826</v>
      </c>
      <c r="AB149" s="298" t="n"/>
      <c r="AC149" s="588" t="n"/>
      <c r="AD149" s="298" t="n">
        <v>91416</v>
      </c>
      <c r="AE149" s="298" t="n">
        <v>364466</v>
      </c>
      <c r="AF149" s="298" t="n"/>
      <c r="AG149" s="298" t="n">
        <v>74223</v>
      </c>
      <c r="AH149" s="298" t="n">
        <v>16734</v>
      </c>
      <c r="AI149" s="298" t="n"/>
      <c r="AJ149" s="298" t="n">
        <v>41971</v>
      </c>
      <c r="AK149" s="56">
        <f>SUM(B138:B149)</f>
        <v/>
      </c>
      <c r="AM149" s="56">
        <f>SUM(C149:Y149)</f>
        <v/>
      </c>
      <c r="AN149" s="56">
        <f>AM149+AD149</f>
        <v/>
      </c>
    </row>
    <row r="150" ht="17" customHeight="1" thickBot="1">
      <c r="A150" s="297" t="n">
        <v>46143</v>
      </c>
      <c r="B150" s="298" t="n"/>
      <c r="C150" s="298" t="n"/>
      <c r="D150" s="298" t="n"/>
      <c r="E150" s="298" t="n"/>
      <c r="F150" s="298" t="n"/>
      <c r="G150" s="298" t="n"/>
      <c r="H150" s="298" t="n"/>
      <c r="I150" s="298" t="n"/>
      <c r="J150" s="298" t="n"/>
      <c r="K150" s="298" t="n"/>
      <c r="L150" s="298" t="n"/>
      <c r="M150" s="298" t="n"/>
      <c r="N150" s="298" t="n"/>
      <c r="O150" s="298" t="n"/>
      <c r="P150" s="298" t="n"/>
      <c r="Q150" s="298" t="n"/>
      <c r="R150" s="298" t="n"/>
      <c r="S150" s="298" t="n"/>
      <c r="T150" s="298" t="n"/>
      <c r="U150" s="298" t="n"/>
      <c r="V150" s="298" t="n"/>
      <c r="W150" s="298" t="n"/>
      <c r="X150" s="298" t="n"/>
      <c r="Y150" s="298" t="n"/>
      <c r="Z150" s="298" t="n"/>
      <c r="AA150" s="298" t="n"/>
      <c r="AB150" s="298" t="n"/>
      <c r="AC150" s="588" t="n"/>
      <c r="AD150" s="298" t="n"/>
      <c r="AE150" s="298" t="n"/>
      <c r="AF150" s="298" t="n"/>
      <c r="AG150" s="298" t="n"/>
      <c r="AH150" s="298" t="n"/>
      <c r="AI150" s="298" t="n"/>
      <c r="AJ150" s="298" t="n"/>
      <c r="AK150" s="56">
        <f>SUM(B139:B150)</f>
        <v/>
      </c>
      <c r="AM150" s="56">
        <f>SUM(C150:Y150)</f>
        <v/>
      </c>
      <c r="AN150" s="56">
        <f>AM150+AD150</f>
        <v/>
      </c>
    </row>
    <row r="151" ht="17" customHeight="1" thickBot="1">
      <c r="A151" s="297" t="n">
        <v>46174</v>
      </c>
      <c r="B151" s="298" t="n"/>
      <c r="C151" s="298" t="n"/>
      <c r="D151" s="298" t="n"/>
      <c r="E151" s="298" t="n"/>
      <c r="F151" s="298" t="n"/>
      <c r="G151" s="298" t="n"/>
      <c r="H151" s="298" t="n"/>
      <c r="I151" s="298" t="n"/>
      <c r="J151" s="298" t="n"/>
      <c r="K151" s="298" t="n"/>
      <c r="L151" s="298" t="n"/>
      <c r="M151" s="298" t="n"/>
      <c r="N151" s="298" t="n"/>
      <c r="O151" s="298" t="n"/>
      <c r="P151" s="298" t="n"/>
      <c r="Q151" s="298" t="n"/>
      <c r="R151" s="298" t="n"/>
      <c r="S151" s="298" t="n"/>
      <c r="T151" s="298" t="n"/>
      <c r="U151" s="298" t="n"/>
      <c r="V151" s="298" t="n"/>
      <c r="W151" s="298" t="n"/>
      <c r="X151" s="298" t="n"/>
      <c r="Y151" s="298" t="n"/>
      <c r="Z151" s="298" t="n"/>
      <c r="AA151" s="298" t="n"/>
      <c r="AB151" s="298" t="n"/>
      <c r="AC151" s="588" t="n"/>
      <c r="AD151" s="298" t="n"/>
      <c r="AE151" s="298" t="n"/>
      <c r="AF151" s="298" t="n"/>
      <c r="AG151" s="298" t="n"/>
      <c r="AH151" s="298" t="n"/>
      <c r="AI151" s="298" t="n"/>
      <c r="AJ151" s="300" t="n"/>
      <c r="AK151" s="583">
        <f>SUM(B140:B151)</f>
        <v/>
      </c>
      <c r="AL151" s="584">
        <f>AK151+SUM(AD140:AD151)</f>
        <v/>
      </c>
      <c r="AM151" s="56">
        <f>SUM(C151:Y151)</f>
        <v/>
      </c>
      <c r="AN151" s="56">
        <f>AM151+AD151</f>
        <v/>
      </c>
    </row>
    <row r="153">
      <c r="V153" s="56" t="n"/>
    </row>
    <row r="154">
      <c r="V154" s="56" t="n"/>
    </row>
    <row r="155">
      <c r="V155" s="56" t="n"/>
    </row>
    <row r="157">
      <c r="A157" s="55" t="n">
        <v>2023</v>
      </c>
      <c r="B157" s="56">
        <f>SUM(B110:B121)</f>
        <v/>
      </c>
      <c r="C157" s="56">
        <f>SUM(C110:C121)</f>
        <v/>
      </c>
      <c r="D157" s="56">
        <f>SUM(D110:D121)</f>
        <v/>
      </c>
      <c r="E157" s="56">
        <f>SUM(E110:E121)</f>
        <v/>
      </c>
      <c r="F157" s="56">
        <f>SUM(F110:F121)</f>
        <v/>
      </c>
      <c r="G157" s="56">
        <f>SUM(G110:G121)</f>
        <v/>
      </c>
      <c r="H157" s="56">
        <f>SUM(H110:H121)</f>
        <v/>
      </c>
      <c r="I157" s="56">
        <f>SUM(I110:I121)</f>
        <v/>
      </c>
      <c r="J157" s="56">
        <f>SUM(J110:J121)</f>
        <v/>
      </c>
      <c r="K157" s="56">
        <f>SUM(K110:K121)</f>
        <v/>
      </c>
      <c r="L157" s="56">
        <f>SUM(L110:L121)</f>
        <v/>
      </c>
      <c r="M157" s="56">
        <f>SUM(M110:M121)</f>
        <v/>
      </c>
      <c r="N157" s="56">
        <f>SUM(N110:N121)</f>
        <v/>
      </c>
      <c r="O157" s="56">
        <f>SUM(O110:O121)</f>
        <v/>
      </c>
      <c r="P157" s="56">
        <f>SUM(P110:P121)</f>
        <v/>
      </c>
      <c r="Q157" s="56">
        <f>SUM(Q110:Q121)</f>
        <v/>
      </c>
      <c r="R157" s="56" t="n"/>
      <c r="S157" s="56" t="n"/>
      <c r="T157" s="56" t="n"/>
      <c r="U157" s="56" t="n"/>
      <c r="V157" s="56" t="n"/>
      <c r="W157" s="56">
        <f>SUM(W110:W121)</f>
        <v/>
      </c>
      <c r="X157" s="56">
        <f>SUM(X110:X121)</f>
        <v/>
      </c>
      <c r="Y157" s="56">
        <f>SUM(Y110:Y121)</f>
        <v/>
      </c>
      <c r="Z157" s="56">
        <f>SUM(Z110:Z121)</f>
        <v/>
      </c>
      <c r="AA157" s="56">
        <f>SUM(AA110:AA121)</f>
        <v/>
      </c>
      <c r="AB157" s="56">
        <f>SUM(AB110:AB121)</f>
        <v/>
      </c>
      <c r="AC157" s="589" t="n"/>
      <c r="AD157" s="56">
        <f>SUM(AD110:AD121)</f>
        <v/>
      </c>
      <c r="AE157" s="56">
        <f>SUM(AE110:AE121)</f>
        <v/>
      </c>
      <c r="AF157" s="56" t="n"/>
      <c r="AG157" s="56" t="n"/>
      <c r="AH157" s="56" t="n"/>
      <c r="AI157" s="56" t="n"/>
      <c r="AJ157" s="56" t="n"/>
    </row>
    <row r="158">
      <c r="A158" s="55" t="n">
        <v>2024</v>
      </c>
      <c r="B158" s="56">
        <f>SUM(B122:B133)</f>
        <v/>
      </c>
      <c r="C158" s="56">
        <f>SUM(C122:C133)</f>
        <v/>
      </c>
      <c r="D158" s="56">
        <f>SUM(D122:D133)</f>
        <v/>
      </c>
      <c r="E158" s="56">
        <f>SUM(E122:E133)</f>
        <v/>
      </c>
      <c r="F158" s="56">
        <f>SUM(F122:F133)</f>
        <v/>
      </c>
      <c r="G158" s="56">
        <f>SUM(G122:G133)</f>
        <v/>
      </c>
      <c r="H158" s="56">
        <f>SUM(H122:H133)</f>
        <v/>
      </c>
      <c r="I158" s="56">
        <f>SUM(I122:I133)</f>
        <v/>
      </c>
      <c r="J158" s="56">
        <f>SUM(J122:J133)</f>
        <v/>
      </c>
      <c r="K158" s="56">
        <f>SUM(K122:K133)</f>
        <v/>
      </c>
      <c r="L158" s="56">
        <f>SUM(L122:L133)</f>
        <v/>
      </c>
      <c r="M158" s="56">
        <f>SUM(M122:M133)</f>
        <v/>
      </c>
      <c r="N158" s="56">
        <f>SUM(N122:N133)</f>
        <v/>
      </c>
      <c r="O158" s="56">
        <f>SUM(O122:O133)</f>
        <v/>
      </c>
      <c r="P158" s="56">
        <f>SUM(P122:P133)</f>
        <v/>
      </c>
      <c r="Q158" s="56">
        <f>SUM(Q122:Q133)</f>
        <v/>
      </c>
      <c r="R158" s="56" t="n"/>
      <c r="S158" s="56" t="n"/>
      <c r="T158" s="56" t="n"/>
      <c r="U158" s="56" t="n"/>
      <c r="V158" s="56" t="n"/>
      <c r="W158" s="56">
        <f>SUM(W122:W133)</f>
        <v/>
      </c>
      <c r="X158" s="56">
        <f>SUM(X122:X133)</f>
        <v/>
      </c>
      <c r="Y158" s="56">
        <f>SUM(Y122:Y133)</f>
        <v/>
      </c>
      <c r="Z158" s="56">
        <f>SUM(Z122:Z133)</f>
        <v/>
      </c>
      <c r="AA158" s="56">
        <f>SUM(AA122:AA133)</f>
        <v/>
      </c>
      <c r="AB158" s="56">
        <f>SUM(AB122:AB133)</f>
        <v/>
      </c>
      <c r="AC158" s="589" t="n"/>
      <c r="AD158" s="56">
        <f>SUM(AD122:AD133)</f>
        <v/>
      </c>
      <c r="AE158" s="56">
        <f>SUM(AE122:AE133)</f>
        <v/>
      </c>
      <c r="AF158" s="56" t="n"/>
      <c r="AG158" s="56" t="n"/>
      <c r="AH158" s="56" t="n"/>
      <c r="AI158" s="56" t="n"/>
      <c r="AJ158" s="56" t="n"/>
    </row>
    <row r="159">
      <c r="B159" s="590">
        <f>(B158-B157)/B157</f>
        <v/>
      </c>
      <c r="C159" s="590">
        <f>(C158-C157)/C157</f>
        <v/>
      </c>
      <c r="D159" s="590">
        <f>(D158-D157)/D157</f>
        <v/>
      </c>
      <c r="E159" s="590">
        <f>(E158-E157)/E157</f>
        <v/>
      </c>
      <c r="F159" s="590">
        <f>(F158-F157)/F157</f>
        <v/>
      </c>
      <c r="G159" s="590">
        <f>(G158-G157)/G157</f>
        <v/>
      </c>
      <c r="H159" s="590">
        <f>(H158-H157)/H157</f>
        <v/>
      </c>
      <c r="I159" s="590">
        <f>(I158-I157)/I157</f>
        <v/>
      </c>
      <c r="J159" s="590">
        <f>(J158-J157)/J157</f>
        <v/>
      </c>
      <c r="K159" s="590">
        <f>(K158-K157)/K157</f>
        <v/>
      </c>
      <c r="L159" s="590">
        <f>(L158-L157)/L157</f>
        <v/>
      </c>
      <c r="M159" s="590">
        <f>(M158-M157)/M157</f>
        <v/>
      </c>
      <c r="N159" s="590">
        <f>(N158-N157)/N157</f>
        <v/>
      </c>
      <c r="O159" s="590">
        <f>(O158-O157)/O157</f>
        <v/>
      </c>
      <c r="P159" s="590">
        <f>(P158-P157)/P157</f>
        <v/>
      </c>
      <c r="Q159" s="590">
        <f>(Q158-Q157)/Q157</f>
        <v/>
      </c>
      <c r="R159" s="590" t="n"/>
      <c r="S159" s="590" t="n"/>
      <c r="T159" s="590" t="n"/>
      <c r="U159" s="590" t="n"/>
      <c r="V159" s="590" t="n"/>
      <c r="W159" s="590">
        <f>(W158-W157)/W157</f>
        <v/>
      </c>
      <c r="X159" s="590">
        <f>(X158-X157)/X157</f>
        <v/>
      </c>
      <c r="Y159" s="590">
        <f>(Y158-Y157)/Y157</f>
        <v/>
      </c>
      <c r="Z159" s="590">
        <f>(Z158-Z157)/Z157</f>
        <v/>
      </c>
      <c r="AA159" s="590">
        <f>(AA158-AA157)/AA157</f>
        <v/>
      </c>
      <c r="AB159" s="590">
        <f>(AB158-AB157)/AB157</f>
        <v/>
      </c>
      <c r="AC159" s="591" t="n"/>
      <c r="AD159" s="590">
        <f>(AD158-AD157)/AD157</f>
        <v/>
      </c>
      <c r="AE159" s="590">
        <f>(AE158-AE157)/AE157</f>
        <v/>
      </c>
      <c r="AF159" s="590" t="n"/>
      <c r="AG159" s="590" t="n"/>
      <c r="AH159" s="590" t="n"/>
      <c r="AI159" s="590" t="n"/>
      <c r="AJ159" s="590" t="n"/>
    </row>
    <row r="160">
      <c r="B160" s="56">
        <f>B158-B157</f>
        <v/>
      </c>
      <c r="C160" s="56">
        <f>C158-C157</f>
        <v/>
      </c>
      <c r="D160" s="56">
        <f>D158-D157</f>
        <v/>
      </c>
      <c r="E160" s="56">
        <f>E158-E157</f>
        <v/>
      </c>
      <c r="F160" s="56">
        <f>F158-F157</f>
        <v/>
      </c>
      <c r="G160" s="56">
        <f>G158-G157</f>
        <v/>
      </c>
      <c r="H160" s="56">
        <f>H158-H157</f>
        <v/>
      </c>
      <c r="I160" s="56">
        <f>I158-I157</f>
        <v/>
      </c>
      <c r="J160" s="56">
        <f>J158-J157</f>
        <v/>
      </c>
      <c r="K160" s="56">
        <f>K158-K157</f>
        <v/>
      </c>
      <c r="L160" s="56">
        <f>L158-L157</f>
        <v/>
      </c>
      <c r="M160" s="56">
        <f>M158-M157</f>
        <v/>
      </c>
      <c r="N160" s="56">
        <f>N158-N157</f>
        <v/>
      </c>
      <c r="O160" s="56">
        <f>O158-O157</f>
        <v/>
      </c>
      <c r="P160" s="56">
        <f>P158-P157</f>
        <v/>
      </c>
      <c r="Q160" s="56">
        <f>Q158-Q157</f>
        <v/>
      </c>
      <c r="R160" s="56" t="n"/>
      <c r="S160" s="56" t="n"/>
      <c r="T160" s="56" t="n"/>
      <c r="U160" s="56" t="n"/>
      <c r="V160" s="56" t="n"/>
      <c r="W160" s="56">
        <f>W158-W157</f>
        <v/>
      </c>
      <c r="X160" s="56">
        <f>X158-X157</f>
        <v/>
      </c>
      <c r="Y160" s="56">
        <f>Y158-Y157</f>
        <v/>
      </c>
      <c r="Z160" s="56">
        <f>Z158-Z157</f>
        <v/>
      </c>
      <c r="AA160" s="56">
        <f>AA158-AA157</f>
        <v/>
      </c>
      <c r="AB160" s="56">
        <f>AB158-AB157</f>
        <v/>
      </c>
      <c r="AC160" s="589" t="n"/>
      <c r="AD160" s="56">
        <f>AD158-AD157</f>
        <v/>
      </c>
      <c r="AE160" s="56">
        <f>AE158-AE157</f>
        <v/>
      </c>
      <c r="AF160" s="56" t="n"/>
      <c r="AG160" s="56" t="n"/>
      <c r="AH160" s="56" t="n"/>
      <c r="AI160" s="56" t="n"/>
      <c r="AJ160" s="56" t="n"/>
    </row>
    <row r="161">
      <c r="C161" s="590">
        <f>C160/$B$160</f>
        <v/>
      </c>
      <c r="D161" s="590">
        <f>D160/$B$160</f>
        <v/>
      </c>
      <c r="E161" s="590">
        <f>E160/$B$160</f>
        <v/>
      </c>
      <c r="F161" s="590">
        <f>F160/$B$160</f>
        <v/>
      </c>
      <c r="G161" s="590">
        <f>G160/$B$160</f>
        <v/>
      </c>
      <c r="H161" s="590">
        <f>H160/$B$160</f>
        <v/>
      </c>
      <c r="I161" s="590">
        <f>I160/$B$160</f>
        <v/>
      </c>
      <c r="J161" s="590">
        <f>J160/$B$160</f>
        <v/>
      </c>
      <c r="K161" s="590">
        <f>K160/$B$160</f>
        <v/>
      </c>
      <c r="L161" s="590">
        <f>L160/$B$160</f>
        <v/>
      </c>
      <c r="M161" s="590">
        <f>M160/$B$160</f>
        <v/>
      </c>
      <c r="N161" s="590">
        <f>N160/$B$160</f>
        <v/>
      </c>
      <c r="O161" s="590">
        <f>O160/$B$160</f>
        <v/>
      </c>
      <c r="P161" s="590">
        <f>P160/$B$160</f>
        <v/>
      </c>
      <c r="Q161" s="590">
        <f>Q160/$B$160</f>
        <v/>
      </c>
      <c r="R161" s="590" t="n"/>
      <c r="S161" s="590" t="n"/>
      <c r="T161" s="590" t="n"/>
      <c r="U161" s="590" t="n"/>
      <c r="V161" s="590" t="n"/>
      <c r="W161" s="590">
        <f>W160/$B$160</f>
        <v/>
      </c>
      <c r="X161" s="590">
        <f>X160/$B$160</f>
        <v/>
      </c>
      <c r="Y161" s="590">
        <f>Y160/$B$160</f>
        <v/>
      </c>
      <c r="Z161" s="590">
        <f>Z160/$B$160</f>
        <v/>
      </c>
      <c r="AA161" s="590">
        <f>AA160/$B$160</f>
        <v/>
      </c>
      <c r="AB161" s="590">
        <f>AB160/$B$160</f>
        <v/>
      </c>
      <c r="AC161" s="591" t="n"/>
      <c r="AD161" s="590">
        <f>AD160/$B$160</f>
        <v/>
      </c>
      <c r="AE161" s="590">
        <f>AE160/$B$160</f>
        <v/>
      </c>
      <c r="AF161" s="590" t="n"/>
      <c r="AG161" s="590" t="n"/>
      <c r="AH161" s="590" t="n"/>
      <c r="AI161" s="590" t="n"/>
      <c r="AJ161" s="590" t="n"/>
    </row>
    <row r="164">
      <c r="B164" s="55" t="n">
        <v>8250000</v>
      </c>
    </row>
    <row r="165">
      <c r="B165" s="55" t="n">
        <v>350000</v>
      </c>
    </row>
    <row r="166">
      <c r="B166" s="55">
        <f>B165/B164</f>
        <v/>
      </c>
    </row>
  </sheetData>
  <mergeCells count="2">
    <mergeCell ref="AO8:AQ8"/>
    <mergeCell ref="AO9:AQ9"/>
  </mergeCells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baseColWidth="10" defaultColWidth="8.6640625" defaultRowHeight="16"/>
  <cols>
    <col width="10.6640625" customWidth="1" style="367" min="1" max="1"/>
    <col width="15.83203125" customWidth="1" style="191" min="2" max="2"/>
    <col width="15.6640625" customWidth="1" style="8" min="3" max="3"/>
    <col width="18.33203125" customWidth="1" style="8" min="4" max="4"/>
    <col width="10.6640625" customWidth="1" style="8" min="5" max="5"/>
    <col width="13.33203125" customWidth="1" style="8" min="6" max="10"/>
    <col width="10.6640625" customWidth="1" style="8" min="11" max="13"/>
    <col hidden="1" width="10.6640625" customWidth="1" style="8" min="14" max="14"/>
    <col width="10.6640625" customWidth="1" style="8" min="15" max="24"/>
    <col width="13.33203125" customWidth="1" style="8" min="25" max="25"/>
    <col hidden="1" width="15.6640625" customWidth="1" style="8" min="26" max="26"/>
    <col width="13.33203125" customWidth="1" style="8" min="27" max="28"/>
    <col hidden="1" width="13.33203125" customWidth="1" style="8" min="29" max="29"/>
    <col width="3.33203125" customWidth="1" style="142" min="30" max="30"/>
    <col width="10.83203125" customWidth="1" style="8" min="31" max="31"/>
    <col width="13.33203125" customWidth="1" style="8" min="32" max="32"/>
    <col width="15.83203125" customWidth="1" style="8" min="33" max="33"/>
    <col width="10.83203125" customWidth="1" style="8" min="34" max="35"/>
    <col width="13.33203125" customWidth="1" style="8" min="36" max="37"/>
    <col width="8.6640625" customWidth="1" style="8" min="38" max="16384"/>
  </cols>
  <sheetData>
    <row r="1" ht="69" customHeight="1" thickBot="1">
      <c r="A1" s="52" t="inlineStr">
        <is>
          <t>Date</t>
        </is>
      </c>
      <c r="B1" s="52" t="inlineStr">
        <is>
          <t>CLP + TKO</t>
        </is>
      </c>
      <c r="C1" s="52" t="inlineStr">
        <is>
          <t>CLP Total</t>
        </is>
      </c>
      <c r="D1" s="169" t="inlineStr">
        <is>
          <t>Main Academic Buildings &amp; Other Public Facilities</t>
        </is>
      </c>
      <c r="E1" s="170" t="inlineStr">
        <is>
          <t>EC</t>
        </is>
      </c>
      <c r="F1" s="170" t="inlineStr">
        <is>
          <t>CYT</t>
        </is>
      </c>
      <c r="G1" s="170" t="inlineStr">
        <is>
          <t>Shaw Auditorium</t>
        </is>
      </c>
      <c r="H1" s="170" t="inlineStr">
        <is>
          <t>APCF 
(R/F Zone L)</t>
        </is>
      </c>
      <c r="I1" s="170" t="inlineStr">
        <is>
          <t>New Data Centre 
(2/F Zone L)</t>
        </is>
      </c>
      <c r="J1" s="171" t="inlineStr">
        <is>
          <t>Main Chiller Plant</t>
        </is>
      </c>
      <c r="K1" s="172" t="inlineStr">
        <is>
          <t>LSKBB</t>
        </is>
      </c>
      <c r="L1" s="172" t="inlineStr">
        <is>
          <t>IAS</t>
        </is>
      </c>
      <c r="M1" s="172" t="inlineStr">
        <is>
          <t>Conference Lodge</t>
        </is>
      </c>
      <c r="N1" s="172" t="inlineStr">
        <is>
          <t>LSK Hostel</t>
        </is>
      </c>
      <c r="O1" s="173" t="inlineStr">
        <is>
          <t>LSK Chiller Plant</t>
        </is>
      </c>
      <c r="P1" s="174" t="inlineStr">
        <is>
          <t>WWT</t>
        </is>
      </c>
      <c r="Q1" s="174" t="inlineStr">
        <is>
          <t>Water Sport Centre</t>
        </is>
      </c>
      <c r="R1" s="174" t="inlineStr">
        <is>
          <t>SISC</t>
        </is>
      </c>
      <c r="S1" s="573" t="inlineStr">
        <is>
          <t>HPC6</t>
        </is>
      </c>
      <c r="T1" s="574" t="inlineStr">
        <is>
          <t>RB2</t>
        </is>
      </c>
      <c r="U1" s="592" t="inlineStr">
        <is>
          <t>IB</t>
        </is>
      </c>
      <c r="V1" s="175" t="inlineStr">
        <is>
          <t>SRD (UG10-13)</t>
        </is>
      </c>
      <c r="W1" s="175" t="inlineStr">
        <is>
          <t>TA-B</t>
        </is>
      </c>
      <c r="X1" s="175" t="inlineStr">
        <is>
          <t>GGT</t>
        </is>
      </c>
      <c r="Y1" s="175" t="inlineStr">
        <is>
          <t>Student Housing</t>
        </is>
      </c>
      <c r="Z1" s="176" t="inlineStr">
        <is>
          <t xml:space="preserve">Staff Quarters &amp; Commercial Outlets </t>
        </is>
      </c>
      <c r="AA1" s="593" t="inlineStr">
        <is>
          <t>Commercial Outlets</t>
        </is>
      </c>
      <c r="AB1" s="176" t="inlineStr">
        <is>
          <t>Staff Quarters</t>
        </is>
      </c>
      <c r="AC1" s="253" t="inlineStr">
        <is>
          <t>Combined Chiller Plants</t>
        </is>
      </c>
      <c r="AD1" s="575" t="n"/>
      <c r="AE1" s="576" t="inlineStr">
        <is>
          <t>TKO JC Hall</t>
        </is>
      </c>
      <c r="AF1" s="577" t="inlineStr">
        <is>
          <t>EC 3/F Data Centre (Elect)</t>
        </is>
      </c>
      <c r="AG1" s="577" t="inlineStr">
        <is>
          <t>EC 3/F Data Centre (Chiller kWhe)</t>
        </is>
      </c>
      <c r="AH1" s="578" t="inlineStr">
        <is>
          <t>SRD (Chiller kWhe)</t>
        </is>
      </c>
      <c r="AI1" s="578" t="inlineStr">
        <is>
          <t>IB (Chiller kWhe)</t>
        </is>
      </c>
      <c r="AJ1" s="579" t="inlineStr">
        <is>
          <t>BMW EV Charger kWh (LG7 &amp; WWT)</t>
        </is>
      </c>
      <c r="AK1" s="579" t="inlineStr">
        <is>
          <t>Corner Stone EV Charger kWh</t>
        </is>
      </c>
    </row>
    <row r="2">
      <c r="A2" s="367" t="inlineStr">
        <is>
          <t>2014/15</t>
        </is>
      </c>
      <c r="B2" s="185">
        <f>C2+AE2</f>
        <v/>
      </c>
      <c r="C2" s="9">
        <f>SUM('Monthly Electricity (Overview)'!B8:B19)</f>
        <v/>
      </c>
      <c r="D2" s="9">
        <f>SUM('Monthly Electricity (Overview)'!C8:C19)</f>
        <v/>
      </c>
      <c r="E2" s="9">
        <f>SUM('Monthly Electricity (Overview)'!D8:D19)</f>
        <v/>
      </c>
      <c r="F2" s="9">
        <f>SUM('Monthly Electricity (Overview)'!E8:E19)</f>
        <v/>
      </c>
      <c r="G2" s="9">
        <f>SUM('Monthly Electricity (Overview)'!F8:F19)</f>
        <v/>
      </c>
      <c r="H2" s="9">
        <f>SUM('Monthly Electricity (Overview)'!G8:G19)</f>
        <v/>
      </c>
      <c r="I2" s="9">
        <f>SUM('Monthly Electricity (Overview)'!H8:H19)</f>
        <v/>
      </c>
      <c r="J2" s="9">
        <f>SUM('Monthly Electricity (Overview)'!I8:I19)</f>
        <v/>
      </c>
      <c r="K2" s="9">
        <f>SUM('Monthly Electricity (Overview)'!J8:J19)</f>
        <v/>
      </c>
      <c r="L2" s="9">
        <f>SUM('Monthly Electricity (Overview)'!K8:K19)</f>
        <v/>
      </c>
      <c r="M2" s="9" t="n"/>
      <c r="N2" s="9">
        <f>SUM('Monthly Electricity (Overview)'!M8:M19)</f>
        <v/>
      </c>
      <c r="O2" s="9">
        <f>SUM('Monthly Electricity (Overview)'!N8:N19)</f>
        <v/>
      </c>
      <c r="P2" s="9">
        <f>SUM('Monthly Electricity (Overview)'!O8:O19)</f>
        <v/>
      </c>
      <c r="Q2" s="9" t="n"/>
      <c r="R2" s="9" t="n"/>
      <c r="S2" s="9" t="n"/>
      <c r="T2" s="9" t="n"/>
      <c r="U2" s="9" t="n"/>
      <c r="V2" s="9" t="n"/>
      <c r="W2" s="9" t="n"/>
      <c r="X2" s="9" t="n"/>
      <c r="Y2" s="9">
        <f>SUM('Monthly Electricity (Overview)'!X8:X19)</f>
        <v/>
      </c>
      <c r="Z2" s="9">
        <f>SUM('Monthly Electricity (Overview)'!Y8:Y19)</f>
        <v/>
      </c>
      <c r="AA2" s="9">
        <f>SUM('Monthly Electricity (Overview)'!Z8:Z19)</f>
        <v/>
      </c>
      <c r="AB2" s="9">
        <f>SUM('Monthly Electricity (Overview)'!AA8:AA19)</f>
        <v/>
      </c>
      <c r="AC2" s="9">
        <f>SUM('Monthly Electricity (Overview)'!AB8:AB19)</f>
        <v/>
      </c>
      <c r="AD2" s="149" t="n"/>
      <c r="AE2" s="9" t="n"/>
      <c r="AF2" s="9" t="n"/>
      <c r="AG2" s="9" t="n"/>
      <c r="AH2" s="9" t="n"/>
      <c r="AI2" s="9" t="n"/>
      <c r="AJ2" s="9" t="n"/>
      <c r="AK2" s="9" t="n"/>
    </row>
    <row r="3">
      <c r="A3" s="367" t="inlineStr">
        <is>
          <t>2015/16</t>
        </is>
      </c>
      <c r="B3" s="185">
        <f>C3+AE3</f>
        <v/>
      </c>
      <c r="C3" s="9">
        <f>SUM('Monthly Electricity (Overview)'!B20:B31)</f>
        <v/>
      </c>
      <c r="D3" s="9">
        <f>SUM('Monthly Electricity (Overview)'!C20:C31)</f>
        <v/>
      </c>
      <c r="E3" s="9">
        <f>SUM('Monthly Electricity (Overview)'!D20:D31)</f>
        <v/>
      </c>
      <c r="F3" s="9">
        <f>SUM('Monthly Electricity (Overview)'!E20:E31)</f>
        <v/>
      </c>
      <c r="G3" s="9">
        <f>SUM('Monthly Electricity (Overview)'!F20:F31)</f>
        <v/>
      </c>
      <c r="H3" s="9">
        <f>SUM('Monthly Electricity (Overview)'!G20:G31)</f>
        <v/>
      </c>
      <c r="I3" s="9">
        <f>SUM('Monthly Electricity (Overview)'!H20:H31)</f>
        <v/>
      </c>
      <c r="J3" s="9">
        <f>SUM('Monthly Electricity (Overview)'!I20:I31)</f>
        <v/>
      </c>
      <c r="K3" s="9">
        <f>SUM('Monthly Electricity (Overview)'!J20:J31)</f>
        <v/>
      </c>
      <c r="L3" s="9">
        <f>SUM('Monthly Electricity (Overview)'!K20:K31)</f>
        <v/>
      </c>
      <c r="M3" s="9">
        <f>SUM('Monthly Electricity (Overview)'!L20:L31)</f>
        <v/>
      </c>
      <c r="N3" s="9">
        <f>SUM('Monthly Electricity (Overview)'!M20:M31)</f>
        <v/>
      </c>
      <c r="O3" s="9">
        <f>SUM('Monthly Electricity (Overview)'!N20:N31)</f>
        <v/>
      </c>
      <c r="P3" s="9">
        <f>SUM('Monthly Electricity (Overview)'!O20:O31)</f>
        <v/>
      </c>
      <c r="Q3" s="9" t="n"/>
      <c r="R3" s="9" t="n"/>
      <c r="S3" s="9" t="n"/>
      <c r="T3" s="9" t="n"/>
      <c r="U3" s="9" t="n"/>
      <c r="V3" s="9" t="n"/>
      <c r="W3" s="9" t="n"/>
      <c r="X3" s="9" t="n"/>
      <c r="Y3" s="9">
        <f>SUM('Monthly Electricity (Overview)'!X20:X31)</f>
        <v/>
      </c>
      <c r="Z3" s="9">
        <f>SUM('Monthly Electricity (Overview)'!Y20:Y31)</f>
        <v/>
      </c>
      <c r="AA3" s="9">
        <f>SUM('Monthly Electricity (Overview)'!Z20:Z31)</f>
        <v/>
      </c>
      <c r="AB3" s="9">
        <f>SUM('Monthly Electricity (Overview)'!AA20:AA31)</f>
        <v/>
      </c>
      <c r="AC3" s="9">
        <f>SUM('Monthly Electricity (Overview)'!AB20:AB31)</f>
        <v/>
      </c>
      <c r="AD3" s="149" t="n"/>
      <c r="AE3" s="9" t="n"/>
      <c r="AF3" s="9" t="n"/>
      <c r="AG3" s="9" t="n"/>
      <c r="AH3" s="9" t="n"/>
      <c r="AI3" s="9" t="n"/>
      <c r="AJ3" s="9" t="n"/>
      <c r="AK3" s="9" t="n"/>
    </row>
    <row r="4">
      <c r="A4" s="367" t="inlineStr">
        <is>
          <t>2016/17</t>
        </is>
      </c>
      <c r="B4" s="185">
        <f>C4+AE4</f>
        <v/>
      </c>
      <c r="C4" s="9">
        <f>SUM('Monthly Electricity (Overview)'!B32:B43)</f>
        <v/>
      </c>
      <c r="D4" s="9">
        <f>SUM('Monthly Electricity (Overview)'!C32:C43)</f>
        <v/>
      </c>
      <c r="E4" s="9">
        <f>SUM('Monthly Electricity (Overview)'!D32:D43)</f>
        <v/>
      </c>
      <c r="F4" s="9">
        <f>SUM('Monthly Electricity (Overview)'!E32:E43)</f>
        <v/>
      </c>
      <c r="G4" s="9">
        <f>SUM('Monthly Electricity (Overview)'!F32:F43)</f>
        <v/>
      </c>
      <c r="H4" s="9">
        <f>SUM('Monthly Electricity (Overview)'!G32:G43)</f>
        <v/>
      </c>
      <c r="I4" s="9">
        <f>SUM('Monthly Electricity (Overview)'!H32:H43)</f>
        <v/>
      </c>
      <c r="J4" s="9">
        <f>SUM('Monthly Electricity (Overview)'!I32:I43)</f>
        <v/>
      </c>
      <c r="K4" s="9">
        <f>SUM('Monthly Electricity (Overview)'!J32:J43)</f>
        <v/>
      </c>
      <c r="L4" s="9">
        <f>SUM('Monthly Electricity (Overview)'!K32:K43)</f>
        <v/>
      </c>
      <c r="M4" s="9">
        <f>SUM('Monthly Electricity (Overview)'!L32:L43)</f>
        <v/>
      </c>
      <c r="N4" s="9">
        <f>SUM('Monthly Electricity (Overview)'!M32:M43)</f>
        <v/>
      </c>
      <c r="O4" s="9">
        <f>SUM('Monthly Electricity (Overview)'!N32:N43)</f>
        <v/>
      </c>
      <c r="P4" s="9">
        <f>SUM('Monthly Electricity (Overview)'!O32:O43)</f>
        <v/>
      </c>
      <c r="Q4" s="9" t="n"/>
      <c r="R4" s="9" t="n"/>
      <c r="S4" s="9" t="n"/>
      <c r="T4" s="9" t="n"/>
      <c r="U4" s="9" t="n"/>
      <c r="V4" s="9" t="n"/>
      <c r="W4" s="9" t="n"/>
      <c r="X4" s="9" t="n"/>
      <c r="Y4" s="9">
        <f>SUM('Monthly Electricity (Overview)'!X32:X43)</f>
        <v/>
      </c>
      <c r="Z4" s="9">
        <f>SUM('Monthly Electricity (Overview)'!Y32:Y43)</f>
        <v/>
      </c>
      <c r="AA4" s="9">
        <f>SUM('Monthly Electricity (Overview)'!Z32:Z43)</f>
        <v/>
      </c>
      <c r="AB4" s="9">
        <f>SUM('Monthly Electricity (Overview)'!AA32:AA43)</f>
        <v/>
      </c>
      <c r="AC4" s="9">
        <f>SUM('Monthly Electricity (Overview)'!AB32:AB43)</f>
        <v/>
      </c>
      <c r="AD4" s="149" t="n"/>
      <c r="AE4" s="9" t="n"/>
      <c r="AF4" s="9" t="n"/>
      <c r="AG4" s="9" t="n"/>
      <c r="AH4" s="9" t="n"/>
      <c r="AI4" s="9" t="n"/>
      <c r="AJ4" s="9" t="n"/>
      <c r="AK4" s="9" t="n"/>
    </row>
    <row r="5">
      <c r="A5" s="367" t="inlineStr">
        <is>
          <t>2017/18</t>
        </is>
      </c>
      <c r="B5" s="185">
        <f>C5+AE5</f>
        <v/>
      </c>
      <c r="C5" s="9">
        <f>SUM('Monthly Electricity (Overview)'!B44:B55)</f>
        <v/>
      </c>
      <c r="D5" s="9">
        <f>SUM('Monthly Electricity (Overview)'!C44:C55)</f>
        <v/>
      </c>
      <c r="E5" s="9">
        <f>SUM('Monthly Electricity (Overview)'!D44:D55)</f>
        <v/>
      </c>
      <c r="F5" s="9">
        <f>SUM('Monthly Electricity (Overview)'!E44:E55)</f>
        <v/>
      </c>
      <c r="G5" s="9">
        <f>SUM('Monthly Electricity (Overview)'!F44:F55)</f>
        <v/>
      </c>
      <c r="H5" s="9">
        <f>SUM('Monthly Electricity (Overview)'!G44:G55)</f>
        <v/>
      </c>
      <c r="I5" s="9">
        <f>SUM('Monthly Electricity (Overview)'!H44:H55)</f>
        <v/>
      </c>
      <c r="J5" s="9">
        <f>SUM('Monthly Electricity (Overview)'!I44:I55)</f>
        <v/>
      </c>
      <c r="K5" s="9">
        <f>SUM('Monthly Electricity (Overview)'!J44:J55)</f>
        <v/>
      </c>
      <c r="L5" s="9">
        <f>SUM('Monthly Electricity (Overview)'!K44:K55)</f>
        <v/>
      </c>
      <c r="M5" s="9">
        <f>SUM('Monthly Electricity (Overview)'!L44:L55)</f>
        <v/>
      </c>
      <c r="N5" s="9">
        <f>SUM('Monthly Electricity (Overview)'!M44:M55)</f>
        <v/>
      </c>
      <c r="O5" s="9">
        <f>SUM('Monthly Electricity (Overview)'!N44:N55)</f>
        <v/>
      </c>
      <c r="P5" s="9">
        <f>SUM('Monthly Electricity (Overview)'!O44:O55)</f>
        <v/>
      </c>
      <c r="Q5" s="9" t="n"/>
      <c r="R5" s="9">
        <f>SUM('Monthly Electricity (Overview)'!Q44:Q55)</f>
        <v/>
      </c>
      <c r="S5" s="9" t="n"/>
      <c r="T5" s="9" t="n"/>
      <c r="U5" s="9" t="n"/>
      <c r="V5" s="9" t="n"/>
      <c r="W5" s="9" t="n"/>
      <c r="X5" s="9" t="n"/>
      <c r="Y5" s="9">
        <f>SUM('Monthly Electricity (Overview)'!X44:X55)</f>
        <v/>
      </c>
      <c r="Z5" s="9">
        <f>SUM('Monthly Electricity (Overview)'!Y44:Y55)</f>
        <v/>
      </c>
      <c r="AA5" s="9">
        <f>SUM('Monthly Electricity (Overview)'!Z44:Z55)</f>
        <v/>
      </c>
      <c r="AB5" s="9">
        <f>SUM('Monthly Electricity (Overview)'!AA44:AA55)</f>
        <v/>
      </c>
      <c r="AC5" s="9">
        <f>SUM('Monthly Electricity (Overview)'!AB44:AB55)</f>
        <v/>
      </c>
      <c r="AD5" s="149" t="n"/>
      <c r="AE5" s="9">
        <f>SUM('Monthly Electricity (Overview)'!AD44:AD55)</f>
        <v/>
      </c>
      <c r="AF5" s="9" t="n"/>
      <c r="AG5" s="9" t="n"/>
      <c r="AH5" s="9" t="n"/>
      <c r="AI5" s="9" t="n"/>
      <c r="AJ5" s="9" t="n"/>
      <c r="AK5" s="9" t="n"/>
    </row>
    <row r="6">
      <c r="A6" s="367" t="inlineStr">
        <is>
          <t>2018/19</t>
        </is>
      </c>
      <c r="B6" s="185">
        <f>C6+AE6</f>
        <v/>
      </c>
      <c r="C6" s="9">
        <f>SUM('Monthly Electricity (Overview)'!B56:B67)</f>
        <v/>
      </c>
      <c r="D6" s="9">
        <f>SUM('Monthly Electricity (Overview)'!C56:C67)</f>
        <v/>
      </c>
      <c r="E6" s="9">
        <f>SUM('Monthly Electricity (Overview)'!D56:D67)</f>
        <v/>
      </c>
      <c r="F6" s="9">
        <f>SUM('Monthly Electricity (Overview)'!E56:E67)</f>
        <v/>
      </c>
      <c r="G6" s="9">
        <f>SUM('Monthly Electricity (Overview)'!F56:F67)</f>
        <v/>
      </c>
      <c r="H6" s="9">
        <f>SUM('Monthly Electricity (Overview)'!G56:G67)</f>
        <v/>
      </c>
      <c r="I6" s="9">
        <f>SUM('Monthly Electricity (Overview)'!H56:H67)</f>
        <v/>
      </c>
      <c r="J6" s="9">
        <f>SUM('Monthly Electricity (Overview)'!I56:I67)</f>
        <v/>
      </c>
      <c r="K6" s="9">
        <f>SUM('Monthly Electricity (Overview)'!J56:J67)</f>
        <v/>
      </c>
      <c r="L6" s="9">
        <f>SUM('Monthly Electricity (Overview)'!K56:K67)</f>
        <v/>
      </c>
      <c r="M6" s="9">
        <f>SUM('Monthly Electricity (Overview)'!L56:L67)</f>
        <v/>
      </c>
      <c r="N6" s="9">
        <f>SUM('Monthly Electricity (Overview)'!M56:M67)</f>
        <v/>
      </c>
      <c r="O6" s="9">
        <f>SUM('Monthly Electricity (Overview)'!N56:N67)</f>
        <v/>
      </c>
      <c r="P6" s="9">
        <f>SUM('Monthly Electricity (Overview)'!O56:O67)</f>
        <v/>
      </c>
      <c r="Q6" s="9" t="n"/>
      <c r="R6" s="9">
        <f>SUM('Monthly Electricity (Overview)'!Q56:Q67)</f>
        <v/>
      </c>
      <c r="S6" s="9" t="n"/>
      <c r="T6" s="9" t="n"/>
      <c r="U6" s="9" t="n"/>
      <c r="V6" s="9" t="n"/>
      <c r="W6" s="9" t="n"/>
      <c r="X6" s="9" t="n"/>
      <c r="Y6" s="9">
        <f>SUM('Monthly Electricity (Overview)'!X56:X67)</f>
        <v/>
      </c>
      <c r="Z6" s="9">
        <f>SUM('Monthly Electricity (Overview)'!Y56:Y67)</f>
        <v/>
      </c>
      <c r="AA6" s="9">
        <f>SUM('Monthly Electricity (Overview)'!Z56:Z67)</f>
        <v/>
      </c>
      <c r="AB6" s="9">
        <f>SUM('Monthly Electricity (Overview)'!AA56:AA67)</f>
        <v/>
      </c>
      <c r="AC6" s="9">
        <f>SUM('Monthly Electricity (Overview)'!AB56:AB67)</f>
        <v/>
      </c>
      <c r="AD6" s="149" t="n"/>
      <c r="AE6" s="9">
        <f>SUM('Monthly Electricity (Overview)'!AD56:AD67)</f>
        <v/>
      </c>
      <c r="AF6" s="9" t="n"/>
      <c r="AG6" s="9" t="n"/>
      <c r="AH6" s="9" t="n"/>
      <c r="AI6" s="9" t="n"/>
      <c r="AJ6" s="9" t="n"/>
      <c r="AK6" s="9" t="n"/>
    </row>
    <row r="7">
      <c r="A7" s="367" t="inlineStr">
        <is>
          <t>2019/20</t>
        </is>
      </c>
      <c r="B7" s="185">
        <f>C7+AE7</f>
        <v/>
      </c>
      <c r="C7" s="9">
        <f>SUM('Monthly Electricity (Overview)'!B68:B79)</f>
        <v/>
      </c>
      <c r="D7" s="9">
        <f>SUM('Monthly Electricity (Overview)'!C68:C79)</f>
        <v/>
      </c>
      <c r="E7" s="9">
        <f>SUM('Monthly Electricity (Overview)'!D68:D79)</f>
        <v/>
      </c>
      <c r="F7" s="9">
        <f>SUM('Monthly Electricity (Overview)'!E68:E79)</f>
        <v/>
      </c>
      <c r="G7" s="9">
        <f>SUM('Monthly Electricity (Overview)'!F68:F79)</f>
        <v/>
      </c>
      <c r="H7" s="9">
        <f>SUM('Monthly Electricity (Overview)'!G68:G79)</f>
        <v/>
      </c>
      <c r="I7" s="9">
        <f>SUM('Monthly Electricity (Overview)'!H68:H79)</f>
        <v/>
      </c>
      <c r="J7" s="9">
        <f>SUM('Monthly Electricity (Overview)'!I68:I79)</f>
        <v/>
      </c>
      <c r="K7" s="9">
        <f>SUM('Monthly Electricity (Overview)'!J68:J79)</f>
        <v/>
      </c>
      <c r="L7" s="9">
        <f>SUM('Monthly Electricity (Overview)'!K68:K79)</f>
        <v/>
      </c>
      <c r="M7" s="9">
        <f>SUM('Monthly Electricity (Overview)'!L68:L79)</f>
        <v/>
      </c>
      <c r="N7" s="9">
        <f>SUM('Monthly Electricity (Overview)'!M68:M79)</f>
        <v/>
      </c>
      <c r="O7" s="9">
        <f>SUM('Monthly Electricity (Overview)'!N68:N79)</f>
        <v/>
      </c>
      <c r="P7" s="9">
        <f>SUM('Monthly Electricity (Overview)'!O68:O79)</f>
        <v/>
      </c>
      <c r="Q7" s="9" t="n"/>
      <c r="R7" s="9">
        <f>SUM('Monthly Electricity (Overview)'!Q68:Q79)</f>
        <v/>
      </c>
      <c r="S7" s="9" t="n"/>
      <c r="T7" s="9" t="n"/>
      <c r="U7" s="9" t="n"/>
      <c r="V7" s="9" t="n"/>
      <c r="W7" s="9" t="n"/>
      <c r="X7" s="9" t="n"/>
      <c r="Y7" s="9">
        <f>SUM('Monthly Electricity (Overview)'!X68:X79)</f>
        <v/>
      </c>
      <c r="Z7" s="9">
        <f>SUM('Monthly Electricity (Overview)'!Y68:Y79)</f>
        <v/>
      </c>
      <c r="AA7" s="9">
        <f>SUM('Monthly Electricity (Overview)'!Z68:Z79)</f>
        <v/>
      </c>
      <c r="AB7" s="9">
        <f>SUM('Monthly Electricity (Overview)'!AA68:AA79)</f>
        <v/>
      </c>
      <c r="AC7" s="9">
        <f>SUM('Monthly Electricity (Overview)'!AB68:AB79)</f>
        <v/>
      </c>
      <c r="AD7" s="149" t="n"/>
      <c r="AE7" s="9">
        <f>SUM('Monthly Electricity (Overview)'!AD68:AD79)</f>
        <v/>
      </c>
      <c r="AF7" s="9" t="n"/>
      <c r="AG7" s="9" t="n"/>
      <c r="AH7" s="9" t="n"/>
      <c r="AI7" s="9" t="n"/>
      <c r="AJ7" s="9" t="n"/>
      <c r="AK7" s="9" t="n"/>
    </row>
    <row r="8">
      <c r="A8" s="367" t="inlineStr">
        <is>
          <t>2020/21</t>
        </is>
      </c>
      <c r="B8" s="185">
        <f>C8+AE8</f>
        <v/>
      </c>
      <c r="C8" s="9">
        <f>SUM('Monthly Electricity (Overview)'!B80:B91)</f>
        <v/>
      </c>
      <c r="D8" s="9">
        <f>SUM('Monthly Electricity (Overview)'!C80:C91)</f>
        <v/>
      </c>
      <c r="E8" s="9">
        <f>SUM('Monthly Electricity (Overview)'!D80:D91)</f>
        <v/>
      </c>
      <c r="F8" s="9">
        <f>SUM('Monthly Electricity (Overview)'!E80:E91)</f>
        <v/>
      </c>
      <c r="G8" s="9">
        <f>SUM('Monthly Electricity (Overview)'!F80:F91)</f>
        <v/>
      </c>
      <c r="H8" s="9">
        <f>SUM('Monthly Electricity (Overview)'!G80:G91)</f>
        <v/>
      </c>
      <c r="I8" s="9">
        <f>SUM('Monthly Electricity (Overview)'!H80:H91)</f>
        <v/>
      </c>
      <c r="J8" s="9">
        <f>SUM('Monthly Electricity (Overview)'!I80:I91)</f>
        <v/>
      </c>
      <c r="K8" s="9">
        <f>SUM('Monthly Electricity (Overview)'!J80:J91)</f>
        <v/>
      </c>
      <c r="L8" s="9">
        <f>SUM('Monthly Electricity (Overview)'!K80:K91)</f>
        <v/>
      </c>
      <c r="M8" s="9">
        <f>SUM('Monthly Electricity (Overview)'!L80:L91)</f>
        <v/>
      </c>
      <c r="N8" s="9">
        <f>SUM('Monthly Electricity (Overview)'!M80:M91)</f>
        <v/>
      </c>
      <c r="O8" s="9">
        <f>SUM('Monthly Electricity (Overview)'!N80:N91)</f>
        <v/>
      </c>
      <c r="P8" s="9">
        <f>SUM('Monthly Electricity (Overview)'!O80:O91)</f>
        <v/>
      </c>
      <c r="Q8" s="9">
        <f>SUM('Monthly Electricity (Overview)'!P80:P91)</f>
        <v/>
      </c>
      <c r="R8" s="9">
        <f>SUM('Monthly Electricity (Overview)'!Q80:Q91)</f>
        <v/>
      </c>
      <c r="S8" s="9" t="n"/>
      <c r="T8" s="9" t="n"/>
      <c r="U8" s="9" t="n"/>
      <c r="V8" s="9" t="n"/>
      <c r="W8" s="9" t="n"/>
      <c r="X8" s="9">
        <f>SUM('Monthly Electricity (Overview)'!W80:W91)</f>
        <v/>
      </c>
      <c r="Y8" s="9">
        <f>SUM('Monthly Electricity (Overview)'!X80:X91)</f>
        <v/>
      </c>
      <c r="Z8" s="9">
        <f>SUM('Monthly Electricity (Overview)'!Y80:Y91)</f>
        <v/>
      </c>
      <c r="AA8" s="9">
        <f>SUM('Monthly Electricity (Overview)'!Z80:Z91)</f>
        <v/>
      </c>
      <c r="AB8" s="9">
        <f>SUM('Monthly Electricity (Overview)'!AA80:AA91)</f>
        <v/>
      </c>
      <c r="AC8" s="9">
        <f>SUM('Monthly Electricity (Overview)'!AB80:AB91)</f>
        <v/>
      </c>
      <c r="AD8" s="149" t="n"/>
      <c r="AE8" s="9">
        <f>SUM('Monthly Electricity (Overview)'!AD80:AD91)</f>
        <v/>
      </c>
      <c r="AF8" s="9" t="n"/>
      <c r="AG8" s="9" t="n"/>
      <c r="AH8" s="9" t="n"/>
      <c r="AI8" s="9" t="n"/>
      <c r="AJ8" s="9" t="n"/>
      <c r="AK8" s="9" t="n"/>
    </row>
    <row r="9">
      <c r="A9" s="367" t="inlineStr">
        <is>
          <t>2021/22</t>
        </is>
      </c>
      <c r="B9" s="185">
        <f>C9+AE9</f>
        <v/>
      </c>
      <c r="C9" s="9">
        <f>SUM('Monthly Electricity (Overview)'!B92:B103)</f>
        <v/>
      </c>
      <c r="D9" s="9">
        <f>SUM('Monthly Electricity (Overview)'!C92:C103)</f>
        <v/>
      </c>
      <c r="E9" s="9">
        <f>SUM('Monthly Electricity (Overview)'!D92:D103)</f>
        <v/>
      </c>
      <c r="F9" s="9">
        <f>SUM('Monthly Electricity (Overview)'!E92:E103)</f>
        <v/>
      </c>
      <c r="G9" s="9">
        <f>SUM('Monthly Electricity (Overview)'!F92:F103)</f>
        <v/>
      </c>
      <c r="H9" s="9">
        <f>SUM('Monthly Electricity (Overview)'!G92:G103)</f>
        <v/>
      </c>
      <c r="I9" s="9">
        <f>SUM('Monthly Electricity (Overview)'!H92:H103)</f>
        <v/>
      </c>
      <c r="J9" s="9">
        <f>SUM('Monthly Electricity (Overview)'!I92:I103)</f>
        <v/>
      </c>
      <c r="K9" s="9">
        <f>SUM('Monthly Electricity (Overview)'!J92:J103)</f>
        <v/>
      </c>
      <c r="L9" s="9">
        <f>SUM('Monthly Electricity (Overview)'!K92:K103)</f>
        <v/>
      </c>
      <c r="M9" s="9">
        <f>SUM('Monthly Electricity (Overview)'!L92:L103)</f>
        <v/>
      </c>
      <c r="N9" s="9">
        <f>SUM('Monthly Electricity (Overview)'!M92:M103)</f>
        <v/>
      </c>
      <c r="O9" s="9">
        <f>SUM('Monthly Electricity (Overview)'!N92:N103)</f>
        <v/>
      </c>
      <c r="P9" s="9">
        <f>SUM('Monthly Electricity (Overview)'!O92:O103)</f>
        <v/>
      </c>
      <c r="Q9" s="9">
        <f>SUM('Monthly Electricity (Overview)'!P92:P103)</f>
        <v/>
      </c>
      <c r="R9" s="9">
        <f>SUM('Monthly Electricity (Overview)'!Q92:Q103)</f>
        <v/>
      </c>
      <c r="S9" s="9" t="n"/>
      <c r="T9" s="9" t="n"/>
      <c r="U9" s="9" t="n"/>
      <c r="V9" s="9" t="n"/>
      <c r="W9" s="9" t="n"/>
      <c r="X9" s="9">
        <f>SUM('Monthly Electricity (Overview)'!W92:W103)</f>
        <v/>
      </c>
      <c r="Y9" s="9">
        <f>SUM('Monthly Electricity (Overview)'!X92:X103)</f>
        <v/>
      </c>
      <c r="Z9" s="9">
        <f>SUM('Monthly Electricity (Overview)'!Y92:Y103)</f>
        <v/>
      </c>
      <c r="AA9" s="9">
        <f>SUM('Monthly Electricity (Overview)'!Z92:Z103)</f>
        <v/>
      </c>
      <c r="AB9" s="9">
        <f>SUM('Monthly Electricity (Overview)'!AA92:AA103)</f>
        <v/>
      </c>
      <c r="AC9" s="9">
        <f>SUM('Monthly Electricity (Overview)'!AB92:AB103)</f>
        <v/>
      </c>
      <c r="AD9" s="149" t="n"/>
      <c r="AE9" s="9">
        <f>SUM('Monthly Electricity (Overview)'!AD92:AD103)</f>
        <v/>
      </c>
      <c r="AF9" s="9" t="n"/>
      <c r="AG9" s="9" t="n"/>
      <c r="AH9" s="9" t="n"/>
      <c r="AI9" s="9" t="n"/>
      <c r="AJ9" s="9" t="n"/>
      <c r="AK9" s="9" t="n"/>
    </row>
    <row r="10">
      <c r="A10" s="367" t="inlineStr">
        <is>
          <t>2022/23</t>
        </is>
      </c>
      <c r="B10" s="185">
        <f>C10+AE10</f>
        <v/>
      </c>
      <c r="C10" s="9">
        <f>SUM('Monthly Electricity (Overview)'!B104:B115)</f>
        <v/>
      </c>
      <c r="D10" s="9">
        <f>SUM('Monthly Electricity (Overview)'!C104:C115)</f>
        <v/>
      </c>
      <c r="E10" s="9">
        <f>SUM('Monthly Electricity (Overview)'!D104:D115)</f>
        <v/>
      </c>
      <c r="F10" s="9">
        <f>SUM('Monthly Electricity (Overview)'!E104:E115)</f>
        <v/>
      </c>
      <c r="G10" s="9">
        <f>SUM('Monthly Electricity (Overview)'!F104:F115)</f>
        <v/>
      </c>
      <c r="H10" s="9">
        <f>SUM('Monthly Electricity (Overview)'!G104:G115)</f>
        <v/>
      </c>
      <c r="I10" s="9">
        <f>SUM('Monthly Electricity (Overview)'!H104:H115)</f>
        <v/>
      </c>
      <c r="J10" s="9">
        <f>SUM('Monthly Electricity (Overview)'!I104:I115)</f>
        <v/>
      </c>
      <c r="K10" s="9">
        <f>SUM('Monthly Electricity (Overview)'!J104:J115)</f>
        <v/>
      </c>
      <c r="L10" s="9">
        <f>SUM('Monthly Electricity (Overview)'!K104:K115)</f>
        <v/>
      </c>
      <c r="M10" s="9">
        <f>SUM('Monthly Electricity (Overview)'!L104:L115)</f>
        <v/>
      </c>
      <c r="N10" s="9">
        <f>SUM('Monthly Electricity (Overview)'!M104:M115)</f>
        <v/>
      </c>
      <c r="O10" s="9">
        <f>SUM('Monthly Electricity (Overview)'!N104:N115)</f>
        <v/>
      </c>
      <c r="P10" s="9">
        <f>SUM('Monthly Electricity (Overview)'!O104:O115)</f>
        <v/>
      </c>
      <c r="Q10" s="9">
        <f>SUM('Monthly Electricity (Overview)'!P104:P115)</f>
        <v/>
      </c>
      <c r="R10" s="9">
        <f>SUM('Monthly Electricity (Overview)'!Q104:Q115)</f>
        <v/>
      </c>
      <c r="S10" s="9" t="n"/>
      <c r="T10" s="9" t="n"/>
      <c r="U10" s="9" t="n"/>
      <c r="V10" s="9" t="n"/>
      <c r="W10" s="9">
        <f>SUM('Monthly Electricity (Overview)'!V104:V115)</f>
        <v/>
      </c>
      <c r="X10" s="9">
        <f>SUM('Monthly Electricity (Overview)'!W104:W115)</f>
        <v/>
      </c>
      <c r="Y10" s="9">
        <f>SUM('Monthly Electricity (Overview)'!X104:X115)</f>
        <v/>
      </c>
      <c r="Z10" s="9">
        <f>SUM('Monthly Electricity (Overview)'!Y104:Y115)</f>
        <v/>
      </c>
      <c r="AA10" s="9">
        <f>SUM('Monthly Electricity (Overview)'!Z104:Z115)</f>
        <v/>
      </c>
      <c r="AB10" s="9">
        <f>SUM('Monthly Electricity (Overview)'!AA104:AA115)</f>
        <v/>
      </c>
      <c r="AC10" s="9">
        <f>SUM('Monthly Electricity (Overview)'!AB104:AB115)</f>
        <v/>
      </c>
      <c r="AD10" s="149" t="n"/>
      <c r="AE10" s="9">
        <f>SUM('Monthly Electricity (Overview)'!AD104:AD115)</f>
        <v/>
      </c>
      <c r="AF10" s="9" t="n"/>
      <c r="AG10" s="9" t="n"/>
      <c r="AH10" s="9" t="n"/>
      <c r="AI10" s="9" t="n"/>
      <c r="AJ10" s="9" t="n"/>
      <c r="AK10" s="9" t="n"/>
    </row>
    <row r="11">
      <c r="A11" s="367" t="inlineStr">
        <is>
          <t>2023/24</t>
        </is>
      </c>
      <c r="B11" s="185">
        <f>C11+AE11</f>
        <v/>
      </c>
      <c r="C11" s="9">
        <f>SUM('Monthly Electricity (Overview)'!B116:B127)</f>
        <v/>
      </c>
      <c r="D11" s="9">
        <f>SUM('Monthly Electricity (Overview)'!C116:C127)</f>
        <v/>
      </c>
      <c r="E11" s="9">
        <f>SUM('Monthly Electricity (Overview)'!D116:D127)</f>
        <v/>
      </c>
      <c r="F11" s="9">
        <f>SUM('Monthly Electricity (Overview)'!E116:E127)</f>
        <v/>
      </c>
      <c r="G11" s="9">
        <f>SUM('Monthly Electricity (Overview)'!F116:F127)</f>
        <v/>
      </c>
      <c r="H11" s="9">
        <f>SUM('Monthly Electricity (Overview)'!G116:G127)</f>
        <v/>
      </c>
      <c r="I11" s="9">
        <f>SUM('Monthly Electricity (Overview)'!H116:H127)</f>
        <v/>
      </c>
      <c r="J11" s="9">
        <f>SUM('Monthly Electricity (Overview)'!I116:I127)</f>
        <v/>
      </c>
      <c r="K11" s="9">
        <f>SUM('Monthly Electricity (Overview)'!J116:J127)</f>
        <v/>
      </c>
      <c r="L11" s="9">
        <f>SUM('Monthly Electricity (Overview)'!K116:K127)</f>
        <v/>
      </c>
      <c r="M11" s="9">
        <f>SUM('Monthly Electricity (Overview)'!L116:L127)</f>
        <v/>
      </c>
      <c r="N11" s="9">
        <f>SUM('Monthly Electricity (Overview)'!M116:M127)</f>
        <v/>
      </c>
      <c r="O11" s="9">
        <f>SUM('Monthly Electricity (Overview)'!N116:N127)</f>
        <v/>
      </c>
      <c r="P11" s="9">
        <f>SUM('Monthly Electricity (Overview)'!O116:O127)</f>
        <v/>
      </c>
      <c r="Q11" s="9">
        <f>SUM('Monthly Electricity (Overview)'!P116:P127)</f>
        <v/>
      </c>
      <c r="R11" s="9">
        <f>SUM('Monthly Electricity (Overview)'!Q116:Q127)</f>
        <v/>
      </c>
      <c r="S11" s="9" t="n"/>
      <c r="T11" s="9">
        <f>SUM('Monthly Electricity (Overview)'!S116:S127)</f>
        <v/>
      </c>
      <c r="U11" s="9" t="n"/>
      <c r="V11" s="9">
        <f>SUM('Monthly Electricity (Overview)'!U116:U127)</f>
        <v/>
      </c>
      <c r="W11" s="9">
        <f>SUM('Monthly Electricity (Overview)'!V116:V127)</f>
        <v/>
      </c>
      <c r="X11" s="9">
        <f>SUM('Monthly Electricity (Overview)'!W116:W127)</f>
        <v/>
      </c>
      <c r="Y11" s="9">
        <f>SUM('Monthly Electricity (Overview)'!X116:X127)</f>
        <v/>
      </c>
      <c r="Z11" s="9">
        <f>SUM('Monthly Electricity (Overview)'!Y116:Y127)</f>
        <v/>
      </c>
      <c r="AA11" s="9">
        <f>SUM('Monthly Electricity (Overview)'!Z116:Z127)</f>
        <v/>
      </c>
      <c r="AB11" s="9">
        <f>SUM('Monthly Electricity (Overview)'!AA116:AA127)</f>
        <v/>
      </c>
      <c r="AC11" s="9">
        <f>SUM('Monthly Electricity (Overview)'!AB116:AB127)</f>
        <v/>
      </c>
      <c r="AD11" s="149" t="n"/>
      <c r="AE11" s="9">
        <f>SUM('Monthly Electricity (Overview)'!AD116:AD127)</f>
        <v/>
      </c>
      <c r="AF11" s="9" t="n"/>
      <c r="AG11" s="9" t="n"/>
      <c r="AH11" s="9" t="n"/>
      <c r="AI11" s="9" t="n"/>
      <c r="AJ11" s="9">
        <f>SUM('Monthly Electricity (Overview)'!AI116:AI127)</f>
        <v/>
      </c>
      <c r="AK11" s="9">
        <f>SUM('Monthly Electricity (Overview)'!AJ116:AJ127)</f>
        <v/>
      </c>
    </row>
    <row r="12">
      <c r="A12" s="367" t="inlineStr">
        <is>
          <t>2024/25</t>
        </is>
      </c>
      <c r="B12" s="185">
        <f>C12+AE12</f>
        <v/>
      </c>
      <c r="C12" s="9">
        <f>SUM('Monthly Electricity (Overview)'!B128:B139)</f>
        <v/>
      </c>
      <c r="D12" s="9">
        <f>SUM('Monthly Electricity (Overview)'!C128:C139)</f>
        <v/>
      </c>
      <c r="E12" s="9">
        <f>SUM('Monthly Electricity (Overview)'!D128:D139)</f>
        <v/>
      </c>
      <c r="F12" s="9">
        <f>SUM('Monthly Electricity (Overview)'!E128:E139)</f>
        <v/>
      </c>
      <c r="G12" s="9">
        <f>SUM('Monthly Electricity (Overview)'!F128:F139)</f>
        <v/>
      </c>
      <c r="H12" s="9">
        <f>SUM('Monthly Electricity (Overview)'!G128:G139)</f>
        <v/>
      </c>
      <c r="I12" s="9">
        <f>SUM('Monthly Electricity (Overview)'!H128:H139)</f>
        <v/>
      </c>
      <c r="J12" s="9">
        <f>SUM('Monthly Electricity (Overview)'!I128:I139)</f>
        <v/>
      </c>
      <c r="K12" s="9">
        <f>SUM('Monthly Electricity (Overview)'!J128:J139)</f>
        <v/>
      </c>
      <c r="L12" s="9">
        <f>SUM('Monthly Electricity (Overview)'!K128:K139)</f>
        <v/>
      </c>
      <c r="M12" s="9">
        <f>SUM('Monthly Electricity (Overview)'!L128:L139)</f>
        <v/>
      </c>
      <c r="N12" s="9">
        <f>SUM('Monthly Electricity (Overview)'!M128:M139)</f>
        <v/>
      </c>
      <c r="O12" s="9">
        <f>SUM('Monthly Electricity (Overview)'!N128:N139)</f>
        <v/>
      </c>
      <c r="P12" s="9">
        <f>SUM('Monthly Electricity (Overview)'!O128:O139)</f>
        <v/>
      </c>
      <c r="Q12" s="9">
        <f>SUM('Monthly Electricity (Overview)'!P128:P139)</f>
        <v/>
      </c>
      <c r="R12" s="9">
        <f>SUM('Monthly Electricity (Overview)'!Q128:Q139)</f>
        <v/>
      </c>
      <c r="S12" s="9" t="n"/>
      <c r="T12" s="9">
        <f>SUM('Monthly Electricity (Overview)'!S128:S139)</f>
        <v/>
      </c>
      <c r="U12" s="9">
        <f>SUM('Monthly Electricity (Overview)'!T128:T139)</f>
        <v/>
      </c>
      <c r="V12" s="9">
        <f>SUM('Monthly Electricity (Overview)'!U128:U139)</f>
        <v/>
      </c>
      <c r="W12" s="9">
        <f>SUM('Monthly Electricity (Overview)'!V128:V139)</f>
        <v/>
      </c>
      <c r="X12" s="9">
        <f>SUM('Monthly Electricity (Overview)'!W128:W139)</f>
        <v/>
      </c>
      <c r="Y12" s="9">
        <f>SUM('Monthly Electricity (Overview)'!X128:X139)</f>
        <v/>
      </c>
      <c r="Z12" s="9">
        <f>SUM('Monthly Electricity (Overview)'!Y128:Y139)</f>
        <v/>
      </c>
      <c r="AA12" s="9">
        <f>SUM('Monthly Electricity (Overview)'!Z128:Z139)</f>
        <v/>
      </c>
      <c r="AB12" s="9">
        <f>SUM('Monthly Electricity (Overview)'!AA128:AA139)</f>
        <v/>
      </c>
      <c r="AC12" s="9">
        <f>SUM('Monthly Electricity (Overview)'!AB128:AB139)</f>
        <v/>
      </c>
      <c r="AD12" s="149" t="n"/>
      <c r="AE12" s="9">
        <f>SUM('Monthly Electricity (Overview)'!AD128:AD139)</f>
        <v/>
      </c>
      <c r="AF12" s="9">
        <f>SUM('Monthly Electricity (Overview)'!AE128:AE139)</f>
        <v/>
      </c>
      <c r="AG12" s="9">
        <f>SUM('Monthly Electricity (Overview)'!AF128:AF139)</f>
        <v/>
      </c>
      <c r="AH12" s="9" t="n"/>
      <c r="AI12" s="9" t="n"/>
      <c r="AJ12" s="9">
        <f>SUM('Monthly Electricity (Overview)'!AI128:AI139)</f>
        <v/>
      </c>
      <c r="AK12" s="9">
        <f>SUM('Monthly Electricity (Overview)'!AJ128:AJ139)</f>
        <v/>
      </c>
    </row>
    <row r="13">
      <c r="A13" s="367" t="inlineStr">
        <is>
          <t>2025/26</t>
        </is>
      </c>
      <c r="B13" s="595">
        <f>C13+AE13</f>
        <v/>
      </c>
      <c r="C13" s="364">
        <f>SUM('Monthly Electricity (Overview)'!B140:B151)</f>
        <v/>
      </c>
      <c r="D13" s="364">
        <f>SUM('Monthly Electricity (Overview)'!C140:C151)</f>
        <v/>
      </c>
      <c r="E13" s="364">
        <f>SUM('Monthly Electricity (Overview)'!D140:D151)</f>
        <v/>
      </c>
      <c r="F13" s="364">
        <f>SUM('Monthly Electricity (Overview)'!E140:E151)</f>
        <v/>
      </c>
      <c r="G13" s="364">
        <f>SUM('Monthly Electricity (Overview)'!F140:F151)</f>
        <v/>
      </c>
      <c r="H13" s="364">
        <f>SUM('Monthly Electricity (Overview)'!G140:G151)</f>
        <v/>
      </c>
      <c r="I13" s="364">
        <f>SUM('Monthly Electricity (Overview)'!H140:H151)</f>
        <v/>
      </c>
      <c r="J13" s="364">
        <f>SUM('Monthly Electricity (Overview)'!I140:I151)</f>
        <v/>
      </c>
      <c r="K13" s="364">
        <f>SUM('Monthly Electricity (Overview)'!J140:J151)</f>
        <v/>
      </c>
      <c r="L13" s="364">
        <f>SUM('Monthly Electricity (Overview)'!K140:K151)</f>
        <v/>
      </c>
      <c r="M13" s="364">
        <f>SUM('Monthly Electricity (Overview)'!L140:L151)</f>
        <v/>
      </c>
      <c r="N13" s="364">
        <f>SUM('Monthly Electricity (Overview)'!M140:M151)</f>
        <v/>
      </c>
      <c r="O13" s="364">
        <f>SUM('Monthly Electricity (Overview)'!N140:N151)</f>
        <v/>
      </c>
      <c r="P13" s="364">
        <f>SUM('Monthly Electricity (Overview)'!O140:O151)</f>
        <v/>
      </c>
      <c r="Q13" s="364">
        <f>SUM('Monthly Electricity (Overview)'!P140:P151)</f>
        <v/>
      </c>
      <c r="R13" s="364">
        <f>SUM('Monthly Electricity (Overview)'!Q140:Q151)</f>
        <v/>
      </c>
      <c r="S13" s="364">
        <f>SUM('Monthly Electricity (Overview)'!R140:R151)</f>
        <v/>
      </c>
      <c r="T13" s="364">
        <f>SUM('Monthly Electricity (Overview)'!S140:S151)</f>
        <v/>
      </c>
      <c r="U13" s="364">
        <f>SUM('Monthly Electricity (Overview)'!T140:T151)</f>
        <v/>
      </c>
      <c r="V13" s="364">
        <f>SUM('Monthly Electricity (Overview)'!U140:U151)</f>
        <v/>
      </c>
      <c r="W13" s="364">
        <f>SUM('Monthly Electricity (Overview)'!V140:V151)</f>
        <v/>
      </c>
      <c r="X13" s="364">
        <f>SUM('Monthly Electricity (Overview)'!W140:W151)</f>
        <v/>
      </c>
      <c r="Y13" s="364">
        <f>SUM('Monthly Electricity (Overview)'!X140:X151)</f>
        <v/>
      </c>
      <c r="Z13" s="364">
        <f>SUM('Monthly Electricity (Overview)'!Y140:Y151)</f>
        <v/>
      </c>
      <c r="AA13" s="364">
        <f>SUM('Monthly Electricity (Overview)'!Z140:Z151)</f>
        <v/>
      </c>
      <c r="AB13" s="364">
        <f>SUM('Monthly Electricity (Overview)'!AA140:AA151)</f>
        <v/>
      </c>
      <c r="AC13" s="364">
        <f>SUM('Monthly Electricity (Overview)'!AB140:AB151)</f>
        <v/>
      </c>
      <c r="AD13" s="149" t="n"/>
      <c r="AE13" s="364">
        <f>SUM('Monthly Electricity (Overview)'!AD140:AD151)</f>
        <v/>
      </c>
      <c r="AF13" s="364">
        <f>SUM('Monthly Electricity (Overview)'!AE140:AE151)</f>
        <v/>
      </c>
      <c r="AG13" s="364">
        <f>SUM('Monthly Electricity (Overview)'!AF140:AF151)</f>
        <v/>
      </c>
      <c r="AH13" s="364">
        <f>SUM('Monthly Electricity (Overview)'!AG140:AG151)</f>
        <v/>
      </c>
      <c r="AI13" s="364">
        <f>SUM('Monthly Electricity (Overview)'!AH140:AH151)</f>
        <v/>
      </c>
      <c r="AJ13" s="364">
        <f>SUM('Monthly Electricity (Overview)'!AI140:AI151)</f>
        <v/>
      </c>
      <c r="AK13" s="364">
        <f>SUM('Monthly Electricity (Overview)'!AJ140:AJ151)</f>
        <v/>
      </c>
    </row>
    <row r="14">
      <c r="D14" s="9" t="n"/>
    </row>
    <row r="15">
      <c r="D15" s="9" t="n"/>
      <c r="E15" s="9" t="n"/>
    </row>
    <row r="16">
      <c r="D16" s="9" t="n"/>
    </row>
    <row r="17">
      <c r="C17" s="696" t="n"/>
      <c r="D17" s="9" t="n"/>
    </row>
    <row r="18">
      <c r="D18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K38" activePane="bottomRight" state="frozen"/>
      <selection pane="topRight" activeCell="B1" sqref="B1"/>
      <selection pane="bottomLeft" activeCell="A2" sqref="A2"/>
      <selection pane="bottomRight" activeCell="M61" sqref="M61"/>
    </sheetView>
  </sheetViews>
  <sheetFormatPr baseColWidth="10" defaultColWidth="10.6640625" defaultRowHeight="15.75" customHeight="1"/>
  <cols>
    <col width="10.6640625" customWidth="1" style="18" min="1" max="1"/>
    <col width="29.5" customWidth="1" style="55" min="2" max="2"/>
    <col width="15.6640625" customWidth="1" style="55" min="3" max="11"/>
    <col hidden="1" width="22.1640625" customWidth="1" style="55" min="12" max="12"/>
    <col width="15.6640625" customWidth="1" style="55" min="13" max="13"/>
    <col width="28" customWidth="1" style="55" min="14" max="15"/>
    <col hidden="1" width="28" customWidth="1" style="55" min="16" max="16"/>
    <col hidden="1" width="30.83203125" customWidth="1" style="55" min="17" max="17"/>
    <col width="30.83203125" customWidth="1" style="55" min="18" max="18"/>
    <col width="15.6640625" customWidth="1" style="55" min="19" max="19"/>
    <col width="20.6640625" customWidth="1" style="55" min="20" max="20"/>
    <col width="10.6640625" customWidth="1" style="55" min="21" max="16384"/>
  </cols>
  <sheetData>
    <row r="1" ht="34" customHeight="1">
      <c r="A1" s="132" t="inlineStr">
        <is>
          <t>Period</t>
        </is>
      </c>
      <c r="B1" s="65" t="inlineStr">
        <is>
          <t xml:space="preserve">Main Academic Buildings and Others </t>
        </is>
      </c>
      <c r="C1" s="65" t="inlineStr">
        <is>
          <t>Main Chiller Plant</t>
        </is>
      </c>
      <c r="D1" s="65" t="inlineStr">
        <is>
          <t>LSK Chiller Plant</t>
        </is>
      </c>
      <c r="E1" s="65" t="inlineStr">
        <is>
          <t>Cheng Yu Tung Building</t>
        </is>
      </c>
      <c r="F1" s="65" t="inlineStr">
        <is>
          <t>LSK Building</t>
        </is>
      </c>
      <c r="G1" s="65" t="inlineStr">
        <is>
          <t>IAS Building</t>
        </is>
      </c>
      <c r="H1" s="65" t="inlineStr">
        <is>
          <t>HPC 6</t>
        </is>
      </c>
      <c r="I1" s="65" t="inlineStr">
        <is>
          <t>Research Building 2</t>
        </is>
      </c>
      <c r="J1" s="65" t="inlineStr">
        <is>
          <t>Innovation Building</t>
        </is>
      </c>
      <c r="K1" s="65" t="inlineStr">
        <is>
          <t>Conference Lodge</t>
        </is>
      </c>
      <c r="L1" s="539" t="inlineStr">
        <is>
          <t>Staff Quarter Common Area</t>
        </is>
      </c>
      <c r="M1" s="65" t="inlineStr">
        <is>
          <t>Student Housing</t>
        </is>
      </c>
      <c r="N1" s="65" t="inlineStr">
        <is>
          <t>Staff Quarters</t>
        </is>
      </c>
      <c r="O1" s="65" t="inlineStr">
        <is>
          <t>Commercial Outlets</t>
        </is>
      </c>
      <c r="P1" s="539" t="inlineStr">
        <is>
          <t>Staff Quarters &amp; Commercial Outlet</t>
        </is>
      </c>
      <c r="Q1" s="539" t="inlineStr">
        <is>
          <t>Whole Campus (including staff quarter common area)</t>
        </is>
      </c>
      <c r="R1" s="65" t="inlineStr">
        <is>
          <t>Whole Campus (excluding staff quarter common area)</t>
        </is>
      </c>
    </row>
    <row r="2" ht="16" customHeight="1">
      <c r="A2" s="314" t="n">
        <v>44013</v>
      </c>
      <c r="B2" s="56">
        <f>SUM('Monthly Electricity (Overview)'!C80:D80)+SUM('Monthly Electricity (Overview)'!F80:H80)+SUM('Monthly Electricity (Overview)'!O80:Q80)</f>
        <v/>
      </c>
      <c r="C2" s="56">
        <f>'Monthly Electricity (Overview)'!I80</f>
        <v/>
      </c>
      <c r="D2" s="56">
        <f>'Monthly Electricity (Overview)'!N80</f>
        <v/>
      </c>
      <c r="E2" s="56">
        <f>'Monthly Electricity (Overview)'!E80</f>
        <v/>
      </c>
      <c r="F2" s="56">
        <f>'Monthly Electricity (Overview)'!J80</f>
        <v/>
      </c>
      <c r="G2" s="56">
        <f>'Monthly Electricity (Overview)'!K80</f>
        <v/>
      </c>
      <c r="H2" s="56" t="n"/>
      <c r="I2" s="56" t="n"/>
      <c r="J2" s="56" t="n"/>
      <c r="K2" s="56">
        <f>'Monthly Electricity (Overview)'!L80</f>
        <v/>
      </c>
      <c r="L2" s="14" t="n">
        <v>99693</v>
      </c>
      <c r="M2" s="56">
        <f>SUM('Monthly Electricity (Overview)'!U80:X80)+'Monthly Electricity (Overview)'!AD80</f>
        <v/>
      </c>
      <c r="N2" s="56">
        <f>'Monthly Electricity (Overview)'!AA80</f>
        <v/>
      </c>
      <c r="O2" s="56">
        <f>'Monthly Electricity (Overview)'!Z80</f>
        <v/>
      </c>
      <c r="P2" s="56">
        <f>'Monthly Electricity (Overview)'!Y80</f>
        <v/>
      </c>
      <c r="Q2" s="56">
        <f>SUM(B2:P2)-P2</f>
        <v/>
      </c>
      <c r="R2" s="56">
        <f>SUM(B2:O2)-L2</f>
        <v/>
      </c>
    </row>
    <row r="3" ht="16" customHeight="1">
      <c r="A3" s="314" t="n">
        <v>44044</v>
      </c>
      <c r="B3" s="56">
        <f>SUM('Monthly Electricity (Overview)'!C81:D81)+SUM('Monthly Electricity (Overview)'!F81:H81)+SUM('Monthly Electricity (Overview)'!O81:Q81)</f>
        <v/>
      </c>
      <c r="C3" s="56">
        <f>'Monthly Electricity (Overview)'!I81</f>
        <v/>
      </c>
      <c r="D3" s="56">
        <f>'Monthly Electricity (Overview)'!N81</f>
        <v/>
      </c>
      <c r="E3" s="56">
        <f>'Monthly Electricity (Overview)'!E81</f>
        <v/>
      </c>
      <c r="F3" s="56">
        <f>'Monthly Electricity (Overview)'!J81</f>
        <v/>
      </c>
      <c r="G3" s="56">
        <f>'Monthly Electricity (Overview)'!K81</f>
        <v/>
      </c>
      <c r="H3" s="56" t="n"/>
      <c r="I3" s="56" t="n"/>
      <c r="J3" s="56" t="n"/>
      <c r="K3" s="56">
        <f>'Monthly Electricity (Overview)'!L81</f>
        <v/>
      </c>
      <c r="L3" s="14" t="n">
        <v>111077</v>
      </c>
      <c r="M3" s="56">
        <f>SUM('Monthly Electricity (Overview)'!U81:X81)+'Monthly Electricity (Overview)'!AD81</f>
        <v/>
      </c>
      <c r="N3" s="56">
        <f>'Monthly Electricity (Overview)'!AA81</f>
        <v/>
      </c>
      <c r="O3" s="56">
        <f>'Monthly Electricity (Overview)'!Z81</f>
        <v/>
      </c>
      <c r="P3" s="56">
        <f>'Monthly Electricity (Overview)'!Y81</f>
        <v/>
      </c>
      <c r="Q3" s="56">
        <f>SUM(B3:P3)-P3</f>
        <v/>
      </c>
      <c r="R3" s="56">
        <f>SUM(B3:O3)-L3</f>
        <v/>
      </c>
    </row>
    <row r="4" ht="16" customHeight="1">
      <c r="A4" s="314" t="n">
        <v>44075</v>
      </c>
      <c r="B4" s="56">
        <f>SUM('Monthly Electricity (Overview)'!C82:D82)+SUM('Monthly Electricity (Overview)'!F82:H82)+SUM('Monthly Electricity (Overview)'!O82:Q82)</f>
        <v/>
      </c>
      <c r="C4" s="56">
        <f>'Monthly Electricity (Overview)'!I82</f>
        <v/>
      </c>
      <c r="D4" s="56">
        <f>'Monthly Electricity (Overview)'!N82</f>
        <v/>
      </c>
      <c r="E4" s="56">
        <f>'Monthly Electricity (Overview)'!E82</f>
        <v/>
      </c>
      <c r="F4" s="56">
        <f>'Monthly Electricity (Overview)'!J82</f>
        <v/>
      </c>
      <c r="G4" s="56">
        <f>'Monthly Electricity (Overview)'!K82</f>
        <v/>
      </c>
      <c r="H4" s="56" t="n"/>
      <c r="I4" s="56" t="n"/>
      <c r="J4" s="56" t="n"/>
      <c r="K4" s="56">
        <f>'Monthly Electricity (Overview)'!L82</f>
        <v/>
      </c>
      <c r="L4" s="14" t="n">
        <v>124553</v>
      </c>
      <c r="M4" s="56">
        <f>SUM('Monthly Electricity (Overview)'!U82:X82)+'Monthly Electricity (Overview)'!AD82</f>
        <v/>
      </c>
      <c r="N4" s="56">
        <f>'Monthly Electricity (Overview)'!AA82</f>
        <v/>
      </c>
      <c r="O4" s="56">
        <f>'Monthly Electricity (Overview)'!Z82</f>
        <v/>
      </c>
      <c r="P4" s="56">
        <f>'Monthly Electricity (Overview)'!Y82</f>
        <v/>
      </c>
      <c r="Q4" s="56">
        <f>SUM(B4:P4)-P4</f>
        <v/>
      </c>
      <c r="R4" s="56">
        <f>SUM(B4:O4)-L4</f>
        <v/>
      </c>
    </row>
    <row r="5" ht="16" customHeight="1">
      <c r="A5" s="314" t="n">
        <v>44105</v>
      </c>
      <c r="B5" s="56">
        <f>SUM('Monthly Electricity (Overview)'!C83:D83)+SUM('Monthly Electricity (Overview)'!F83:H83)+SUM('Monthly Electricity (Overview)'!O83:Q83)</f>
        <v/>
      </c>
      <c r="C5" s="56">
        <f>'Monthly Electricity (Overview)'!I83</f>
        <v/>
      </c>
      <c r="D5" s="56">
        <f>'Monthly Electricity (Overview)'!N83</f>
        <v/>
      </c>
      <c r="E5" s="56">
        <f>'Monthly Electricity (Overview)'!E83</f>
        <v/>
      </c>
      <c r="F5" s="56">
        <f>'Monthly Electricity (Overview)'!J83</f>
        <v/>
      </c>
      <c r="G5" s="56">
        <f>'Monthly Electricity (Overview)'!K83</f>
        <v/>
      </c>
      <c r="H5" s="56" t="n"/>
      <c r="I5" s="56" t="n"/>
      <c r="J5" s="56" t="n"/>
      <c r="K5" s="56">
        <f>'Monthly Electricity (Overview)'!L83</f>
        <v/>
      </c>
      <c r="L5" s="14" t="n">
        <v>81463</v>
      </c>
      <c r="M5" s="56">
        <f>SUM('Monthly Electricity (Overview)'!U83:X83)+'Monthly Electricity (Overview)'!AD83</f>
        <v/>
      </c>
      <c r="N5" s="56">
        <f>'Monthly Electricity (Overview)'!AA83</f>
        <v/>
      </c>
      <c r="O5" s="56">
        <f>'Monthly Electricity (Overview)'!Z83</f>
        <v/>
      </c>
      <c r="P5" s="56">
        <f>'Monthly Electricity (Overview)'!Y83</f>
        <v/>
      </c>
      <c r="Q5" s="56">
        <f>SUM(B5:P5)-P5</f>
        <v/>
      </c>
      <c r="R5" s="56">
        <f>SUM(B5:O5)-L5</f>
        <v/>
      </c>
    </row>
    <row r="6" ht="16" customHeight="1">
      <c r="A6" s="314" t="n">
        <v>44136</v>
      </c>
      <c r="B6" s="56">
        <f>SUM('Monthly Electricity (Overview)'!C84:D84)+SUM('Monthly Electricity (Overview)'!F84:H84)+SUM('Monthly Electricity (Overview)'!O84:Q84)</f>
        <v/>
      </c>
      <c r="C6" s="56">
        <f>'Monthly Electricity (Overview)'!I84</f>
        <v/>
      </c>
      <c r="D6" s="56">
        <f>'Monthly Electricity (Overview)'!N84</f>
        <v/>
      </c>
      <c r="E6" s="56">
        <f>'Monthly Electricity (Overview)'!E84</f>
        <v/>
      </c>
      <c r="F6" s="56">
        <f>'Monthly Electricity (Overview)'!J84</f>
        <v/>
      </c>
      <c r="G6" s="56">
        <f>'Monthly Electricity (Overview)'!K84</f>
        <v/>
      </c>
      <c r="H6" s="56" t="n"/>
      <c r="I6" s="56" t="n"/>
      <c r="J6" s="56" t="n"/>
      <c r="K6" s="56">
        <f>'Monthly Electricity (Overview)'!L84</f>
        <v/>
      </c>
      <c r="L6" s="14" t="n">
        <v>59032</v>
      </c>
      <c r="M6" s="56">
        <f>SUM('Monthly Electricity (Overview)'!U84:X84)+'Monthly Electricity (Overview)'!AD84</f>
        <v/>
      </c>
      <c r="N6" s="56">
        <f>'Monthly Electricity (Overview)'!AA84</f>
        <v/>
      </c>
      <c r="O6" s="56">
        <f>'Monthly Electricity (Overview)'!Z84</f>
        <v/>
      </c>
      <c r="P6" s="56">
        <f>'Monthly Electricity (Overview)'!Y84</f>
        <v/>
      </c>
      <c r="Q6" s="56">
        <f>SUM(B6:P6)-P6</f>
        <v/>
      </c>
      <c r="R6" s="56">
        <f>SUM(B6:O6)-L6</f>
        <v/>
      </c>
    </row>
    <row r="7" ht="16" customHeight="1">
      <c r="A7" s="551" t="n">
        <v>44166</v>
      </c>
      <c r="B7" s="56">
        <f>SUM('Monthly Electricity (Overview)'!C85:D85)+SUM('Monthly Electricity (Overview)'!F85:H85)+SUM('Monthly Electricity (Overview)'!O85:Q85)</f>
        <v/>
      </c>
      <c r="C7" s="56">
        <f>'Monthly Electricity (Overview)'!I85</f>
        <v/>
      </c>
      <c r="D7" s="56">
        <f>'Monthly Electricity (Overview)'!N85</f>
        <v/>
      </c>
      <c r="E7" s="56">
        <f>'Monthly Electricity (Overview)'!E85</f>
        <v/>
      </c>
      <c r="F7" s="56">
        <f>'Monthly Electricity (Overview)'!J85</f>
        <v/>
      </c>
      <c r="G7" s="56">
        <f>'Monthly Electricity (Overview)'!K85</f>
        <v/>
      </c>
      <c r="H7" s="56" t="n"/>
      <c r="I7" s="56" t="n"/>
      <c r="J7" s="56" t="n"/>
      <c r="K7" s="56">
        <f>'Monthly Electricity (Overview)'!L85</f>
        <v/>
      </c>
      <c r="L7" s="14" t="n">
        <v>53030</v>
      </c>
      <c r="M7" s="56">
        <f>SUM('Monthly Electricity (Overview)'!U85:X85)+'Monthly Electricity (Overview)'!AD85</f>
        <v/>
      </c>
      <c r="N7" s="56">
        <f>'Monthly Electricity (Overview)'!AA85</f>
        <v/>
      </c>
      <c r="O7" s="56">
        <f>'Monthly Electricity (Overview)'!Z85</f>
        <v/>
      </c>
      <c r="P7" s="56">
        <f>'Monthly Electricity (Overview)'!Y85</f>
        <v/>
      </c>
      <c r="Q7" s="56">
        <f>SUM(B7:P7)-P7</f>
        <v/>
      </c>
      <c r="R7" s="56">
        <f>SUM(B7:O7)-L7</f>
        <v/>
      </c>
    </row>
    <row r="8" ht="16" customHeight="1">
      <c r="A8" s="552" t="n">
        <v>44197</v>
      </c>
      <c r="B8" s="56">
        <f>SUM('Monthly Electricity (Overview)'!C86:D86)+SUM('Monthly Electricity (Overview)'!F86:H86)+SUM('Monthly Electricity (Overview)'!O86:Q86)</f>
        <v/>
      </c>
      <c r="C8" s="56">
        <f>'Monthly Electricity (Overview)'!I86</f>
        <v/>
      </c>
      <c r="D8" s="56">
        <f>'Monthly Electricity (Overview)'!N86</f>
        <v/>
      </c>
      <c r="E8" s="56">
        <f>'Monthly Electricity (Overview)'!E86</f>
        <v/>
      </c>
      <c r="F8" s="56">
        <f>'Monthly Electricity (Overview)'!J86</f>
        <v/>
      </c>
      <c r="G8" s="56">
        <f>'Monthly Electricity (Overview)'!K86</f>
        <v/>
      </c>
      <c r="H8" s="56" t="n"/>
      <c r="I8" s="56" t="n"/>
      <c r="J8" s="56" t="n"/>
      <c r="K8" s="56">
        <f>'Monthly Electricity (Overview)'!L86</f>
        <v/>
      </c>
      <c r="L8" s="14" t="n">
        <v>48369</v>
      </c>
      <c r="M8" s="56">
        <f>SUM('Monthly Electricity (Overview)'!U86:X86)+'Monthly Electricity (Overview)'!AD86</f>
        <v/>
      </c>
      <c r="N8" s="56">
        <f>'Monthly Electricity (Overview)'!AA86</f>
        <v/>
      </c>
      <c r="O8" s="56">
        <f>'Monthly Electricity (Overview)'!Z86</f>
        <v/>
      </c>
      <c r="P8" s="56">
        <f>'Monthly Electricity (Overview)'!Y86</f>
        <v/>
      </c>
      <c r="Q8" s="56">
        <f>SUM(B8:P8)-P8</f>
        <v/>
      </c>
      <c r="R8" s="56">
        <f>SUM(B8:O8)-L8</f>
        <v/>
      </c>
    </row>
    <row r="9" ht="16" customHeight="1">
      <c r="A9" s="552" t="n">
        <v>44228</v>
      </c>
      <c r="B9" s="56">
        <f>SUM('Monthly Electricity (Overview)'!C87:D87)+SUM('Monthly Electricity (Overview)'!F87:H87)+SUM('Monthly Electricity (Overview)'!O87:Q87)</f>
        <v/>
      </c>
      <c r="C9" s="56">
        <f>'Monthly Electricity (Overview)'!I87</f>
        <v/>
      </c>
      <c r="D9" s="56">
        <f>'Monthly Electricity (Overview)'!N87</f>
        <v/>
      </c>
      <c r="E9" s="56">
        <f>'Monthly Electricity (Overview)'!E87</f>
        <v/>
      </c>
      <c r="F9" s="56">
        <f>'Monthly Electricity (Overview)'!J87</f>
        <v/>
      </c>
      <c r="G9" s="56">
        <f>'Monthly Electricity (Overview)'!K87</f>
        <v/>
      </c>
      <c r="H9" s="56" t="n"/>
      <c r="I9" s="56" t="n"/>
      <c r="J9" s="56" t="n"/>
      <c r="K9" s="56">
        <f>'Monthly Electricity (Overview)'!L87</f>
        <v/>
      </c>
      <c r="L9" s="14" t="n">
        <v>45841</v>
      </c>
      <c r="M9" s="56">
        <f>SUM('Monthly Electricity (Overview)'!U87:X87)+'Monthly Electricity (Overview)'!AD87</f>
        <v/>
      </c>
      <c r="N9" s="56">
        <f>'Monthly Electricity (Overview)'!AA87</f>
        <v/>
      </c>
      <c r="O9" s="56">
        <f>'Monthly Electricity (Overview)'!Z87</f>
        <v/>
      </c>
      <c r="P9" s="56">
        <f>'Monthly Electricity (Overview)'!Y87</f>
        <v/>
      </c>
      <c r="Q9" s="56">
        <f>SUM(B9:P9)-P9</f>
        <v/>
      </c>
      <c r="R9" s="56">
        <f>SUM(B9:O9)-L9</f>
        <v/>
      </c>
    </row>
    <row r="10" ht="16" customHeight="1">
      <c r="A10" s="552" t="n">
        <v>44256</v>
      </c>
      <c r="B10" s="56">
        <f>SUM('Monthly Electricity (Overview)'!C88:D88)+SUM('Monthly Electricity (Overview)'!F88:H88)+SUM('Monthly Electricity (Overview)'!O88:Q88)</f>
        <v/>
      </c>
      <c r="C10" s="56">
        <f>'Monthly Electricity (Overview)'!I88</f>
        <v/>
      </c>
      <c r="D10" s="56">
        <f>'Monthly Electricity (Overview)'!N88</f>
        <v/>
      </c>
      <c r="E10" s="56">
        <f>'Monthly Electricity (Overview)'!E88</f>
        <v/>
      </c>
      <c r="F10" s="56">
        <f>'Monthly Electricity (Overview)'!J88</f>
        <v/>
      </c>
      <c r="G10" s="56">
        <f>'Monthly Electricity (Overview)'!K88</f>
        <v/>
      </c>
      <c r="H10" s="56" t="n"/>
      <c r="I10" s="56" t="n"/>
      <c r="J10" s="56" t="n"/>
      <c r="K10" s="56">
        <f>'Monthly Electricity (Overview)'!L88</f>
        <v/>
      </c>
      <c r="L10" s="14" t="n">
        <v>55029</v>
      </c>
      <c r="M10" s="56">
        <f>SUM('Monthly Electricity (Overview)'!U88:X88)+'Monthly Electricity (Overview)'!AD88</f>
        <v/>
      </c>
      <c r="N10" s="56">
        <f>'Monthly Electricity (Overview)'!AA88</f>
        <v/>
      </c>
      <c r="O10" s="56">
        <f>'Monthly Electricity (Overview)'!Z88</f>
        <v/>
      </c>
      <c r="P10" s="56">
        <f>'Monthly Electricity (Overview)'!Y88</f>
        <v/>
      </c>
      <c r="Q10" s="56">
        <f>SUM(B10:P10)-P10</f>
        <v/>
      </c>
      <c r="R10" s="56">
        <f>SUM(B10:O10)-L10</f>
        <v/>
      </c>
    </row>
    <row r="11" ht="16" customHeight="1">
      <c r="A11" s="552" t="n">
        <v>44287</v>
      </c>
      <c r="B11" s="56">
        <f>SUM('Monthly Electricity (Overview)'!C89:D89)+SUM('Monthly Electricity (Overview)'!F89:H89)+SUM('Monthly Electricity (Overview)'!O89:Q89)</f>
        <v/>
      </c>
      <c r="C11" s="56">
        <f>'Monthly Electricity (Overview)'!I89</f>
        <v/>
      </c>
      <c r="D11" s="56">
        <f>'Monthly Electricity (Overview)'!N89</f>
        <v/>
      </c>
      <c r="E11" s="56">
        <f>'Monthly Electricity (Overview)'!E89</f>
        <v/>
      </c>
      <c r="F11" s="56">
        <f>'Monthly Electricity (Overview)'!J89</f>
        <v/>
      </c>
      <c r="G11" s="56">
        <f>'Monthly Electricity (Overview)'!K89</f>
        <v/>
      </c>
      <c r="H11" s="56" t="n"/>
      <c r="I11" s="56" t="n"/>
      <c r="J11" s="56" t="n"/>
      <c r="K11" s="56">
        <f>'Monthly Electricity (Overview)'!L89</f>
        <v/>
      </c>
      <c r="L11" s="14" t="n">
        <v>62537</v>
      </c>
      <c r="M11" s="56">
        <f>SUM('Monthly Electricity (Overview)'!U89:X89)+'Monthly Electricity (Overview)'!AD89</f>
        <v/>
      </c>
      <c r="N11" s="56">
        <f>'Monthly Electricity (Overview)'!AA89</f>
        <v/>
      </c>
      <c r="O11" s="56">
        <f>'Monthly Electricity (Overview)'!Z89</f>
        <v/>
      </c>
      <c r="P11" s="56">
        <f>'Monthly Electricity (Overview)'!Y89</f>
        <v/>
      </c>
      <c r="Q11" s="56">
        <f>SUM(B11:P11)-P11</f>
        <v/>
      </c>
      <c r="R11" s="56">
        <f>SUM(B11:O11)-L11</f>
        <v/>
      </c>
    </row>
    <row r="12" ht="16" customHeight="1">
      <c r="A12" s="552" t="n">
        <v>44317</v>
      </c>
      <c r="B12" s="56">
        <f>SUM('Monthly Electricity (Overview)'!C90:D90)+SUM('Monthly Electricity (Overview)'!F90:H90)+SUM('Monthly Electricity (Overview)'!O90:Q90)</f>
        <v/>
      </c>
      <c r="C12" s="56">
        <f>'Monthly Electricity (Overview)'!I90</f>
        <v/>
      </c>
      <c r="D12" s="56">
        <f>'Monthly Electricity (Overview)'!N90</f>
        <v/>
      </c>
      <c r="E12" s="56">
        <f>'Monthly Electricity (Overview)'!E90</f>
        <v/>
      </c>
      <c r="F12" s="56">
        <f>'Monthly Electricity (Overview)'!J90</f>
        <v/>
      </c>
      <c r="G12" s="56">
        <f>'Monthly Electricity (Overview)'!K90</f>
        <v/>
      </c>
      <c r="H12" s="56" t="n"/>
      <c r="I12" s="56" t="n"/>
      <c r="J12" s="56" t="n"/>
      <c r="K12" s="56">
        <f>'Monthly Electricity (Overview)'!L90</f>
        <v/>
      </c>
      <c r="L12" s="14" t="n">
        <v>84771</v>
      </c>
      <c r="M12" s="56">
        <f>SUM('Monthly Electricity (Overview)'!U90:X90)+'Monthly Electricity (Overview)'!AD90</f>
        <v/>
      </c>
      <c r="N12" s="56">
        <f>'Monthly Electricity (Overview)'!AA90</f>
        <v/>
      </c>
      <c r="O12" s="56">
        <f>'Monthly Electricity (Overview)'!Z90</f>
        <v/>
      </c>
      <c r="P12" s="56">
        <f>'Monthly Electricity (Overview)'!Y90</f>
        <v/>
      </c>
      <c r="Q12" s="56">
        <f>SUM(B12:P12)-P12</f>
        <v/>
      </c>
      <c r="R12" s="56">
        <f>SUM(B12:O12)-L12</f>
        <v/>
      </c>
    </row>
    <row r="13" ht="16" customHeight="1">
      <c r="A13" s="552" t="n">
        <v>44348</v>
      </c>
      <c r="B13" s="315">
        <f>SUM('Monthly Electricity (Overview)'!C91:D91)+SUM('Monthly Electricity (Overview)'!F91:H91)+SUM('Monthly Electricity (Overview)'!O91:Q91)</f>
        <v/>
      </c>
      <c r="C13" s="315">
        <f>'Monthly Electricity (Overview)'!I91</f>
        <v/>
      </c>
      <c r="D13" s="315">
        <f>'Monthly Electricity (Overview)'!N91</f>
        <v/>
      </c>
      <c r="E13" s="315">
        <f>'Monthly Electricity (Overview)'!E91</f>
        <v/>
      </c>
      <c r="F13" s="315">
        <f>'Monthly Electricity (Overview)'!J91</f>
        <v/>
      </c>
      <c r="G13" s="315">
        <f>'Monthly Electricity (Overview)'!K91</f>
        <v/>
      </c>
      <c r="H13" s="315" t="n"/>
      <c r="I13" s="315" t="n"/>
      <c r="J13" s="315" t="n"/>
      <c r="K13" s="315">
        <f>'Monthly Electricity (Overview)'!L91</f>
        <v/>
      </c>
      <c r="L13" s="316" t="n">
        <v>90161</v>
      </c>
      <c r="M13" s="315">
        <f>SUM('Monthly Electricity (Overview)'!U91:X91)+'Monthly Electricity (Overview)'!AD91</f>
        <v/>
      </c>
      <c r="N13" s="315">
        <f>'Monthly Electricity (Overview)'!AA91</f>
        <v/>
      </c>
      <c r="O13" s="315">
        <f>'Monthly Electricity (Overview)'!Z91</f>
        <v/>
      </c>
      <c r="P13" s="315">
        <f>'Monthly Electricity (Overview)'!Y91</f>
        <v/>
      </c>
      <c r="Q13" s="315">
        <f>SUM(B13:P13)-P13</f>
        <v/>
      </c>
      <c r="R13" s="315">
        <f>SUM(B13:O13)-L13</f>
        <v/>
      </c>
    </row>
    <row r="14" ht="16" customHeight="1">
      <c r="A14" s="552" t="n">
        <v>44378</v>
      </c>
      <c r="B14" s="56">
        <f>SUM('Monthly Electricity (Overview)'!C92:D92)+SUM('Monthly Electricity (Overview)'!F92:H92)+SUM('Monthly Electricity (Overview)'!O92:Q92)</f>
        <v/>
      </c>
      <c r="C14" s="56">
        <f>'Monthly Electricity (Overview)'!I92</f>
        <v/>
      </c>
      <c r="D14" s="56">
        <f>'Monthly Electricity (Overview)'!N92</f>
        <v/>
      </c>
      <c r="E14" s="56">
        <f>'Monthly Electricity (Overview)'!E92</f>
        <v/>
      </c>
      <c r="F14" s="56">
        <f>'Monthly Electricity (Overview)'!J92</f>
        <v/>
      </c>
      <c r="G14" s="56">
        <f>'Monthly Electricity (Overview)'!K92</f>
        <v/>
      </c>
      <c r="H14" s="56" t="n"/>
      <c r="I14" s="56" t="n"/>
      <c r="J14" s="56" t="n"/>
      <c r="K14" s="56">
        <f>'Monthly Electricity (Overview)'!L92</f>
        <v/>
      </c>
      <c r="L14" s="14" t="n">
        <v>91635</v>
      </c>
      <c r="M14" s="56">
        <f>SUM('Monthly Electricity (Overview)'!U92:X92)+'Monthly Electricity (Overview)'!AD92</f>
        <v/>
      </c>
      <c r="N14" s="56">
        <f>'Monthly Electricity (Overview)'!AA92</f>
        <v/>
      </c>
      <c r="O14" s="56">
        <f>'Monthly Electricity (Overview)'!Z92</f>
        <v/>
      </c>
      <c r="P14" s="56">
        <f>'Monthly Electricity (Overview)'!Y92</f>
        <v/>
      </c>
      <c r="Q14" s="56">
        <f>SUM(B14:P14)-P14</f>
        <v/>
      </c>
      <c r="R14" s="56">
        <f>SUM(B14:O14)-L14</f>
        <v/>
      </c>
    </row>
    <row r="15" ht="16" customHeight="1">
      <c r="A15" s="552" t="n">
        <v>44409</v>
      </c>
      <c r="B15" s="56">
        <f>SUM('Monthly Electricity (Overview)'!C93:D93)+SUM('Monthly Electricity (Overview)'!F93:H93)+SUM('Monthly Electricity (Overview)'!O93:Q93)</f>
        <v/>
      </c>
      <c r="C15" s="56">
        <f>'Monthly Electricity (Overview)'!I93</f>
        <v/>
      </c>
      <c r="D15" s="56">
        <f>'Monthly Electricity (Overview)'!N93</f>
        <v/>
      </c>
      <c r="E15" s="56">
        <f>'Monthly Electricity (Overview)'!E93</f>
        <v/>
      </c>
      <c r="F15" s="56">
        <f>'Monthly Electricity (Overview)'!J93</f>
        <v/>
      </c>
      <c r="G15" s="56">
        <f>'Monthly Electricity (Overview)'!K93</f>
        <v/>
      </c>
      <c r="H15" s="56" t="n"/>
      <c r="I15" s="56" t="n"/>
      <c r="J15" s="56" t="n"/>
      <c r="K15" s="56">
        <f>'Monthly Electricity (Overview)'!L93</f>
        <v/>
      </c>
      <c r="L15" s="14" t="n">
        <v>93108</v>
      </c>
      <c r="M15" s="56">
        <f>SUM('Monthly Electricity (Overview)'!U93:X93)+'Monthly Electricity (Overview)'!AD93</f>
        <v/>
      </c>
      <c r="N15" s="56">
        <f>'Monthly Electricity (Overview)'!AA93</f>
        <v/>
      </c>
      <c r="O15" s="56">
        <f>'Monthly Electricity (Overview)'!Z93</f>
        <v/>
      </c>
      <c r="P15" s="56">
        <f>'Monthly Electricity (Overview)'!Y93</f>
        <v/>
      </c>
      <c r="Q15" s="56">
        <f>SUM(B15:P15)-P15</f>
        <v/>
      </c>
      <c r="R15" s="56">
        <f>SUM(B15:O15)-L15</f>
        <v/>
      </c>
    </row>
    <row r="16" ht="16" customHeight="1">
      <c r="A16" s="552" t="n">
        <v>44440</v>
      </c>
      <c r="B16" s="56">
        <f>SUM('Monthly Electricity (Overview)'!C94:D94)+SUM('Monthly Electricity (Overview)'!F94:H94)+SUM('Monthly Electricity (Overview)'!O94:Q94)</f>
        <v/>
      </c>
      <c r="C16" s="56">
        <f>'Monthly Electricity (Overview)'!I94</f>
        <v/>
      </c>
      <c r="D16" s="56">
        <f>'Monthly Electricity (Overview)'!N94</f>
        <v/>
      </c>
      <c r="E16" s="56">
        <f>'Monthly Electricity (Overview)'!E94</f>
        <v/>
      </c>
      <c r="F16" s="56">
        <f>'Monthly Electricity (Overview)'!J94</f>
        <v/>
      </c>
      <c r="G16" s="56">
        <f>'Monthly Electricity (Overview)'!K94</f>
        <v/>
      </c>
      <c r="H16" s="56" t="n"/>
      <c r="I16" s="56" t="n"/>
      <c r="J16" s="56" t="n"/>
      <c r="K16" s="56">
        <f>'Monthly Electricity (Overview)'!L94</f>
        <v/>
      </c>
      <c r="L16" s="14" t="n">
        <v>141827</v>
      </c>
      <c r="M16" s="56">
        <f>SUM('Monthly Electricity (Overview)'!U94:X94)+'Monthly Electricity (Overview)'!AD94</f>
        <v/>
      </c>
      <c r="N16" s="56">
        <f>'Monthly Electricity (Overview)'!AA94</f>
        <v/>
      </c>
      <c r="O16" s="56">
        <f>'Monthly Electricity (Overview)'!Z94</f>
        <v/>
      </c>
      <c r="P16" s="56">
        <f>'Monthly Electricity (Overview)'!Y94</f>
        <v/>
      </c>
      <c r="Q16" s="56">
        <f>SUM(B16:P16)-P16</f>
        <v/>
      </c>
      <c r="R16" s="56">
        <f>SUM(B16:O16)-L16</f>
        <v/>
      </c>
    </row>
    <row r="17" ht="16" customHeight="1">
      <c r="A17" s="552" t="n">
        <v>44470</v>
      </c>
      <c r="B17" s="56">
        <f>SUM('Monthly Electricity (Overview)'!C95:D95)+SUM('Monthly Electricity (Overview)'!F95:H95)+SUM('Monthly Electricity (Overview)'!O95:Q95)</f>
        <v/>
      </c>
      <c r="C17" s="56">
        <f>'Monthly Electricity (Overview)'!I95</f>
        <v/>
      </c>
      <c r="D17" s="56">
        <f>'Monthly Electricity (Overview)'!N95</f>
        <v/>
      </c>
      <c r="E17" s="56">
        <f>'Monthly Electricity (Overview)'!E95</f>
        <v/>
      </c>
      <c r="F17" s="56">
        <f>'Monthly Electricity (Overview)'!J95</f>
        <v/>
      </c>
      <c r="G17" s="56">
        <f>'Monthly Electricity (Overview)'!K95</f>
        <v/>
      </c>
      <c r="H17" s="56" t="n"/>
      <c r="I17" s="56" t="n"/>
      <c r="J17" s="56" t="n"/>
      <c r="K17" s="56">
        <f>'Monthly Electricity (Overview)'!L95</f>
        <v/>
      </c>
      <c r="L17" s="14" t="n">
        <v>106072</v>
      </c>
      <c r="M17" s="56">
        <f>SUM('Monthly Electricity (Overview)'!U95:X95)+'Monthly Electricity (Overview)'!AD95</f>
        <v/>
      </c>
      <c r="N17" s="56">
        <f>'Monthly Electricity (Overview)'!AA95</f>
        <v/>
      </c>
      <c r="O17" s="56">
        <f>'Monthly Electricity (Overview)'!Z95</f>
        <v/>
      </c>
      <c r="P17" s="56">
        <f>'Monthly Electricity (Overview)'!Y95</f>
        <v/>
      </c>
      <c r="Q17" s="56">
        <f>SUM(B17:P17)-P17</f>
        <v/>
      </c>
      <c r="R17" s="56">
        <f>SUM(B17:O17)-L17</f>
        <v/>
      </c>
    </row>
    <row r="18" ht="16" customHeight="1">
      <c r="A18" s="552" t="n">
        <v>44501</v>
      </c>
      <c r="B18" s="56">
        <f>SUM('Monthly Electricity (Overview)'!C96:D96)+SUM('Monthly Electricity (Overview)'!F96:H96)+SUM('Monthly Electricity (Overview)'!O96:Q96)</f>
        <v/>
      </c>
      <c r="C18" s="56">
        <f>'Monthly Electricity (Overview)'!I96</f>
        <v/>
      </c>
      <c r="D18" s="56">
        <f>'Monthly Electricity (Overview)'!N96</f>
        <v/>
      </c>
      <c r="E18" s="56">
        <f>'Monthly Electricity (Overview)'!E96</f>
        <v/>
      </c>
      <c r="F18" s="56">
        <f>'Monthly Electricity (Overview)'!J96</f>
        <v/>
      </c>
      <c r="G18" s="56">
        <f>'Monthly Electricity (Overview)'!K96</f>
        <v/>
      </c>
      <c r="H18" s="56" t="n"/>
      <c r="I18" s="56" t="n"/>
      <c r="J18" s="56" t="n"/>
      <c r="K18" s="56">
        <f>'Monthly Electricity (Overview)'!L96</f>
        <v/>
      </c>
      <c r="L18" s="14" t="n">
        <v>115747</v>
      </c>
      <c r="M18" s="56">
        <f>SUM('Monthly Electricity (Overview)'!U96:X96)+'Monthly Electricity (Overview)'!AD96</f>
        <v/>
      </c>
      <c r="N18" s="56">
        <f>'Monthly Electricity (Overview)'!AA96</f>
        <v/>
      </c>
      <c r="O18" s="56">
        <f>'Monthly Electricity (Overview)'!Z96</f>
        <v/>
      </c>
      <c r="P18" s="56">
        <f>'Monthly Electricity (Overview)'!Y96</f>
        <v/>
      </c>
      <c r="Q18" s="56">
        <f>SUM(B18:P18)-P18</f>
        <v/>
      </c>
      <c r="R18" s="56">
        <f>SUM(B18:O18)-L18</f>
        <v/>
      </c>
    </row>
    <row r="19" ht="16" customHeight="1">
      <c r="A19" s="552" t="n">
        <v>44531</v>
      </c>
      <c r="B19" s="56">
        <f>SUM('Monthly Electricity (Overview)'!C97:D97)+SUM('Monthly Electricity (Overview)'!F97:H97)+SUM('Monthly Electricity (Overview)'!O97:Q97)</f>
        <v/>
      </c>
      <c r="C19" s="56">
        <f>'Monthly Electricity (Overview)'!I97</f>
        <v/>
      </c>
      <c r="D19" s="56">
        <f>'Monthly Electricity (Overview)'!N97</f>
        <v/>
      </c>
      <c r="E19" s="56">
        <f>'Monthly Electricity (Overview)'!E97</f>
        <v/>
      </c>
      <c r="F19" s="56">
        <f>'Monthly Electricity (Overview)'!J97</f>
        <v/>
      </c>
      <c r="G19" s="56">
        <f>'Monthly Electricity (Overview)'!K97</f>
        <v/>
      </c>
      <c r="H19" s="56" t="n"/>
      <c r="I19" s="56" t="n"/>
      <c r="J19" s="56" t="n"/>
      <c r="K19" s="56">
        <f>'Monthly Electricity (Overview)'!L97</f>
        <v/>
      </c>
      <c r="L19" s="14" t="n">
        <v>29777</v>
      </c>
      <c r="M19" s="56">
        <f>SUM('Monthly Electricity (Overview)'!U97:X97)+'Monthly Electricity (Overview)'!AD97</f>
        <v/>
      </c>
      <c r="N19" s="56">
        <f>'Monthly Electricity (Overview)'!AA97</f>
        <v/>
      </c>
      <c r="O19" s="56">
        <f>'Monthly Electricity (Overview)'!Z97</f>
        <v/>
      </c>
      <c r="P19" s="56">
        <f>'Monthly Electricity (Overview)'!Y97</f>
        <v/>
      </c>
      <c r="Q19" s="56">
        <f>SUM(B19:P19)-P19</f>
        <v/>
      </c>
      <c r="R19" s="56">
        <f>SUM(B19:O19)-L19</f>
        <v/>
      </c>
    </row>
    <row r="20" ht="16" customHeight="1">
      <c r="A20" s="553" t="n">
        <v>44562</v>
      </c>
      <c r="B20" s="56">
        <f>SUM('Monthly Electricity (Overview)'!C98:D98)+SUM('Monthly Electricity (Overview)'!F98:H98)+SUM('Monthly Electricity (Overview)'!O98:Q98)</f>
        <v/>
      </c>
      <c r="C20" s="56">
        <f>'Monthly Electricity (Overview)'!I98</f>
        <v/>
      </c>
      <c r="D20" s="56">
        <f>'Monthly Electricity (Overview)'!N98</f>
        <v/>
      </c>
      <c r="E20" s="56">
        <f>'Monthly Electricity (Overview)'!E98</f>
        <v/>
      </c>
      <c r="F20" s="56">
        <f>'Monthly Electricity (Overview)'!J98</f>
        <v/>
      </c>
      <c r="G20" s="56">
        <f>'Monthly Electricity (Overview)'!K98</f>
        <v/>
      </c>
      <c r="H20" s="56" t="n"/>
      <c r="I20" s="56" t="n"/>
      <c r="J20" s="56" t="n"/>
      <c r="K20" s="56">
        <f>'Monthly Electricity (Overview)'!L98</f>
        <v/>
      </c>
      <c r="L20" s="14" t="n">
        <v>44842</v>
      </c>
      <c r="M20" s="56">
        <f>SUM('Monthly Electricity (Overview)'!U98:X98)+'Monthly Electricity (Overview)'!AD98</f>
        <v/>
      </c>
      <c r="N20" s="56">
        <f>'Monthly Electricity (Overview)'!AA98</f>
        <v/>
      </c>
      <c r="O20" s="56">
        <f>'Monthly Electricity (Overview)'!Z98</f>
        <v/>
      </c>
      <c r="P20" s="56">
        <f>'Monthly Electricity (Overview)'!Y98</f>
        <v/>
      </c>
      <c r="Q20" s="56">
        <f>SUM(B20:P20)-P20</f>
        <v/>
      </c>
      <c r="R20" s="56">
        <f>SUM(B20:O20)-L20</f>
        <v/>
      </c>
    </row>
    <row r="21" ht="16" customHeight="1">
      <c r="A21" s="553" t="n">
        <v>44593</v>
      </c>
      <c r="B21" s="56">
        <f>SUM('Monthly Electricity (Overview)'!C99:D99)+SUM('Monthly Electricity (Overview)'!F99:H99)+SUM('Monthly Electricity (Overview)'!O99:Q99)</f>
        <v/>
      </c>
      <c r="C21" s="56">
        <f>'Monthly Electricity (Overview)'!I99</f>
        <v/>
      </c>
      <c r="D21" s="56">
        <f>'Monthly Electricity (Overview)'!N99</f>
        <v/>
      </c>
      <c r="E21" s="56">
        <f>'Monthly Electricity (Overview)'!E99</f>
        <v/>
      </c>
      <c r="F21" s="56">
        <f>'Monthly Electricity (Overview)'!J99</f>
        <v/>
      </c>
      <c r="G21" s="56">
        <f>'Monthly Electricity (Overview)'!K99</f>
        <v/>
      </c>
      <c r="H21" s="56" t="n"/>
      <c r="I21" s="56" t="n"/>
      <c r="J21" s="56" t="n"/>
      <c r="K21" s="56">
        <f>'Monthly Electricity (Overview)'!L99</f>
        <v/>
      </c>
      <c r="L21" s="14" t="n">
        <v>32534</v>
      </c>
      <c r="M21" s="56">
        <f>SUM('Monthly Electricity (Overview)'!U99:X99)+'Monthly Electricity (Overview)'!AD99</f>
        <v/>
      </c>
      <c r="N21" s="56">
        <f>'Monthly Electricity (Overview)'!AA99</f>
        <v/>
      </c>
      <c r="O21" s="56">
        <f>'Monthly Electricity (Overview)'!Z99</f>
        <v/>
      </c>
      <c r="P21" s="56">
        <f>'Monthly Electricity (Overview)'!Y99</f>
        <v/>
      </c>
      <c r="Q21" s="56">
        <f>SUM(B21:P21)-P21</f>
        <v/>
      </c>
      <c r="R21" s="56">
        <f>SUM(B21:O21)-L21</f>
        <v/>
      </c>
    </row>
    <row r="22" ht="16" customHeight="1">
      <c r="A22" s="553" t="n">
        <v>44621</v>
      </c>
      <c r="B22" s="56">
        <f>SUM('Monthly Electricity (Overview)'!C100:D100)+SUM('Monthly Electricity (Overview)'!F100:H100)+SUM('Monthly Electricity (Overview)'!O100:Q100)</f>
        <v/>
      </c>
      <c r="C22" s="56">
        <f>'Monthly Electricity (Overview)'!I100</f>
        <v/>
      </c>
      <c r="D22" s="56">
        <f>'Monthly Electricity (Overview)'!N100</f>
        <v/>
      </c>
      <c r="E22" s="56">
        <f>'Monthly Electricity (Overview)'!E100</f>
        <v/>
      </c>
      <c r="F22" s="56">
        <f>'Monthly Electricity (Overview)'!J100</f>
        <v/>
      </c>
      <c r="G22" s="56">
        <f>'Monthly Electricity (Overview)'!K100</f>
        <v/>
      </c>
      <c r="H22" s="56" t="n"/>
      <c r="I22" s="56" t="n"/>
      <c r="J22" s="56" t="n"/>
      <c r="K22" s="56">
        <f>'Monthly Electricity (Overview)'!L100</f>
        <v/>
      </c>
      <c r="L22" s="14" t="n">
        <v>39912</v>
      </c>
      <c r="M22" s="56">
        <f>SUM('Monthly Electricity (Overview)'!U100:X100)+'Monthly Electricity (Overview)'!AD100</f>
        <v/>
      </c>
      <c r="N22" s="56">
        <f>'Monthly Electricity (Overview)'!AA100</f>
        <v/>
      </c>
      <c r="O22" s="56">
        <f>'Monthly Electricity (Overview)'!Z100</f>
        <v/>
      </c>
      <c r="P22" s="56">
        <f>'Monthly Electricity (Overview)'!Y100</f>
        <v/>
      </c>
      <c r="Q22" s="56">
        <f>SUM(B22:P22)-P22</f>
        <v/>
      </c>
      <c r="R22" s="56">
        <f>SUM(B22:O22)-L22</f>
        <v/>
      </c>
    </row>
    <row r="23" ht="16" customHeight="1">
      <c r="A23" s="553" t="n">
        <v>44652</v>
      </c>
      <c r="B23" s="56">
        <f>SUM('Monthly Electricity (Overview)'!C101:D101)+SUM('Monthly Electricity (Overview)'!F101:H101)+SUM('Monthly Electricity (Overview)'!O101:Q101)</f>
        <v/>
      </c>
      <c r="C23" s="56">
        <f>'Monthly Electricity (Overview)'!I101</f>
        <v/>
      </c>
      <c r="D23" s="56">
        <f>'Monthly Electricity (Overview)'!N101</f>
        <v/>
      </c>
      <c r="E23" s="56">
        <f>'Monthly Electricity (Overview)'!E101</f>
        <v/>
      </c>
      <c r="F23" s="56">
        <f>'Monthly Electricity (Overview)'!J101</f>
        <v/>
      </c>
      <c r="G23" s="56">
        <f>'Monthly Electricity (Overview)'!K101</f>
        <v/>
      </c>
      <c r="H23" s="56" t="n"/>
      <c r="I23" s="56" t="n"/>
      <c r="J23" s="56" t="n"/>
      <c r="K23" s="56">
        <f>'Monthly Electricity (Overview)'!L101</f>
        <v/>
      </c>
      <c r="L23" s="14" t="n">
        <v>52231</v>
      </c>
      <c r="M23" s="56">
        <f>SUM('Monthly Electricity (Overview)'!U101:X101)+'Monthly Electricity (Overview)'!AD101</f>
        <v/>
      </c>
      <c r="N23" s="56">
        <f>'Monthly Electricity (Overview)'!AA101</f>
        <v/>
      </c>
      <c r="O23" s="56">
        <f>'Monthly Electricity (Overview)'!Z101</f>
        <v/>
      </c>
      <c r="P23" s="56">
        <f>'Monthly Electricity (Overview)'!Y101</f>
        <v/>
      </c>
      <c r="Q23" s="56">
        <f>SUM(B23:P23)-P23</f>
        <v/>
      </c>
      <c r="R23" s="56">
        <f>SUM(B23:O23)-L23</f>
        <v/>
      </c>
    </row>
    <row r="24" ht="16" customHeight="1">
      <c r="A24" s="553" t="n">
        <v>44682</v>
      </c>
      <c r="B24" s="56">
        <f>SUM('Monthly Electricity (Overview)'!C102:D102)+SUM('Monthly Electricity (Overview)'!F102:H102)+SUM('Monthly Electricity (Overview)'!O102:Q102)</f>
        <v/>
      </c>
      <c r="C24" s="56">
        <f>'Monthly Electricity (Overview)'!I102</f>
        <v/>
      </c>
      <c r="D24" s="56">
        <f>'Monthly Electricity (Overview)'!N102</f>
        <v/>
      </c>
      <c r="E24" s="56">
        <f>'Monthly Electricity (Overview)'!E102</f>
        <v/>
      </c>
      <c r="F24" s="56">
        <f>'Monthly Electricity (Overview)'!J102</f>
        <v/>
      </c>
      <c r="G24" s="56">
        <f>'Monthly Electricity (Overview)'!K102</f>
        <v/>
      </c>
      <c r="H24" s="56" t="n"/>
      <c r="I24" s="56" t="n"/>
      <c r="J24" s="56" t="n"/>
      <c r="K24" s="56">
        <f>'Monthly Electricity (Overview)'!L102</f>
        <v/>
      </c>
      <c r="L24" s="14" t="n">
        <v>52604</v>
      </c>
      <c r="M24" s="56">
        <f>SUM('Monthly Electricity (Overview)'!U102:X102)+'Monthly Electricity (Overview)'!AD102</f>
        <v/>
      </c>
      <c r="N24" s="56">
        <f>'Monthly Electricity (Overview)'!AA102</f>
        <v/>
      </c>
      <c r="O24" s="56">
        <f>'Monthly Electricity (Overview)'!Z102</f>
        <v/>
      </c>
      <c r="P24" s="56">
        <f>'Monthly Electricity (Overview)'!Y102</f>
        <v/>
      </c>
      <c r="Q24" s="56">
        <f>SUM(B24:P24)-P24</f>
        <v/>
      </c>
      <c r="R24" s="56">
        <f>SUM(B24:O24)-L24</f>
        <v/>
      </c>
    </row>
    <row r="25" ht="16" customHeight="1">
      <c r="A25" s="553" t="n">
        <v>44713</v>
      </c>
      <c r="B25" s="315">
        <f>SUM('Monthly Electricity (Overview)'!C103:D103)+SUM('Monthly Electricity (Overview)'!F103:H103)+SUM('Monthly Electricity (Overview)'!O103:Q103)</f>
        <v/>
      </c>
      <c r="C25" s="315">
        <f>'Monthly Electricity (Overview)'!I103</f>
        <v/>
      </c>
      <c r="D25" s="315">
        <f>'Monthly Electricity (Overview)'!N103</f>
        <v/>
      </c>
      <c r="E25" s="315">
        <f>'Monthly Electricity (Overview)'!E103</f>
        <v/>
      </c>
      <c r="F25" s="315">
        <f>'Monthly Electricity (Overview)'!J103</f>
        <v/>
      </c>
      <c r="G25" s="315">
        <f>'Monthly Electricity (Overview)'!K103</f>
        <v/>
      </c>
      <c r="H25" s="315" t="n"/>
      <c r="I25" s="315" t="n"/>
      <c r="J25" s="315" t="n"/>
      <c r="K25" s="315">
        <f>'Monthly Electricity (Overview)'!L103</f>
        <v/>
      </c>
      <c r="L25" s="316" t="n">
        <v>75835</v>
      </c>
      <c r="M25" s="315">
        <f>SUM('Monthly Electricity (Overview)'!U103:X103)+'Monthly Electricity (Overview)'!AD103</f>
        <v/>
      </c>
      <c r="N25" s="315">
        <f>'Monthly Electricity (Overview)'!AA103</f>
        <v/>
      </c>
      <c r="O25" s="315">
        <f>'Monthly Electricity (Overview)'!Z103</f>
        <v/>
      </c>
      <c r="P25" s="315">
        <f>'Monthly Electricity (Overview)'!Y103</f>
        <v/>
      </c>
      <c r="Q25" s="315">
        <f>SUM(B25:P25)-P25</f>
        <v/>
      </c>
      <c r="R25" s="315">
        <f>SUM(B25:O25)-L25</f>
        <v/>
      </c>
    </row>
    <row r="26" ht="16" customHeight="1">
      <c r="A26" s="553" t="n">
        <v>44743</v>
      </c>
      <c r="B26" s="56">
        <f>SUM('Monthly Electricity (Overview)'!C104:D104)+SUM('Monthly Electricity (Overview)'!F104:H104)+SUM('Monthly Electricity (Overview)'!O104:Q104)</f>
        <v/>
      </c>
      <c r="C26" s="56">
        <f>'Monthly Electricity (Overview)'!I104</f>
        <v/>
      </c>
      <c r="D26" s="56">
        <f>'Monthly Electricity (Overview)'!N104</f>
        <v/>
      </c>
      <c r="E26" s="56">
        <f>'Monthly Electricity (Overview)'!E104</f>
        <v/>
      </c>
      <c r="F26" s="56">
        <f>'Monthly Electricity (Overview)'!J104</f>
        <v/>
      </c>
      <c r="G26" s="56">
        <f>'Monthly Electricity (Overview)'!K104</f>
        <v/>
      </c>
      <c r="H26" s="56" t="n"/>
      <c r="I26" s="56" t="n"/>
      <c r="J26" s="56" t="n"/>
      <c r="K26" s="56">
        <f>'Monthly Electricity (Overview)'!L104</f>
        <v/>
      </c>
      <c r="L26" s="14" t="n">
        <v>99717</v>
      </c>
      <c r="M26" s="56">
        <f>SUM('Monthly Electricity (Overview)'!U104:X104)+'Monthly Electricity (Overview)'!AD104</f>
        <v/>
      </c>
      <c r="N26" s="56">
        <f>'Monthly Electricity (Overview)'!AA104</f>
        <v/>
      </c>
      <c r="O26" s="56">
        <f>'Monthly Electricity (Overview)'!Z104</f>
        <v/>
      </c>
      <c r="P26" s="56">
        <f>'Monthly Electricity (Overview)'!Y104</f>
        <v/>
      </c>
      <c r="Q26" s="56">
        <f>SUM(B26:P26)-P26</f>
        <v/>
      </c>
      <c r="R26" s="56">
        <f>SUM(B26:O26)-L26</f>
        <v/>
      </c>
    </row>
    <row r="27" ht="16" customHeight="1">
      <c r="A27" s="553" t="n">
        <v>44774</v>
      </c>
      <c r="B27" s="56">
        <f>SUM('Monthly Electricity (Overview)'!C105:D105)+SUM('Monthly Electricity (Overview)'!F105:H105)+SUM('Monthly Electricity (Overview)'!O105:Q105)</f>
        <v/>
      </c>
      <c r="C27" s="56">
        <f>'Monthly Electricity (Overview)'!I105</f>
        <v/>
      </c>
      <c r="D27" s="56">
        <f>'Monthly Electricity (Overview)'!N105</f>
        <v/>
      </c>
      <c r="E27" s="56">
        <f>'Monthly Electricity (Overview)'!E105</f>
        <v/>
      </c>
      <c r="F27" s="56">
        <f>'Monthly Electricity (Overview)'!J105</f>
        <v/>
      </c>
      <c r="G27" s="56">
        <f>'Monthly Electricity (Overview)'!K105</f>
        <v/>
      </c>
      <c r="H27" s="56" t="n"/>
      <c r="I27" s="56" t="n"/>
      <c r="J27" s="56" t="n"/>
      <c r="K27" s="56">
        <f>'Monthly Electricity (Overview)'!L105</f>
        <v/>
      </c>
      <c r="L27" s="14" t="n">
        <v>89490</v>
      </c>
      <c r="M27" s="56">
        <f>SUM('Monthly Electricity (Overview)'!U105:X105)+'Monthly Electricity (Overview)'!AD105</f>
        <v/>
      </c>
      <c r="N27" s="56">
        <f>'Monthly Electricity (Overview)'!AA105</f>
        <v/>
      </c>
      <c r="O27" s="56">
        <f>'Monthly Electricity (Overview)'!Z105</f>
        <v/>
      </c>
      <c r="P27" s="56">
        <f>'Monthly Electricity (Overview)'!Y105</f>
        <v/>
      </c>
      <c r="Q27" s="56">
        <f>SUM(B27:P27)-P27</f>
        <v/>
      </c>
      <c r="R27" s="56">
        <f>SUM(B27:O27)-L27</f>
        <v/>
      </c>
    </row>
    <row r="28" ht="16" customHeight="1">
      <c r="A28" s="553" t="n">
        <v>44805</v>
      </c>
      <c r="B28" s="56">
        <f>SUM('Monthly Electricity (Overview)'!C106:D106)+SUM('Monthly Electricity (Overview)'!F106:H106)+SUM('Monthly Electricity (Overview)'!O106:Q106)</f>
        <v/>
      </c>
      <c r="C28" s="56">
        <f>'Monthly Electricity (Overview)'!I106</f>
        <v/>
      </c>
      <c r="D28" s="56">
        <f>'Monthly Electricity (Overview)'!N106</f>
        <v/>
      </c>
      <c r="E28" s="56">
        <f>'Monthly Electricity (Overview)'!E106</f>
        <v/>
      </c>
      <c r="F28" s="56">
        <f>'Monthly Electricity (Overview)'!J106</f>
        <v/>
      </c>
      <c r="G28" s="56">
        <f>'Monthly Electricity (Overview)'!K106</f>
        <v/>
      </c>
      <c r="H28" s="56" t="n"/>
      <c r="I28" s="56" t="n"/>
      <c r="J28" s="56" t="n"/>
      <c r="K28" s="56">
        <f>'Monthly Electricity (Overview)'!L106</f>
        <v/>
      </c>
      <c r="L28" s="14" t="n">
        <v>94828</v>
      </c>
      <c r="M28" s="56">
        <f>SUM('Monthly Electricity (Overview)'!U106:X106)+'Monthly Electricity (Overview)'!AD106</f>
        <v/>
      </c>
      <c r="N28" s="56">
        <f>'Monthly Electricity (Overview)'!AA106</f>
        <v/>
      </c>
      <c r="O28" s="56">
        <f>'Monthly Electricity (Overview)'!Z106</f>
        <v/>
      </c>
      <c r="P28" s="56">
        <f>'Monthly Electricity (Overview)'!Y106</f>
        <v/>
      </c>
      <c r="Q28" s="56">
        <f>SUM(B28:P28)-P28</f>
        <v/>
      </c>
      <c r="R28" s="56">
        <f>SUM(B28:O28)-L28</f>
        <v/>
      </c>
    </row>
    <row r="29" ht="16" customHeight="1">
      <c r="A29" s="553" t="n">
        <v>44835</v>
      </c>
      <c r="B29" s="56">
        <f>SUM('Monthly Electricity (Overview)'!C107:D107)+SUM('Monthly Electricity (Overview)'!F107:H107)+SUM('Monthly Electricity (Overview)'!O107:Q107)</f>
        <v/>
      </c>
      <c r="C29" s="56">
        <f>'Monthly Electricity (Overview)'!I107</f>
        <v/>
      </c>
      <c r="D29" s="56">
        <f>'Monthly Electricity (Overview)'!N107</f>
        <v/>
      </c>
      <c r="E29" s="56">
        <f>'Monthly Electricity (Overview)'!E107</f>
        <v/>
      </c>
      <c r="F29" s="56">
        <f>'Monthly Electricity (Overview)'!J107</f>
        <v/>
      </c>
      <c r="G29" s="56">
        <f>'Monthly Electricity (Overview)'!K107</f>
        <v/>
      </c>
      <c r="H29" s="56" t="n"/>
      <c r="I29" s="56" t="n"/>
      <c r="J29" s="56" t="n"/>
      <c r="K29" s="56">
        <f>'Monthly Electricity (Overview)'!L107</f>
        <v/>
      </c>
      <c r="L29" s="14" t="n">
        <v>72708</v>
      </c>
      <c r="M29" s="56">
        <f>SUM('Monthly Electricity (Overview)'!U107:X107)+'Monthly Electricity (Overview)'!AD107</f>
        <v/>
      </c>
      <c r="N29" s="56">
        <f>'Monthly Electricity (Overview)'!AA107</f>
        <v/>
      </c>
      <c r="O29" s="56">
        <f>'Monthly Electricity (Overview)'!Z107</f>
        <v/>
      </c>
      <c r="P29" s="56">
        <f>'Monthly Electricity (Overview)'!Y107</f>
        <v/>
      </c>
      <c r="Q29" s="56">
        <f>SUM(B29:P29)-P29</f>
        <v/>
      </c>
      <c r="R29" s="56">
        <f>SUM(B29:O29)-L29</f>
        <v/>
      </c>
    </row>
    <row r="30" ht="16" customHeight="1">
      <c r="A30" s="553" t="n">
        <v>44866</v>
      </c>
      <c r="B30" s="56">
        <f>SUM('Monthly Electricity (Overview)'!C108:D108)+SUM('Monthly Electricity (Overview)'!F108:H108)+SUM('Monthly Electricity (Overview)'!O108:Q108)</f>
        <v/>
      </c>
      <c r="C30" s="56">
        <f>'Monthly Electricity (Overview)'!I108</f>
        <v/>
      </c>
      <c r="D30" s="56">
        <f>'Monthly Electricity (Overview)'!N108</f>
        <v/>
      </c>
      <c r="E30" s="56">
        <f>'Monthly Electricity (Overview)'!E108</f>
        <v/>
      </c>
      <c r="F30" s="56">
        <f>'Monthly Electricity (Overview)'!J108</f>
        <v/>
      </c>
      <c r="G30" s="56">
        <f>'Monthly Electricity (Overview)'!K108</f>
        <v/>
      </c>
      <c r="H30" s="56" t="n"/>
      <c r="I30" s="56" t="n"/>
      <c r="J30" s="56" t="n"/>
      <c r="K30" s="56">
        <f>'Monthly Electricity (Overview)'!L108</f>
        <v/>
      </c>
      <c r="L30" s="14" t="n">
        <v>65370</v>
      </c>
      <c r="M30" s="56">
        <f>SUM('Monthly Electricity (Overview)'!U108:X108)+'Monthly Electricity (Overview)'!AD108</f>
        <v/>
      </c>
      <c r="N30" s="56">
        <f>'Monthly Electricity (Overview)'!AA108</f>
        <v/>
      </c>
      <c r="O30" s="56">
        <f>'Monthly Electricity (Overview)'!Z108</f>
        <v/>
      </c>
      <c r="P30" s="56">
        <f>'Monthly Electricity (Overview)'!Y108</f>
        <v/>
      </c>
      <c r="Q30" s="56">
        <f>SUM(B30:P30)-P30</f>
        <v/>
      </c>
      <c r="R30" s="56">
        <f>SUM(B30:O30)-L30</f>
        <v/>
      </c>
    </row>
    <row r="31" ht="16" customHeight="1">
      <c r="A31" s="553" t="n">
        <v>44896</v>
      </c>
      <c r="B31" s="56">
        <f>SUM('Monthly Electricity (Overview)'!C109:D109)+SUM('Monthly Electricity (Overview)'!F109:H109)+SUM('Monthly Electricity (Overview)'!O109:Q109)</f>
        <v/>
      </c>
      <c r="C31" s="56">
        <f>'Monthly Electricity (Overview)'!I109</f>
        <v/>
      </c>
      <c r="D31" s="56">
        <f>'Monthly Electricity (Overview)'!N109</f>
        <v/>
      </c>
      <c r="E31" s="56">
        <f>'Monthly Electricity (Overview)'!E109</f>
        <v/>
      </c>
      <c r="F31" s="56">
        <f>'Monthly Electricity (Overview)'!J109</f>
        <v/>
      </c>
      <c r="G31" s="56">
        <f>'Monthly Electricity (Overview)'!K109</f>
        <v/>
      </c>
      <c r="H31" s="56" t="n"/>
      <c r="I31" s="56" t="n"/>
      <c r="J31" s="56" t="n"/>
      <c r="K31" s="56">
        <f>'Monthly Electricity (Overview)'!L109</f>
        <v/>
      </c>
      <c r="L31" s="14" t="n">
        <v>55028</v>
      </c>
      <c r="M31" s="56">
        <f>SUM('Monthly Electricity (Overview)'!U109:X109)+'Monthly Electricity (Overview)'!AD109</f>
        <v/>
      </c>
      <c r="N31" s="56">
        <f>'Monthly Electricity (Overview)'!AA109</f>
        <v/>
      </c>
      <c r="O31" s="56">
        <f>'Monthly Electricity (Overview)'!Z109</f>
        <v/>
      </c>
      <c r="P31" s="56">
        <f>'Monthly Electricity (Overview)'!Y109</f>
        <v/>
      </c>
      <c r="Q31" s="56">
        <f>SUM(B31:P31)-P31</f>
        <v/>
      </c>
      <c r="R31" s="56">
        <f>SUM(B31:O31)-L31</f>
        <v/>
      </c>
    </row>
    <row r="32" ht="16" customHeight="1">
      <c r="A32" s="554" t="n">
        <v>44927</v>
      </c>
      <c r="B32" s="56">
        <f>SUM('Monthly Electricity (Overview)'!C110:D110)+SUM('Monthly Electricity (Overview)'!F110:H110)+SUM('Monthly Electricity (Overview)'!O110:Q110)</f>
        <v/>
      </c>
      <c r="C32" s="56">
        <f>'Monthly Electricity (Overview)'!I110</f>
        <v/>
      </c>
      <c r="D32" s="56">
        <f>'Monthly Electricity (Overview)'!N110</f>
        <v/>
      </c>
      <c r="E32" s="56">
        <f>'Monthly Electricity (Overview)'!E110</f>
        <v/>
      </c>
      <c r="F32" s="56">
        <f>'Monthly Electricity (Overview)'!J110</f>
        <v/>
      </c>
      <c r="G32" s="56">
        <f>'Monthly Electricity (Overview)'!K110</f>
        <v/>
      </c>
      <c r="H32" s="56" t="n"/>
      <c r="I32" s="56" t="n"/>
      <c r="J32" s="56" t="n"/>
      <c r="K32" s="56">
        <f>'Monthly Electricity (Overview)'!L110</f>
        <v/>
      </c>
      <c r="L32" s="14" t="n">
        <v>57143</v>
      </c>
      <c r="M32" s="56">
        <f>SUM('Monthly Electricity (Overview)'!U110:X110)+'Monthly Electricity (Overview)'!AD110</f>
        <v/>
      </c>
      <c r="N32" s="56">
        <f>'Monthly Electricity (Overview)'!AA110</f>
        <v/>
      </c>
      <c r="O32" s="56">
        <f>'Monthly Electricity (Overview)'!Z110</f>
        <v/>
      </c>
      <c r="P32" s="56">
        <f>'Monthly Electricity (Overview)'!Y110</f>
        <v/>
      </c>
      <c r="Q32" s="56">
        <f>SUM(B32:P32)-P32</f>
        <v/>
      </c>
      <c r="R32" s="56">
        <f>SUM(B32:O32)-L32</f>
        <v/>
      </c>
    </row>
    <row r="33" ht="16" customHeight="1">
      <c r="A33" s="555" t="n">
        <v>44958</v>
      </c>
      <c r="B33" s="56">
        <f>SUM('Monthly Electricity (Overview)'!C111:D111)+SUM('Monthly Electricity (Overview)'!F111:H111)+SUM('Monthly Electricity (Overview)'!O111:Q111)</f>
        <v/>
      </c>
      <c r="C33" s="56">
        <f>'Monthly Electricity (Overview)'!I111</f>
        <v/>
      </c>
      <c r="D33" s="56">
        <f>'Monthly Electricity (Overview)'!N111</f>
        <v/>
      </c>
      <c r="E33" s="56">
        <f>'Monthly Electricity (Overview)'!E111</f>
        <v/>
      </c>
      <c r="F33" s="56">
        <f>'Monthly Electricity (Overview)'!J111</f>
        <v/>
      </c>
      <c r="G33" s="56">
        <f>'Monthly Electricity (Overview)'!K111</f>
        <v/>
      </c>
      <c r="H33" s="56" t="n"/>
      <c r="I33" s="56" t="n"/>
      <c r="J33" s="56" t="n"/>
      <c r="K33" s="56">
        <f>'Monthly Electricity (Overview)'!L111</f>
        <v/>
      </c>
      <c r="L33" s="14" t="n">
        <v>46017</v>
      </c>
      <c r="M33" s="56">
        <f>SUM('Monthly Electricity (Overview)'!U111:X111)+'Monthly Electricity (Overview)'!AD111</f>
        <v/>
      </c>
      <c r="N33" s="56">
        <f>'Monthly Electricity (Overview)'!AA111</f>
        <v/>
      </c>
      <c r="O33" s="56">
        <f>'Monthly Electricity (Overview)'!Z111</f>
        <v/>
      </c>
      <c r="P33" s="56">
        <f>'Monthly Electricity (Overview)'!Y111</f>
        <v/>
      </c>
      <c r="Q33" s="56">
        <f>SUM(B33:P33)-P33</f>
        <v/>
      </c>
      <c r="R33" s="56">
        <f>SUM(B33:O33)-L33</f>
        <v/>
      </c>
    </row>
    <row r="34" ht="16" customHeight="1">
      <c r="A34" s="555" t="n">
        <v>44986</v>
      </c>
      <c r="B34" s="56">
        <f>SUM('Monthly Electricity (Overview)'!C112:D112)+SUM('Monthly Electricity (Overview)'!F112:H112)+SUM('Monthly Electricity (Overview)'!O112:Q112)</f>
        <v/>
      </c>
      <c r="C34" s="56">
        <f>'Monthly Electricity (Overview)'!I112</f>
        <v/>
      </c>
      <c r="D34" s="56">
        <f>'Monthly Electricity (Overview)'!N112</f>
        <v/>
      </c>
      <c r="E34" s="56">
        <f>'Monthly Electricity (Overview)'!E112</f>
        <v/>
      </c>
      <c r="F34" s="56">
        <f>'Monthly Electricity (Overview)'!J112</f>
        <v/>
      </c>
      <c r="G34" s="56">
        <f>'Monthly Electricity (Overview)'!K112</f>
        <v/>
      </c>
      <c r="H34" s="56" t="n"/>
      <c r="I34" s="56" t="n"/>
      <c r="J34" s="56" t="n"/>
      <c r="K34" s="56">
        <f>'Monthly Electricity (Overview)'!L112</f>
        <v/>
      </c>
      <c r="L34" s="14" t="n">
        <v>52879</v>
      </c>
      <c r="M34" s="56">
        <f>SUM('Monthly Electricity (Overview)'!U112:X112)+'Monthly Electricity (Overview)'!AD112</f>
        <v/>
      </c>
      <c r="N34" s="56">
        <f>'Monthly Electricity (Overview)'!AA112</f>
        <v/>
      </c>
      <c r="O34" s="56">
        <f>'Monthly Electricity (Overview)'!Z112</f>
        <v/>
      </c>
      <c r="P34" s="56">
        <f>'Monthly Electricity (Overview)'!Y112</f>
        <v/>
      </c>
      <c r="Q34" s="56">
        <f>SUM(B34:P34)-P34</f>
        <v/>
      </c>
      <c r="R34" s="56">
        <f>SUM(B34:O34)-L34</f>
        <v/>
      </c>
    </row>
    <row r="35" ht="16" customHeight="1">
      <c r="A35" s="555" t="n">
        <v>45017</v>
      </c>
      <c r="B35" s="56">
        <f>SUM('Monthly Electricity (Overview)'!C113:D113)+SUM('Monthly Electricity (Overview)'!F113:H113)+SUM('Monthly Electricity (Overview)'!O113:Q113)</f>
        <v/>
      </c>
      <c r="C35" s="56">
        <f>'Monthly Electricity (Overview)'!I113</f>
        <v/>
      </c>
      <c r="D35" s="56">
        <f>'Monthly Electricity (Overview)'!N113</f>
        <v/>
      </c>
      <c r="E35" s="56">
        <f>'Monthly Electricity (Overview)'!E113</f>
        <v/>
      </c>
      <c r="F35" s="56">
        <f>'Monthly Electricity (Overview)'!J113</f>
        <v/>
      </c>
      <c r="G35" s="56">
        <f>'Monthly Electricity (Overview)'!K113</f>
        <v/>
      </c>
      <c r="H35" s="56" t="n"/>
      <c r="I35" s="56" t="n"/>
      <c r="J35" s="56" t="n"/>
      <c r="K35" s="56">
        <f>'Monthly Electricity (Overview)'!L113</f>
        <v/>
      </c>
      <c r="L35" s="14" t="n">
        <v>77768</v>
      </c>
      <c r="M35" s="56">
        <f>SUM('Monthly Electricity (Overview)'!U113:X113)+'Monthly Electricity (Overview)'!AD113</f>
        <v/>
      </c>
      <c r="N35" s="56">
        <f>'Monthly Electricity (Overview)'!AA113</f>
        <v/>
      </c>
      <c r="O35" s="56">
        <f>'Monthly Electricity (Overview)'!Z113</f>
        <v/>
      </c>
      <c r="P35" s="56">
        <f>'Monthly Electricity (Overview)'!Y113</f>
        <v/>
      </c>
      <c r="Q35" s="56">
        <f>SUM(B35:P35)-P35</f>
        <v/>
      </c>
      <c r="R35" s="56">
        <f>SUM(B35:O35)-L35</f>
        <v/>
      </c>
    </row>
    <row r="36" ht="16" customHeight="1">
      <c r="A36" s="555" t="n">
        <v>45047</v>
      </c>
      <c r="B36" s="56">
        <f>SUM('Monthly Electricity (Overview)'!C114:D114)+SUM('Monthly Electricity (Overview)'!F114:H114)+SUM('Monthly Electricity (Overview)'!O114:Q114)</f>
        <v/>
      </c>
      <c r="C36" s="56">
        <f>'Monthly Electricity (Overview)'!I114</f>
        <v/>
      </c>
      <c r="D36" s="56">
        <f>'Monthly Electricity (Overview)'!N114</f>
        <v/>
      </c>
      <c r="E36" s="56">
        <f>'Monthly Electricity (Overview)'!E114</f>
        <v/>
      </c>
      <c r="F36" s="56">
        <f>'Monthly Electricity (Overview)'!J114</f>
        <v/>
      </c>
      <c r="G36" s="56">
        <f>'Monthly Electricity (Overview)'!K114</f>
        <v/>
      </c>
      <c r="H36" s="56" t="n"/>
      <c r="I36" s="56" t="n"/>
      <c r="J36" s="56" t="n"/>
      <c r="K36" s="56">
        <f>'Monthly Electricity (Overview)'!L114</f>
        <v/>
      </c>
      <c r="L36" s="14" t="n">
        <v>50981</v>
      </c>
      <c r="M36" s="56">
        <f>SUM('Monthly Electricity (Overview)'!U114:X114)+'Monthly Electricity (Overview)'!AD114</f>
        <v/>
      </c>
      <c r="N36" s="56">
        <f>'Monthly Electricity (Overview)'!AA114</f>
        <v/>
      </c>
      <c r="O36" s="56">
        <f>'Monthly Electricity (Overview)'!Z114</f>
        <v/>
      </c>
      <c r="P36" s="56">
        <f>'Monthly Electricity (Overview)'!Y114</f>
        <v/>
      </c>
      <c r="Q36" s="56">
        <f>SUM(B36:P36)-P36</f>
        <v/>
      </c>
      <c r="R36" s="56">
        <f>SUM(B36:O36)-L36</f>
        <v/>
      </c>
    </row>
    <row r="37" ht="16" customHeight="1">
      <c r="A37" s="555" t="n">
        <v>45078</v>
      </c>
      <c r="B37" s="315">
        <f>SUM('Monthly Electricity (Overview)'!C115:D115)+SUM('Monthly Electricity (Overview)'!F115:H115)+SUM('Monthly Electricity (Overview)'!O115:Q115)</f>
        <v/>
      </c>
      <c r="C37" s="315">
        <f>'Monthly Electricity (Overview)'!I115</f>
        <v/>
      </c>
      <c r="D37" s="315">
        <f>'Monthly Electricity (Overview)'!N115</f>
        <v/>
      </c>
      <c r="E37" s="315">
        <f>'Monthly Electricity (Overview)'!E115</f>
        <v/>
      </c>
      <c r="F37" s="315">
        <f>'Monthly Electricity (Overview)'!J115</f>
        <v/>
      </c>
      <c r="G37" s="315">
        <f>'Monthly Electricity (Overview)'!K115</f>
        <v/>
      </c>
      <c r="H37" s="315" t="n"/>
      <c r="I37" s="315" t="n"/>
      <c r="J37" s="315" t="n"/>
      <c r="K37" s="315">
        <f>'Monthly Electricity (Overview)'!L115</f>
        <v/>
      </c>
      <c r="L37" s="316" t="n">
        <v>99770</v>
      </c>
      <c r="M37" s="315">
        <f>SUM('Monthly Electricity (Overview)'!U115:X115)+'Monthly Electricity (Overview)'!AD115</f>
        <v/>
      </c>
      <c r="N37" s="315">
        <f>'Monthly Electricity (Overview)'!AA115</f>
        <v/>
      </c>
      <c r="O37" s="315">
        <f>'Monthly Electricity (Overview)'!Z115</f>
        <v/>
      </c>
      <c r="P37" s="315">
        <f>'Monthly Electricity (Overview)'!Y115</f>
        <v/>
      </c>
      <c r="Q37" s="315">
        <f>SUM(B37:P37)-P37</f>
        <v/>
      </c>
      <c r="R37" s="315">
        <f>SUM(B37:O37)-L37</f>
        <v/>
      </c>
    </row>
    <row r="38" ht="16" customHeight="1">
      <c r="A38" s="555" t="n">
        <v>45108</v>
      </c>
      <c r="B38" s="56">
        <f>SUM('Monthly Electricity (Overview)'!C116:D116)+SUM('Monthly Electricity (Overview)'!F116:H116)+SUM('Monthly Electricity (Overview)'!O116:Q116)</f>
        <v/>
      </c>
      <c r="C38" s="56">
        <f>'Monthly Electricity (Overview)'!I116</f>
        <v/>
      </c>
      <c r="D38" s="56">
        <f>'Monthly Electricity (Overview)'!N116</f>
        <v/>
      </c>
      <c r="E38" s="56">
        <f>'Monthly Electricity (Overview)'!E116</f>
        <v/>
      </c>
      <c r="F38" s="56">
        <f>'Monthly Electricity (Overview)'!J116</f>
        <v/>
      </c>
      <c r="G38" s="56">
        <f>'Monthly Electricity (Overview)'!K116</f>
        <v/>
      </c>
      <c r="H38" s="56" t="n"/>
      <c r="I38" s="56" t="n"/>
      <c r="J38" s="56" t="n"/>
      <c r="K38" s="56">
        <f>'Monthly Electricity (Overview)'!L116</f>
        <v/>
      </c>
      <c r="L38" s="14" t="n">
        <v>99933</v>
      </c>
      <c r="M38" s="56">
        <f>SUM('Monthly Electricity (Overview)'!U116:X116)+'Monthly Electricity (Overview)'!AD116</f>
        <v/>
      </c>
      <c r="N38" s="56">
        <f>'Monthly Electricity (Overview)'!AA116</f>
        <v/>
      </c>
      <c r="O38" s="56">
        <f>'Monthly Electricity (Overview)'!Z116</f>
        <v/>
      </c>
      <c r="P38" s="56">
        <f>'Monthly Electricity (Overview)'!Y116</f>
        <v/>
      </c>
      <c r="Q38" s="56">
        <f>SUM(B38:P38)-P38</f>
        <v/>
      </c>
      <c r="R38" s="56">
        <f>SUM(B38:O38)-L38</f>
        <v/>
      </c>
    </row>
    <row r="39" ht="16" customHeight="1">
      <c r="A39" s="555" t="n">
        <v>45139</v>
      </c>
      <c r="B39" s="56">
        <f>SUM('Monthly Electricity (Overview)'!C117:D117)+SUM('Monthly Electricity (Overview)'!F117:H117)+SUM('Monthly Electricity (Overview)'!O117:Q117)</f>
        <v/>
      </c>
      <c r="C39" s="56">
        <f>'Monthly Electricity (Overview)'!I117</f>
        <v/>
      </c>
      <c r="D39" s="56">
        <f>'Monthly Electricity (Overview)'!N117</f>
        <v/>
      </c>
      <c r="E39" s="56">
        <f>'Monthly Electricity (Overview)'!E117</f>
        <v/>
      </c>
      <c r="F39" s="56">
        <f>'Monthly Electricity (Overview)'!J117</f>
        <v/>
      </c>
      <c r="G39" s="56">
        <f>'Monthly Electricity (Overview)'!K117</f>
        <v/>
      </c>
      <c r="H39" s="56" t="n"/>
      <c r="I39" s="56" t="n"/>
      <c r="J39" s="56" t="n"/>
      <c r="K39" s="56">
        <f>'Monthly Electricity (Overview)'!L117</f>
        <v/>
      </c>
      <c r="L39" s="14" t="n">
        <v>112757</v>
      </c>
      <c r="M39" s="56">
        <f>SUM('Monthly Electricity (Overview)'!U117:X117)+'Monthly Electricity (Overview)'!AD117</f>
        <v/>
      </c>
      <c r="N39" s="56">
        <f>'Monthly Electricity (Overview)'!AA117</f>
        <v/>
      </c>
      <c r="O39" s="56">
        <f>'Monthly Electricity (Overview)'!Z117</f>
        <v/>
      </c>
      <c r="P39" s="56">
        <f>'Monthly Electricity (Overview)'!Y117</f>
        <v/>
      </c>
      <c r="Q39" s="56">
        <f>SUM(B39:P39)-P39</f>
        <v/>
      </c>
      <c r="R39" s="56">
        <f>SUM(B39:O39)-L39</f>
        <v/>
      </c>
    </row>
    <row r="40" ht="16" customHeight="1">
      <c r="A40" s="555" t="n">
        <v>45170</v>
      </c>
      <c r="B40" s="56">
        <f>SUM('Monthly Electricity (Overview)'!C118:D118)+SUM('Monthly Electricity (Overview)'!F118:H118)+SUM('Monthly Electricity (Overview)'!O118:Q118)</f>
        <v/>
      </c>
      <c r="C40" s="56">
        <f>'Monthly Electricity (Overview)'!I118</f>
        <v/>
      </c>
      <c r="D40" s="56">
        <f>'Monthly Electricity (Overview)'!N118</f>
        <v/>
      </c>
      <c r="E40" s="56">
        <f>'Monthly Electricity (Overview)'!E118</f>
        <v/>
      </c>
      <c r="F40" s="56">
        <f>'Monthly Electricity (Overview)'!J118</f>
        <v/>
      </c>
      <c r="G40" s="56">
        <f>'Monthly Electricity (Overview)'!K118</f>
        <v/>
      </c>
      <c r="H40" s="56" t="n"/>
      <c r="I40" s="56" t="n"/>
      <c r="J40" s="56" t="n"/>
      <c r="K40" s="56">
        <f>'Monthly Electricity (Overview)'!L118</f>
        <v/>
      </c>
      <c r="L40" s="14" t="n">
        <v>98239</v>
      </c>
      <c r="M40" s="56">
        <f>SUM('Monthly Electricity (Overview)'!U118:X118)+'Monthly Electricity (Overview)'!AD118</f>
        <v/>
      </c>
      <c r="N40" s="56">
        <f>'Monthly Electricity (Overview)'!AA118</f>
        <v/>
      </c>
      <c r="O40" s="56">
        <f>'Monthly Electricity (Overview)'!Z118</f>
        <v/>
      </c>
      <c r="P40" s="56">
        <f>'Monthly Electricity (Overview)'!Y118</f>
        <v/>
      </c>
      <c r="Q40" s="56">
        <f>SUM(B40:P40)-P40</f>
        <v/>
      </c>
      <c r="R40" s="56">
        <f>SUM(B40:O40)-L40</f>
        <v/>
      </c>
    </row>
    <row r="41" ht="16" customHeight="1">
      <c r="A41" s="555" t="n">
        <v>45200</v>
      </c>
      <c r="B41" s="56">
        <f>SUM('Monthly Electricity (Overview)'!C119:D119)+SUM('Monthly Electricity (Overview)'!F119:H119)+SUM('Monthly Electricity (Overview)'!O119:Q119)</f>
        <v/>
      </c>
      <c r="C41" s="56">
        <f>'Monthly Electricity (Overview)'!I119</f>
        <v/>
      </c>
      <c r="D41" s="56">
        <f>'Monthly Electricity (Overview)'!N119</f>
        <v/>
      </c>
      <c r="E41" s="56">
        <f>'Monthly Electricity (Overview)'!E119</f>
        <v/>
      </c>
      <c r="F41" s="56">
        <f>'Monthly Electricity (Overview)'!J119</f>
        <v/>
      </c>
      <c r="G41" s="56">
        <f>'Monthly Electricity (Overview)'!K119</f>
        <v/>
      </c>
      <c r="H41" s="56" t="n"/>
      <c r="I41" s="56" t="n"/>
      <c r="J41" s="56" t="n"/>
      <c r="K41" s="56">
        <f>'Monthly Electricity (Overview)'!L119</f>
        <v/>
      </c>
      <c r="L41" s="14" t="n">
        <v>88064</v>
      </c>
      <c r="M41" s="56">
        <f>SUM('Monthly Electricity (Overview)'!U119:X119)+'Monthly Electricity (Overview)'!AD119</f>
        <v/>
      </c>
      <c r="N41" s="56">
        <f>'Monthly Electricity (Overview)'!AA119</f>
        <v/>
      </c>
      <c r="O41" s="56">
        <f>'Monthly Electricity (Overview)'!Z119</f>
        <v/>
      </c>
      <c r="P41" s="56">
        <f>'Monthly Electricity (Overview)'!Y119</f>
        <v/>
      </c>
      <c r="Q41" s="56">
        <f>SUM(B41:P41)-P41</f>
        <v/>
      </c>
      <c r="R41" s="56">
        <f>SUM(B41:O41)-L41</f>
        <v/>
      </c>
    </row>
    <row r="42" ht="16" customHeight="1">
      <c r="A42" s="555" t="n">
        <v>45231</v>
      </c>
      <c r="B42" s="56">
        <f>SUM('Monthly Electricity (Overview)'!C120:D120)+SUM('Monthly Electricity (Overview)'!F120:H120)+SUM('Monthly Electricity (Overview)'!O120:Q120)</f>
        <v/>
      </c>
      <c r="C42" s="56">
        <f>'Monthly Electricity (Overview)'!I120</f>
        <v/>
      </c>
      <c r="D42" s="56">
        <f>'Monthly Electricity (Overview)'!N120</f>
        <v/>
      </c>
      <c r="E42" s="56">
        <f>'Monthly Electricity (Overview)'!E120</f>
        <v/>
      </c>
      <c r="F42" s="56">
        <f>'Monthly Electricity (Overview)'!J120</f>
        <v/>
      </c>
      <c r="G42" s="56">
        <f>'Monthly Electricity (Overview)'!K120</f>
        <v/>
      </c>
      <c r="H42" s="56" t="n"/>
      <c r="I42" s="56" t="n"/>
      <c r="J42" s="56" t="n"/>
      <c r="K42" s="56">
        <f>'Monthly Electricity (Overview)'!L120</f>
        <v/>
      </c>
      <c r="L42" s="14" t="n">
        <v>64642</v>
      </c>
      <c r="M42" s="56">
        <f>SUM('Monthly Electricity (Overview)'!U120:X120)+'Monthly Electricity (Overview)'!AD120</f>
        <v/>
      </c>
      <c r="N42" s="56">
        <f>'Monthly Electricity (Overview)'!AA120</f>
        <v/>
      </c>
      <c r="O42" s="56">
        <f>'Monthly Electricity (Overview)'!Z120</f>
        <v/>
      </c>
      <c r="P42" s="56">
        <f>'Monthly Electricity (Overview)'!Y120</f>
        <v/>
      </c>
      <c r="Q42" s="56">
        <f>SUM(B42:P42)-P42</f>
        <v/>
      </c>
      <c r="R42" s="56">
        <f>SUM(B42:O42)-L42</f>
        <v/>
      </c>
    </row>
    <row r="43" ht="16" customHeight="1">
      <c r="A43" s="555" t="n">
        <v>45261</v>
      </c>
      <c r="B43" s="56">
        <f>SUM('Monthly Electricity (Overview)'!C121:D121)+SUM('Monthly Electricity (Overview)'!F121:H121)+SUM('Monthly Electricity (Overview)'!O121:Q121)</f>
        <v/>
      </c>
      <c r="C43" s="56">
        <f>'Monthly Electricity (Overview)'!I121</f>
        <v/>
      </c>
      <c r="D43" s="56">
        <f>'Monthly Electricity (Overview)'!N121</f>
        <v/>
      </c>
      <c r="E43" s="56">
        <f>'Monthly Electricity (Overview)'!E121</f>
        <v/>
      </c>
      <c r="F43" s="56">
        <f>'Monthly Electricity (Overview)'!J121</f>
        <v/>
      </c>
      <c r="G43" s="56">
        <f>'Monthly Electricity (Overview)'!K121</f>
        <v/>
      </c>
      <c r="H43" s="56" t="n"/>
      <c r="I43" s="56" t="n"/>
      <c r="J43" s="56" t="n"/>
      <c r="K43" s="56">
        <f>'Monthly Electricity (Overview)'!L121</f>
        <v/>
      </c>
      <c r="L43" s="14" t="n">
        <v>58824</v>
      </c>
      <c r="M43" s="56">
        <f>SUM('Monthly Electricity (Overview)'!U121:X121)+'Monthly Electricity (Overview)'!AD121</f>
        <v/>
      </c>
      <c r="N43" s="56">
        <f>'Monthly Electricity (Overview)'!AA121</f>
        <v/>
      </c>
      <c r="O43" s="56">
        <f>'Monthly Electricity (Overview)'!Z121</f>
        <v/>
      </c>
      <c r="P43" s="56">
        <f>'Monthly Electricity (Overview)'!Y121</f>
        <v/>
      </c>
      <c r="Q43" s="56">
        <f>SUM(B43:P43)-P43</f>
        <v/>
      </c>
      <c r="R43" s="56">
        <f>SUM(B43:O43)-L43</f>
        <v/>
      </c>
    </row>
    <row r="44" ht="16" customHeight="1">
      <c r="A44" s="556" t="n">
        <v>45292</v>
      </c>
      <c r="B44" s="56">
        <f>SUM('Monthly Electricity (Overview)'!C122:D122)+SUM('Monthly Electricity (Overview)'!F122:H122)+SUM('Monthly Electricity (Overview)'!O122:Q122)</f>
        <v/>
      </c>
      <c r="C44" s="56">
        <f>'Monthly Electricity (Overview)'!I122</f>
        <v/>
      </c>
      <c r="D44" s="56">
        <f>'Monthly Electricity (Overview)'!N122</f>
        <v/>
      </c>
      <c r="E44" s="56">
        <f>'Monthly Electricity (Overview)'!E122</f>
        <v/>
      </c>
      <c r="F44" s="56">
        <f>'Monthly Electricity (Overview)'!J122</f>
        <v/>
      </c>
      <c r="G44" s="56">
        <f>'Monthly Electricity (Overview)'!K122</f>
        <v/>
      </c>
      <c r="H44" s="56" t="n"/>
      <c r="I44" s="56" t="n"/>
      <c r="J44" s="56" t="n"/>
      <c r="K44" s="56">
        <f>'Monthly Electricity (Overview)'!L122</f>
        <v/>
      </c>
      <c r="L44" s="14" t="n">
        <v>50823</v>
      </c>
      <c r="M44" s="56">
        <f>SUM('Monthly Electricity (Overview)'!U122:X122)+'Monthly Electricity (Overview)'!AD122</f>
        <v/>
      </c>
      <c r="N44" s="56">
        <f>'Monthly Electricity (Overview)'!AA122</f>
        <v/>
      </c>
      <c r="O44" s="56">
        <f>'Monthly Electricity (Overview)'!Z122</f>
        <v/>
      </c>
      <c r="P44" s="56">
        <f>'Monthly Electricity (Overview)'!Y122</f>
        <v/>
      </c>
      <c r="Q44" s="56">
        <f>SUM(B44:P44)-P44</f>
        <v/>
      </c>
      <c r="R44" s="56">
        <f>SUM(B44:O44)-L44</f>
        <v/>
      </c>
    </row>
    <row r="45" ht="16" customHeight="1">
      <c r="A45" s="557" t="n">
        <v>45323</v>
      </c>
      <c r="B45" s="56">
        <f>SUM('Monthly Electricity (Overview)'!C123:D123)+SUM('Monthly Electricity (Overview)'!F123:H123)+SUM('Monthly Electricity (Overview)'!O123:Q123)</f>
        <v/>
      </c>
      <c r="C45" s="56">
        <f>'Monthly Electricity (Overview)'!I123</f>
        <v/>
      </c>
      <c r="D45" s="56">
        <f>'Monthly Electricity (Overview)'!N123</f>
        <v/>
      </c>
      <c r="E45" s="56">
        <f>'Monthly Electricity (Overview)'!E123</f>
        <v/>
      </c>
      <c r="F45" s="56">
        <f>'Monthly Electricity (Overview)'!J123</f>
        <v/>
      </c>
      <c r="G45" s="56">
        <f>'Monthly Electricity (Overview)'!K123</f>
        <v/>
      </c>
      <c r="H45" s="56" t="n"/>
      <c r="I45" s="56">
        <f>'Monthly Electricity (Overview)'!S123</f>
        <v/>
      </c>
      <c r="J45" s="56" t="n"/>
      <c r="K45" s="56">
        <f>'Monthly Electricity (Overview)'!L123</f>
        <v/>
      </c>
      <c r="L45" s="14" t="n">
        <v>54165</v>
      </c>
      <c r="M45" s="56">
        <f>SUM('Monthly Electricity (Overview)'!U123:X123)+'Monthly Electricity (Overview)'!AD123</f>
        <v/>
      </c>
      <c r="N45" s="56">
        <f>'Monthly Electricity (Overview)'!AA123</f>
        <v/>
      </c>
      <c r="O45" s="56">
        <f>'Monthly Electricity (Overview)'!Z123</f>
        <v/>
      </c>
      <c r="P45" s="56">
        <f>'Monthly Electricity (Overview)'!Y123</f>
        <v/>
      </c>
      <c r="Q45" s="56">
        <f>SUM(B45:P45)-P45</f>
        <v/>
      </c>
      <c r="R45" s="56">
        <f>SUM(B45:O45)-L45</f>
        <v/>
      </c>
    </row>
    <row r="46" ht="16" customHeight="1">
      <c r="A46" s="557" t="n">
        <v>45352</v>
      </c>
      <c r="B46" s="56">
        <f>SUM('Monthly Electricity (Overview)'!C124:D124)+SUM('Monthly Electricity (Overview)'!F124:H124)+SUM('Monthly Electricity (Overview)'!O124:Q124)</f>
        <v/>
      </c>
      <c r="C46" s="56">
        <f>'Monthly Electricity (Overview)'!I124</f>
        <v/>
      </c>
      <c r="D46" s="56">
        <f>'Monthly Electricity (Overview)'!N124</f>
        <v/>
      </c>
      <c r="E46" s="56">
        <f>'Monthly Electricity (Overview)'!E124</f>
        <v/>
      </c>
      <c r="F46" s="56">
        <f>'Monthly Electricity (Overview)'!J124</f>
        <v/>
      </c>
      <c r="G46" s="56">
        <f>'Monthly Electricity (Overview)'!K124</f>
        <v/>
      </c>
      <c r="H46" s="56" t="n"/>
      <c r="I46" s="56">
        <f>'Monthly Electricity (Overview)'!S124</f>
        <v/>
      </c>
      <c r="J46" s="56" t="n"/>
      <c r="K46" s="56">
        <f>'Monthly Electricity (Overview)'!L124</f>
        <v/>
      </c>
      <c r="L46" s="14" t="n">
        <v>46664</v>
      </c>
      <c r="M46" s="56">
        <f>SUM('Monthly Electricity (Overview)'!U124:X124)+'Monthly Electricity (Overview)'!AD124</f>
        <v/>
      </c>
      <c r="N46" s="56">
        <f>'Monthly Electricity (Overview)'!AA124</f>
        <v/>
      </c>
      <c r="O46" s="56">
        <f>'Monthly Electricity (Overview)'!Z124</f>
        <v/>
      </c>
      <c r="P46" s="56">
        <f>'Monthly Electricity (Overview)'!Y124</f>
        <v/>
      </c>
      <c r="Q46" s="56">
        <f>SUM(B46:P46)-P46</f>
        <v/>
      </c>
      <c r="R46" s="56">
        <f>SUM(B46:O46)-L46</f>
        <v/>
      </c>
    </row>
    <row r="47" ht="16" customHeight="1">
      <c r="A47" s="557" t="n">
        <v>45383</v>
      </c>
      <c r="B47" s="56">
        <f>SUM('Monthly Electricity (Overview)'!C125:D125)+SUM('Monthly Electricity (Overview)'!F125:H125)+SUM('Monthly Electricity (Overview)'!O125:Q125)</f>
        <v/>
      </c>
      <c r="C47" s="56">
        <f>'Monthly Electricity (Overview)'!I125</f>
        <v/>
      </c>
      <c r="D47" s="56">
        <f>'Monthly Electricity (Overview)'!N125</f>
        <v/>
      </c>
      <c r="E47" s="56">
        <f>'Monthly Electricity (Overview)'!E125</f>
        <v/>
      </c>
      <c r="F47" s="56">
        <f>'Monthly Electricity (Overview)'!J125</f>
        <v/>
      </c>
      <c r="G47" s="56">
        <f>'Monthly Electricity (Overview)'!K125</f>
        <v/>
      </c>
      <c r="H47" s="56" t="n"/>
      <c r="I47" s="56">
        <f>'Monthly Electricity (Overview)'!S125</f>
        <v/>
      </c>
      <c r="J47" s="56" t="n"/>
      <c r="K47" s="56">
        <f>'Monthly Electricity (Overview)'!L125</f>
        <v/>
      </c>
      <c r="L47" s="14" t="n">
        <v>76596</v>
      </c>
      <c r="M47" s="56">
        <f>SUM('Monthly Electricity (Overview)'!U125:X125)+'Monthly Electricity (Overview)'!AD125</f>
        <v/>
      </c>
      <c r="N47" s="56">
        <f>'Monthly Electricity (Overview)'!AA125</f>
        <v/>
      </c>
      <c r="O47" s="56">
        <f>'Monthly Electricity (Overview)'!Z125</f>
        <v/>
      </c>
      <c r="P47" s="56">
        <f>'Monthly Electricity (Overview)'!Y125</f>
        <v/>
      </c>
      <c r="Q47" s="56">
        <f>SUM(B47:P47)-P47</f>
        <v/>
      </c>
      <c r="R47" s="56">
        <f>SUM(B47:O47)-L47</f>
        <v/>
      </c>
    </row>
    <row r="48" ht="16" customHeight="1">
      <c r="A48" s="557" t="n">
        <v>45413</v>
      </c>
      <c r="B48" s="56">
        <f>SUM('Monthly Electricity (Overview)'!C126:D126)+SUM('Monthly Electricity (Overview)'!F126:H126)+SUM('Monthly Electricity (Overview)'!O126:Q126)</f>
        <v/>
      </c>
      <c r="C48" s="56">
        <f>'Monthly Electricity (Overview)'!I126</f>
        <v/>
      </c>
      <c r="D48" s="56">
        <f>'Monthly Electricity (Overview)'!N126</f>
        <v/>
      </c>
      <c r="E48" s="56">
        <f>'Monthly Electricity (Overview)'!E126</f>
        <v/>
      </c>
      <c r="F48" s="56">
        <f>'Monthly Electricity (Overview)'!J126</f>
        <v/>
      </c>
      <c r="G48" s="56">
        <f>'Monthly Electricity (Overview)'!K126</f>
        <v/>
      </c>
      <c r="H48" s="56" t="n"/>
      <c r="I48" s="56">
        <f>'Monthly Electricity (Overview)'!S126</f>
        <v/>
      </c>
      <c r="J48" s="56" t="n"/>
      <c r="K48" s="56">
        <f>'Monthly Electricity (Overview)'!L126</f>
        <v/>
      </c>
      <c r="L48" s="14" t="n">
        <v>69174</v>
      </c>
      <c r="M48" s="56">
        <f>SUM('Monthly Electricity (Overview)'!U126:X126)+'Monthly Electricity (Overview)'!AD126</f>
        <v/>
      </c>
      <c r="N48" s="56">
        <f>'Monthly Electricity (Overview)'!AA126</f>
        <v/>
      </c>
      <c r="O48" s="56">
        <f>'Monthly Electricity (Overview)'!Z126</f>
        <v/>
      </c>
      <c r="P48" s="56">
        <f>'Monthly Electricity (Overview)'!Y126</f>
        <v/>
      </c>
      <c r="Q48" s="56">
        <f>SUM(B48:P48)-P48</f>
        <v/>
      </c>
      <c r="R48" s="56">
        <f>SUM(B48:O48)-L48</f>
        <v/>
      </c>
    </row>
    <row r="49" ht="16" customHeight="1">
      <c r="A49" s="557" t="n">
        <v>45444</v>
      </c>
      <c r="B49" s="315">
        <f>SUM('Monthly Electricity (Overview)'!C127:D127)+SUM('Monthly Electricity (Overview)'!F127:H127)+SUM('Monthly Electricity (Overview)'!O127:Q127)</f>
        <v/>
      </c>
      <c r="C49" s="315">
        <f>'Monthly Electricity (Overview)'!I127</f>
        <v/>
      </c>
      <c r="D49" s="315">
        <f>'Monthly Electricity (Overview)'!N127</f>
        <v/>
      </c>
      <c r="E49" s="315">
        <f>'Monthly Electricity (Overview)'!E127</f>
        <v/>
      </c>
      <c r="F49" s="315">
        <f>'Monthly Electricity (Overview)'!J127</f>
        <v/>
      </c>
      <c r="G49" s="315">
        <f>'Monthly Electricity (Overview)'!K127</f>
        <v/>
      </c>
      <c r="H49" s="315" t="n"/>
      <c r="I49" s="315">
        <f>'Monthly Electricity (Overview)'!S127</f>
        <v/>
      </c>
      <c r="J49" s="315" t="n"/>
      <c r="K49" s="315">
        <f>'Monthly Electricity (Overview)'!L127</f>
        <v/>
      </c>
      <c r="L49" s="316" t="n">
        <v>89300</v>
      </c>
      <c r="M49" s="315">
        <f>SUM('Monthly Electricity (Overview)'!U127:X127)+'Monthly Electricity (Overview)'!AD127</f>
        <v/>
      </c>
      <c r="N49" s="315">
        <f>'Monthly Electricity (Overview)'!AA127</f>
        <v/>
      </c>
      <c r="O49" s="315">
        <f>'Monthly Electricity (Overview)'!Z127</f>
        <v/>
      </c>
      <c r="P49" s="315">
        <f>'Monthly Electricity (Overview)'!Y127</f>
        <v/>
      </c>
      <c r="Q49" s="315">
        <f>SUM(B49:P49)-P49</f>
        <v/>
      </c>
      <c r="R49" s="315">
        <f>SUM(B49:O49)-L49</f>
        <v/>
      </c>
    </row>
    <row r="50" ht="16" customHeight="1">
      <c r="A50" s="558" t="n">
        <v>45474</v>
      </c>
      <c r="B50" s="56">
        <f>SUM('Monthly Electricity (Overview)'!C128:D128)+SUM('Monthly Electricity (Overview)'!F128:H128)+SUM('Monthly Electricity (Overview)'!O128:Q128)</f>
        <v/>
      </c>
      <c r="C50" s="56">
        <f>'Monthly Electricity (Overview)'!I128</f>
        <v/>
      </c>
      <c r="D50" s="56">
        <f>'Monthly Electricity (Overview)'!N128</f>
        <v/>
      </c>
      <c r="E50" s="56">
        <f>'Monthly Electricity (Overview)'!E128</f>
        <v/>
      </c>
      <c r="F50" s="56">
        <f>'Monthly Electricity (Overview)'!J128</f>
        <v/>
      </c>
      <c r="G50" s="56">
        <f>'Monthly Electricity (Overview)'!K128</f>
        <v/>
      </c>
      <c r="H50" s="56" t="n"/>
      <c r="I50" s="56">
        <f>'Monthly Electricity (Overview)'!S128</f>
        <v/>
      </c>
      <c r="J50" s="56">
        <f>'Monthly Electricity (Overview)'!T128</f>
        <v/>
      </c>
      <c r="K50" s="56">
        <f>'Monthly Electricity (Overview)'!L128</f>
        <v/>
      </c>
      <c r="L50" s="56" t="n">
        <v>96675</v>
      </c>
      <c r="M50" s="56">
        <f>SUM('Monthly Electricity (Overview)'!U128:X128)+'Monthly Electricity (Overview)'!AD128</f>
        <v/>
      </c>
      <c r="N50" s="56">
        <f>'Monthly Electricity (Overview)'!AA128</f>
        <v/>
      </c>
      <c r="O50" s="56">
        <f>'Monthly Electricity (Overview)'!Z128</f>
        <v/>
      </c>
      <c r="P50" s="56">
        <f>'Monthly Electricity (Overview)'!Y128</f>
        <v/>
      </c>
      <c r="Q50" s="56">
        <f>SUM(B50:P50)-P50</f>
        <v/>
      </c>
      <c r="R50" s="56">
        <f>SUM(B50:O50)-L50</f>
        <v/>
      </c>
    </row>
    <row r="51" ht="16" customHeight="1">
      <c r="A51" s="558" t="n">
        <v>45505</v>
      </c>
      <c r="B51" s="56">
        <f>SUM('Monthly Electricity (Overview)'!C129:D129)+SUM('Monthly Electricity (Overview)'!F129:H129)+SUM('Monthly Electricity (Overview)'!O129:Q129)</f>
        <v/>
      </c>
      <c r="C51" s="56">
        <f>'Monthly Electricity (Overview)'!I129</f>
        <v/>
      </c>
      <c r="D51" s="56">
        <f>'Monthly Electricity (Overview)'!N129</f>
        <v/>
      </c>
      <c r="E51" s="56">
        <f>'Monthly Electricity (Overview)'!E129</f>
        <v/>
      </c>
      <c r="F51" s="56">
        <f>'Monthly Electricity (Overview)'!J129</f>
        <v/>
      </c>
      <c r="G51" s="56">
        <f>'Monthly Electricity (Overview)'!K129</f>
        <v/>
      </c>
      <c r="H51" s="56" t="n"/>
      <c r="I51" s="56">
        <f>'Monthly Electricity (Overview)'!S129</f>
        <v/>
      </c>
      <c r="J51" s="56">
        <f>'Monthly Electricity (Overview)'!T129</f>
        <v/>
      </c>
      <c r="K51" s="56">
        <f>'Monthly Electricity (Overview)'!L129</f>
        <v/>
      </c>
      <c r="L51" s="56" t="n">
        <v>102262</v>
      </c>
      <c r="M51" s="56">
        <f>SUM('Monthly Electricity (Overview)'!U129:X129)+'Monthly Electricity (Overview)'!AD129</f>
        <v/>
      </c>
      <c r="N51" s="56">
        <f>'Monthly Electricity (Overview)'!AA129</f>
        <v/>
      </c>
      <c r="O51" s="56">
        <f>'Monthly Electricity (Overview)'!Z129</f>
        <v/>
      </c>
      <c r="P51" s="56">
        <f>'Monthly Electricity (Overview)'!Y129</f>
        <v/>
      </c>
      <c r="Q51" s="56">
        <f>SUM(B51:P51)-P51</f>
        <v/>
      </c>
      <c r="R51" s="56">
        <f>SUM(B51:O51)-L51</f>
        <v/>
      </c>
    </row>
    <row r="52" ht="16" customHeight="1">
      <c r="A52" s="558" t="n">
        <v>45536</v>
      </c>
      <c r="B52" s="56">
        <f>SUM('Monthly Electricity (Overview)'!C130:D130)+SUM('Monthly Electricity (Overview)'!F130:H130)+SUM('Monthly Electricity (Overview)'!O130:Q130)</f>
        <v/>
      </c>
      <c r="C52" s="56">
        <f>'Monthly Electricity (Overview)'!I130</f>
        <v/>
      </c>
      <c r="D52" s="56">
        <f>'Monthly Electricity (Overview)'!N130</f>
        <v/>
      </c>
      <c r="E52" s="56">
        <f>'Monthly Electricity (Overview)'!E130</f>
        <v/>
      </c>
      <c r="F52" s="56">
        <f>'Monthly Electricity (Overview)'!J130</f>
        <v/>
      </c>
      <c r="G52" s="56">
        <f>'Monthly Electricity (Overview)'!K130</f>
        <v/>
      </c>
      <c r="H52" s="56" t="n"/>
      <c r="I52" s="56">
        <f>'Monthly Electricity (Overview)'!S130</f>
        <v/>
      </c>
      <c r="J52" s="56">
        <f>'Monthly Electricity (Overview)'!T130</f>
        <v/>
      </c>
      <c r="K52" s="56">
        <f>'Monthly Electricity (Overview)'!L130</f>
        <v/>
      </c>
      <c r="L52" s="56" t="n">
        <v>94188</v>
      </c>
      <c r="M52" s="56">
        <f>SUM('Monthly Electricity (Overview)'!U130:X130)+'Monthly Electricity (Overview)'!AD130</f>
        <v/>
      </c>
      <c r="N52" s="56">
        <f>'Monthly Electricity (Overview)'!AA130</f>
        <v/>
      </c>
      <c r="O52" s="56">
        <f>'Monthly Electricity (Overview)'!Z130</f>
        <v/>
      </c>
      <c r="P52" s="56">
        <f>'Monthly Electricity (Overview)'!Y130</f>
        <v/>
      </c>
      <c r="Q52" s="56">
        <f>SUM(B52:P52)-P52</f>
        <v/>
      </c>
      <c r="R52" s="56">
        <f>SUM(B52:O52)-L52</f>
        <v/>
      </c>
    </row>
    <row r="53" ht="16" customHeight="1">
      <c r="A53" s="558" t="n">
        <v>45566</v>
      </c>
      <c r="B53" s="56">
        <f>SUM('Monthly Electricity (Overview)'!C131:D131)+SUM('Monthly Electricity (Overview)'!F131:H131)+SUM('Monthly Electricity (Overview)'!O131:Q131)</f>
        <v/>
      </c>
      <c r="C53" s="56">
        <f>'Monthly Electricity (Overview)'!I131</f>
        <v/>
      </c>
      <c r="D53" s="56">
        <f>'Monthly Electricity (Overview)'!N131</f>
        <v/>
      </c>
      <c r="E53" s="56">
        <f>'Monthly Electricity (Overview)'!E131</f>
        <v/>
      </c>
      <c r="F53" s="56">
        <f>'Monthly Electricity (Overview)'!J131</f>
        <v/>
      </c>
      <c r="G53" s="56">
        <f>'Monthly Electricity (Overview)'!K131</f>
        <v/>
      </c>
      <c r="H53" s="56" t="n"/>
      <c r="I53" s="56">
        <f>'Monthly Electricity (Overview)'!S131</f>
        <v/>
      </c>
      <c r="J53" s="56">
        <f>'Monthly Electricity (Overview)'!T131</f>
        <v/>
      </c>
      <c r="K53" s="56">
        <f>'Monthly Electricity (Overview)'!L131</f>
        <v/>
      </c>
      <c r="L53" s="56" t="n">
        <v>74174</v>
      </c>
      <c r="M53" s="56">
        <f>SUM('Monthly Electricity (Overview)'!U131:X131)+'Monthly Electricity (Overview)'!AD131</f>
        <v/>
      </c>
      <c r="N53" s="56">
        <f>'Monthly Electricity (Overview)'!AA131</f>
        <v/>
      </c>
      <c r="O53" s="56">
        <f>'Monthly Electricity (Overview)'!Z131</f>
        <v/>
      </c>
      <c r="P53" s="56">
        <f>'Monthly Electricity (Overview)'!Y131</f>
        <v/>
      </c>
      <c r="Q53" s="56">
        <f>SUM(B53:P53)-P53</f>
        <v/>
      </c>
      <c r="R53" s="56">
        <f>SUM(B53:O53)-L53</f>
        <v/>
      </c>
    </row>
    <row r="54" ht="16" customHeight="1">
      <c r="A54" s="558" t="n">
        <v>45597</v>
      </c>
      <c r="B54" s="56">
        <f>SUM('Monthly Electricity (Overview)'!C132:D132)+SUM('Monthly Electricity (Overview)'!F132:H132)+SUM('Monthly Electricity (Overview)'!O132:Q132)</f>
        <v/>
      </c>
      <c r="C54" s="56">
        <f>'Monthly Electricity (Overview)'!I132</f>
        <v/>
      </c>
      <c r="D54" s="56">
        <f>'Monthly Electricity (Overview)'!N132</f>
        <v/>
      </c>
      <c r="E54" s="56">
        <f>'Monthly Electricity (Overview)'!E132</f>
        <v/>
      </c>
      <c r="F54" s="56">
        <f>'Monthly Electricity (Overview)'!J132</f>
        <v/>
      </c>
      <c r="G54" s="56">
        <f>'Monthly Electricity (Overview)'!K132</f>
        <v/>
      </c>
      <c r="H54" s="56" t="n"/>
      <c r="I54" s="56">
        <f>'Monthly Electricity (Overview)'!S132</f>
        <v/>
      </c>
      <c r="J54" s="56">
        <f>'Monthly Electricity (Overview)'!T132</f>
        <v/>
      </c>
      <c r="K54" s="56">
        <f>'Monthly Electricity (Overview)'!L132</f>
        <v/>
      </c>
      <c r="L54" s="56" t="n">
        <v>69509</v>
      </c>
      <c r="M54" s="56">
        <f>SUM('Monthly Electricity (Overview)'!U132:X132)+'Monthly Electricity (Overview)'!AD132</f>
        <v/>
      </c>
      <c r="N54" s="56">
        <f>'Monthly Electricity (Overview)'!AA132</f>
        <v/>
      </c>
      <c r="O54" s="56">
        <f>'Monthly Electricity (Overview)'!Z132</f>
        <v/>
      </c>
      <c r="P54" s="56">
        <f>'Monthly Electricity (Overview)'!Y132</f>
        <v/>
      </c>
      <c r="Q54" s="56">
        <f>SUM(B54:P54)-P54</f>
        <v/>
      </c>
      <c r="R54" s="56">
        <f>SUM(B54:O54)-L54</f>
        <v/>
      </c>
    </row>
    <row r="55" ht="16" customHeight="1">
      <c r="A55" s="558" t="n">
        <v>45627</v>
      </c>
      <c r="B55" s="56">
        <f>SUM('Monthly Electricity (Overview)'!C133:D133)+SUM('Monthly Electricity (Overview)'!F133:H133)+SUM('Monthly Electricity (Overview)'!O133:Q133)</f>
        <v/>
      </c>
      <c r="C55" s="56">
        <f>'Monthly Electricity (Overview)'!I133</f>
        <v/>
      </c>
      <c r="D55" s="56">
        <f>'Monthly Electricity (Overview)'!N133</f>
        <v/>
      </c>
      <c r="E55" s="56">
        <f>'Monthly Electricity (Overview)'!E133</f>
        <v/>
      </c>
      <c r="F55" s="56">
        <f>'Monthly Electricity (Overview)'!J133</f>
        <v/>
      </c>
      <c r="G55" s="56">
        <f>'Monthly Electricity (Overview)'!K133</f>
        <v/>
      </c>
      <c r="H55" s="56" t="n"/>
      <c r="I55" s="56">
        <f>'Monthly Electricity (Overview)'!S133</f>
        <v/>
      </c>
      <c r="J55" s="56">
        <f>'Monthly Electricity (Overview)'!T133</f>
        <v/>
      </c>
      <c r="K55" s="56">
        <f>'Monthly Electricity (Overview)'!L133</f>
        <v/>
      </c>
      <c r="L55" s="56" t="n">
        <v>42277</v>
      </c>
      <c r="M55" s="56">
        <f>SUM('Monthly Electricity (Overview)'!U133:X133)+'Monthly Electricity (Overview)'!AD133</f>
        <v/>
      </c>
      <c r="N55" s="56">
        <f>'Monthly Electricity (Overview)'!AA133</f>
        <v/>
      </c>
      <c r="O55" s="56">
        <f>'Monthly Electricity (Overview)'!Z133</f>
        <v/>
      </c>
      <c r="P55" s="56">
        <f>'Monthly Electricity (Overview)'!Y133</f>
        <v/>
      </c>
      <c r="Q55" s="56">
        <f>SUM(B55:P55)-P55</f>
        <v/>
      </c>
      <c r="R55" s="56">
        <f>SUM(B55:O55)-L55</f>
        <v/>
      </c>
    </row>
    <row r="56" ht="16" customHeight="1">
      <c r="A56" s="559" t="n">
        <v>45658</v>
      </c>
      <c r="B56" s="56">
        <f>SUM('Monthly Electricity (Overview)'!C134:D134)+SUM('Monthly Electricity (Overview)'!F134:H134)+SUM('Monthly Electricity (Overview)'!O134:Q134)</f>
        <v/>
      </c>
      <c r="C56" s="56">
        <f>'Monthly Electricity (Overview)'!I134</f>
        <v/>
      </c>
      <c r="D56" s="56">
        <f>'Monthly Electricity (Overview)'!N134</f>
        <v/>
      </c>
      <c r="E56" s="56">
        <f>'Monthly Electricity (Overview)'!E134</f>
        <v/>
      </c>
      <c r="F56" s="56">
        <f>'Monthly Electricity (Overview)'!J134</f>
        <v/>
      </c>
      <c r="G56" s="56">
        <f>'Monthly Electricity (Overview)'!K134</f>
        <v/>
      </c>
      <c r="H56" s="56" t="n"/>
      <c r="I56" s="56">
        <f>'Monthly Electricity (Overview)'!S134</f>
        <v/>
      </c>
      <c r="J56" s="56">
        <f>'Monthly Electricity (Overview)'!T134</f>
        <v/>
      </c>
      <c r="K56" s="56">
        <f>'Monthly Electricity (Overview)'!L134</f>
        <v/>
      </c>
      <c r="L56" s="56" t="n">
        <v>42652</v>
      </c>
      <c r="M56" s="56">
        <f>SUM('Monthly Electricity (Overview)'!U134:X134)+'Monthly Electricity (Overview)'!AD134</f>
        <v/>
      </c>
      <c r="N56" s="56">
        <f>'Monthly Electricity (Overview)'!AA134</f>
        <v/>
      </c>
      <c r="O56" s="56">
        <f>'Monthly Electricity (Overview)'!Z134</f>
        <v/>
      </c>
      <c r="P56" s="56">
        <f>'Monthly Electricity (Overview)'!Y134</f>
        <v/>
      </c>
      <c r="Q56" s="56">
        <f>SUM(B56:P56)-P56</f>
        <v/>
      </c>
      <c r="R56" s="56">
        <f>SUM(B56:O56)-L56</f>
        <v/>
      </c>
    </row>
    <row r="57" ht="16" customHeight="1">
      <c r="A57" s="559" t="n">
        <v>45689</v>
      </c>
      <c r="B57" s="56">
        <f>SUM('Monthly Electricity (Overview)'!C135:D135)+SUM('Monthly Electricity (Overview)'!F135:H135)+SUM('Monthly Electricity (Overview)'!O135:Q135)</f>
        <v/>
      </c>
      <c r="C57" s="56">
        <f>'Monthly Electricity (Overview)'!I135</f>
        <v/>
      </c>
      <c r="D57" s="56">
        <f>'Monthly Electricity (Overview)'!N135</f>
        <v/>
      </c>
      <c r="E57" s="56">
        <f>'Monthly Electricity (Overview)'!E135</f>
        <v/>
      </c>
      <c r="F57" s="56">
        <f>'Monthly Electricity (Overview)'!J135</f>
        <v/>
      </c>
      <c r="G57" s="56">
        <f>'Monthly Electricity (Overview)'!K135</f>
        <v/>
      </c>
      <c r="H57" s="56" t="n"/>
      <c r="I57" s="56">
        <f>'Monthly Electricity (Overview)'!S135</f>
        <v/>
      </c>
      <c r="J57" s="56">
        <f>'Monthly Electricity (Overview)'!T135</f>
        <v/>
      </c>
      <c r="K57" s="56">
        <f>'Monthly Electricity (Overview)'!L135</f>
        <v/>
      </c>
      <c r="L57" s="56" t="n">
        <v>46317</v>
      </c>
      <c r="M57" s="56">
        <f>SUM('Monthly Electricity (Overview)'!U135:X135)+'Monthly Electricity (Overview)'!AD135</f>
        <v/>
      </c>
      <c r="N57" s="56">
        <f>'Monthly Electricity (Overview)'!AA135</f>
        <v/>
      </c>
      <c r="O57" s="56">
        <f>'Monthly Electricity (Overview)'!Z135</f>
        <v/>
      </c>
      <c r="P57" s="56">
        <f>'Monthly Electricity (Overview)'!Y135</f>
        <v/>
      </c>
      <c r="Q57" s="56">
        <f>SUM(B57:P57)-P57</f>
        <v/>
      </c>
      <c r="R57" s="56">
        <f>SUM(B57:O57)-L57</f>
        <v/>
      </c>
    </row>
    <row r="58" ht="16" customHeight="1">
      <c r="A58" s="559" t="n">
        <v>45717</v>
      </c>
      <c r="B58" s="56">
        <f>SUM('Monthly Electricity (Overview)'!C136:D136)+SUM('Monthly Electricity (Overview)'!F136:H136)+SUM('Monthly Electricity (Overview)'!O136:Q136)</f>
        <v/>
      </c>
      <c r="C58" s="56">
        <f>'Monthly Electricity (Overview)'!I136</f>
        <v/>
      </c>
      <c r="D58" s="56">
        <f>'Monthly Electricity (Overview)'!N136</f>
        <v/>
      </c>
      <c r="E58" s="56">
        <f>'Monthly Electricity (Overview)'!E136</f>
        <v/>
      </c>
      <c r="F58" s="56">
        <f>'Monthly Electricity (Overview)'!J136</f>
        <v/>
      </c>
      <c r="G58" s="56">
        <f>'Monthly Electricity (Overview)'!K136</f>
        <v/>
      </c>
      <c r="H58" s="56" t="n"/>
      <c r="I58" s="56">
        <f>'Monthly Electricity (Overview)'!S136</f>
        <v/>
      </c>
      <c r="J58" s="56">
        <f>'Monthly Electricity (Overview)'!T136</f>
        <v/>
      </c>
      <c r="K58" s="56">
        <f>'Monthly Electricity (Overview)'!L136</f>
        <v/>
      </c>
      <c r="L58" s="56" t="n">
        <v>40747</v>
      </c>
      <c r="M58" s="56">
        <f>SUM('Monthly Electricity (Overview)'!U136:X136)+'Monthly Electricity (Overview)'!AD136</f>
        <v/>
      </c>
      <c r="N58" s="56">
        <f>'Monthly Electricity (Overview)'!AA136</f>
        <v/>
      </c>
      <c r="O58" s="56">
        <f>'Monthly Electricity (Overview)'!Z136</f>
        <v/>
      </c>
      <c r="P58" s="56">
        <f>'Monthly Electricity (Overview)'!Y136</f>
        <v/>
      </c>
      <c r="Q58" s="56">
        <f>SUM(B58:P58)-P58</f>
        <v/>
      </c>
      <c r="R58" s="56">
        <f>SUM(B58:O58)-L58</f>
        <v/>
      </c>
    </row>
    <row r="59" ht="16" customHeight="1">
      <c r="A59" s="559" t="n">
        <v>45748</v>
      </c>
      <c r="B59" s="56">
        <f>SUM('Monthly Electricity (Overview)'!C137:D137)+SUM('Monthly Electricity (Overview)'!F137:H137)+SUM('Monthly Electricity (Overview)'!O137:Q137)</f>
        <v/>
      </c>
      <c r="C59" s="56">
        <f>'Monthly Electricity (Overview)'!I137</f>
        <v/>
      </c>
      <c r="D59" s="56">
        <f>'Monthly Electricity (Overview)'!N137</f>
        <v/>
      </c>
      <c r="E59" s="56">
        <f>'Monthly Electricity (Overview)'!E137</f>
        <v/>
      </c>
      <c r="F59" s="56">
        <f>'Monthly Electricity (Overview)'!J137</f>
        <v/>
      </c>
      <c r="G59" s="56">
        <f>'Monthly Electricity (Overview)'!K137</f>
        <v/>
      </c>
      <c r="H59" s="56" t="n"/>
      <c r="I59" s="56">
        <f>'Monthly Electricity (Overview)'!S137</f>
        <v/>
      </c>
      <c r="J59" s="56">
        <f>'Monthly Electricity (Overview)'!T137</f>
        <v/>
      </c>
      <c r="K59" s="56">
        <f>'Monthly Electricity (Overview)'!L137</f>
        <v/>
      </c>
      <c r="L59" s="56" t="n">
        <v>59308</v>
      </c>
      <c r="M59" s="56">
        <f>SUM('Monthly Electricity (Overview)'!U137:X137)+'Monthly Electricity (Overview)'!AD137</f>
        <v/>
      </c>
      <c r="N59" s="56">
        <f>'Monthly Electricity (Overview)'!AA137</f>
        <v/>
      </c>
      <c r="O59" s="56">
        <f>'Monthly Electricity (Overview)'!Z137</f>
        <v/>
      </c>
      <c r="P59" s="56">
        <f>'Monthly Electricity (Overview)'!Y137</f>
        <v/>
      </c>
      <c r="Q59" s="56">
        <f>SUM(B59:P59)-P59</f>
        <v/>
      </c>
      <c r="R59" s="56">
        <f>SUM(B59:O59)-L59</f>
        <v/>
      </c>
    </row>
    <row r="60" ht="16" customHeight="1">
      <c r="A60" s="559" t="n">
        <v>45778</v>
      </c>
      <c r="B60" s="56">
        <f>SUM('Monthly Electricity (Overview)'!C138:D138)+SUM('Monthly Electricity (Overview)'!F138:H138)+SUM('Monthly Electricity (Overview)'!O138:Q138)</f>
        <v/>
      </c>
      <c r="C60" s="56">
        <f>'Monthly Electricity (Overview)'!I138</f>
        <v/>
      </c>
      <c r="D60" s="56">
        <f>'Monthly Electricity (Overview)'!N138</f>
        <v/>
      </c>
      <c r="E60" s="56">
        <f>'Monthly Electricity (Overview)'!E138</f>
        <v/>
      </c>
      <c r="F60" s="56">
        <f>'Monthly Electricity (Overview)'!J138</f>
        <v/>
      </c>
      <c r="G60" s="56">
        <f>'Monthly Electricity (Overview)'!K138</f>
        <v/>
      </c>
      <c r="H60" s="56" t="n"/>
      <c r="I60" s="56">
        <f>'Monthly Electricity (Overview)'!S138</f>
        <v/>
      </c>
      <c r="J60" s="56">
        <f>'Monthly Electricity (Overview)'!T138</f>
        <v/>
      </c>
      <c r="K60" s="56">
        <f>'Monthly Electricity (Overview)'!L138</f>
        <v/>
      </c>
      <c r="L60" s="56" t="n">
        <v>69996</v>
      </c>
      <c r="M60" s="56">
        <f>SUM('Monthly Electricity (Overview)'!U138:X138)+'Monthly Electricity (Overview)'!AD138</f>
        <v/>
      </c>
      <c r="N60" s="56">
        <f>'Monthly Electricity (Overview)'!AA138</f>
        <v/>
      </c>
      <c r="O60" s="56">
        <f>'Monthly Electricity (Overview)'!Z138</f>
        <v/>
      </c>
      <c r="P60" s="56">
        <f>'Monthly Electricity (Overview)'!Y138</f>
        <v/>
      </c>
      <c r="Q60" s="56">
        <f>SUM(B60:P60)-P60</f>
        <v/>
      </c>
      <c r="R60" s="56">
        <f>SUM(B60:O60)-L60</f>
        <v/>
      </c>
    </row>
    <row r="61" ht="16" customHeight="1">
      <c r="A61" s="559" t="n">
        <v>45809</v>
      </c>
      <c r="B61" s="315">
        <f>SUM('Monthly Electricity (Overview)'!C139:D139)+SUM('Monthly Electricity (Overview)'!F139:H139)+SUM('Monthly Electricity (Overview)'!O139:Q139)</f>
        <v/>
      </c>
      <c r="C61" s="315">
        <f>'Monthly Electricity (Overview)'!I139</f>
        <v/>
      </c>
      <c r="D61" s="315">
        <f>'Monthly Electricity (Overview)'!N139</f>
        <v/>
      </c>
      <c r="E61" s="315">
        <f>'Monthly Electricity (Overview)'!E139</f>
        <v/>
      </c>
      <c r="F61" s="315">
        <f>'Monthly Electricity (Overview)'!J139</f>
        <v/>
      </c>
      <c r="G61" s="315">
        <f>'Monthly Electricity (Overview)'!K139</f>
        <v/>
      </c>
      <c r="H61" s="315" t="n"/>
      <c r="I61" s="315">
        <f>'Monthly Electricity (Overview)'!S139</f>
        <v/>
      </c>
      <c r="J61" s="315">
        <f>'Monthly Electricity (Overview)'!T139</f>
        <v/>
      </c>
      <c r="K61" s="315">
        <f>'Monthly Electricity (Overview)'!L139</f>
        <v/>
      </c>
      <c r="L61" s="315" t="n">
        <v>80365</v>
      </c>
      <c r="M61" s="315">
        <f>SUM('Monthly Electricity (Overview)'!U139:X139)+'Monthly Electricity (Overview)'!AD139</f>
        <v/>
      </c>
      <c r="N61" s="315">
        <f>'Monthly Electricity (Overview)'!AA139</f>
        <v/>
      </c>
      <c r="O61" s="315">
        <f>'Monthly Electricity (Overview)'!Z139</f>
        <v/>
      </c>
      <c r="P61" s="315">
        <f>'Monthly Electricity (Overview)'!Y139</f>
        <v/>
      </c>
      <c r="Q61" s="315">
        <f>SUM(B61:P61)-P61</f>
        <v/>
      </c>
      <c r="R61" s="315">
        <f>SUM(B61:O61)-L61</f>
        <v/>
      </c>
    </row>
    <row r="62" ht="15.75" customHeight="1">
      <c r="A62" s="559" t="n">
        <v>45839</v>
      </c>
      <c r="B62" s="56">
        <f>SUM('Monthly Electricity (Overview)'!C140:D140)+SUM('Monthly Electricity (Overview)'!F140:H140)+SUM('Monthly Electricity (Overview)'!O140:Q140)</f>
        <v/>
      </c>
      <c r="C62" s="56">
        <f>'Monthly Electricity (Overview)'!I140</f>
        <v/>
      </c>
      <c r="D62" s="56">
        <f>'Monthly Electricity (Overview)'!N140</f>
        <v/>
      </c>
      <c r="E62" s="56">
        <f>'Monthly Electricity (Overview)'!E140</f>
        <v/>
      </c>
      <c r="F62" s="56">
        <f>'Monthly Electricity (Overview)'!J140</f>
        <v/>
      </c>
      <c r="G62" s="56">
        <f>'Monthly Electricity (Overview)'!K140</f>
        <v/>
      </c>
      <c r="H62" s="56">
        <f>'Monthly Electricity (Overview)'!R140</f>
        <v/>
      </c>
      <c r="I62" s="56">
        <f>'Monthly Electricity (Overview)'!S140</f>
        <v/>
      </c>
      <c r="J62" s="56">
        <f>'Monthly Electricity (Overview)'!T140</f>
        <v/>
      </c>
      <c r="K62" s="56">
        <f>'Monthly Electricity (Overview)'!L140</f>
        <v/>
      </c>
      <c r="L62" s="56" t="n"/>
      <c r="M62" s="56">
        <f>SUM('Monthly Electricity (Overview)'!U140:X140)+'Monthly Electricity (Overview)'!AD140</f>
        <v/>
      </c>
      <c r="N62" s="56">
        <f>'Monthly Electricity (Overview)'!AA140</f>
        <v/>
      </c>
      <c r="O62" s="56">
        <f>'Monthly Electricity (Overview)'!Z140</f>
        <v/>
      </c>
      <c r="P62" s="56">
        <f>'Monthly Electricity (Overview)'!Y140</f>
        <v/>
      </c>
      <c r="Q62" s="56">
        <f>SUM(B62:P62)-P62</f>
        <v/>
      </c>
      <c r="R62" s="56">
        <f>SUM(B62:O62)</f>
        <v/>
      </c>
    </row>
    <row r="63" ht="15.75" customHeight="1">
      <c r="A63" s="559" t="n">
        <v>45870</v>
      </c>
      <c r="B63" s="56">
        <f>SUM('Monthly Electricity (Overview)'!C141:D141)+SUM('Monthly Electricity (Overview)'!F141:H141)+SUM('Monthly Electricity (Overview)'!O141:Q141)</f>
        <v/>
      </c>
      <c r="C63" s="56">
        <f>'Monthly Electricity (Overview)'!I141</f>
        <v/>
      </c>
      <c r="D63" s="56">
        <f>'Monthly Electricity (Overview)'!N141</f>
        <v/>
      </c>
      <c r="E63" s="56">
        <f>'Monthly Electricity (Overview)'!E141</f>
        <v/>
      </c>
      <c r="F63" s="56">
        <f>'Monthly Electricity (Overview)'!J141</f>
        <v/>
      </c>
      <c r="G63" s="56">
        <f>'Monthly Electricity (Overview)'!K141</f>
        <v/>
      </c>
      <c r="H63" s="56">
        <f>'Monthly Electricity (Overview)'!R141</f>
        <v/>
      </c>
      <c r="I63" s="56">
        <f>'Monthly Electricity (Overview)'!S141</f>
        <v/>
      </c>
      <c r="J63" s="56">
        <f>'Monthly Electricity (Overview)'!T141</f>
        <v/>
      </c>
      <c r="K63" s="56">
        <f>'Monthly Electricity (Overview)'!L141</f>
        <v/>
      </c>
      <c r="L63" s="56" t="n"/>
      <c r="M63" s="56">
        <f>SUM('Monthly Electricity (Overview)'!U141:X141)+'Monthly Electricity (Overview)'!AD141</f>
        <v/>
      </c>
      <c r="N63" s="56">
        <f>'Monthly Electricity (Overview)'!AA141</f>
        <v/>
      </c>
      <c r="O63" s="56">
        <f>'Monthly Electricity (Overview)'!Z141</f>
        <v/>
      </c>
      <c r="P63" s="56">
        <f>'Monthly Electricity (Overview)'!Y141</f>
        <v/>
      </c>
      <c r="Q63" s="56">
        <f>SUM(B63:P63)-P63</f>
        <v/>
      </c>
      <c r="R63" s="56">
        <f>SUM(B63:O63)</f>
        <v/>
      </c>
    </row>
    <row r="64" ht="15.75" customHeight="1">
      <c r="A64" s="559" t="n">
        <v>45901</v>
      </c>
      <c r="B64" s="56">
        <f>SUM('Monthly Electricity (Overview)'!C142:D142)+SUM('Monthly Electricity (Overview)'!F142:H142)+SUM('Monthly Electricity (Overview)'!O142:Q142)</f>
        <v/>
      </c>
      <c r="C64" s="56">
        <f>'Monthly Electricity (Overview)'!I142</f>
        <v/>
      </c>
      <c r="D64" s="56">
        <f>'Monthly Electricity (Overview)'!N142</f>
        <v/>
      </c>
      <c r="E64" s="56">
        <f>'Monthly Electricity (Overview)'!E142</f>
        <v/>
      </c>
      <c r="F64" s="56">
        <f>'Monthly Electricity (Overview)'!J142</f>
        <v/>
      </c>
      <c r="G64" s="56">
        <f>'Monthly Electricity (Overview)'!K142</f>
        <v/>
      </c>
      <c r="H64" s="56">
        <f>'Monthly Electricity (Overview)'!R142</f>
        <v/>
      </c>
      <c r="I64" s="56">
        <f>'Monthly Electricity (Overview)'!S142</f>
        <v/>
      </c>
      <c r="J64" s="56">
        <f>'Monthly Electricity (Overview)'!T142</f>
        <v/>
      </c>
      <c r="K64" s="56">
        <f>'Monthly Electricity (Overview)'!L142</f>
        <v/>
      </c>
      <c r="L64" s="56" t="n"/>
      <c r="M64" s="56">
        <f>SUM('Monthly Electricity (Overview)'!U142:X142)+'Monthly Electricity (Overview)'!AD142</f>
        <v/>
      </c>
      <c r="N64" s="56">
        <f>'Monthly Electricity (Overview)'!AA142</f>
        <v/>
      </c>
      <c r="O64" s="56">
        <f>'Monthly Electricity (Overview)'!Z142</f>
        <v/>
      </c>
      <c r="P64" s="56">
        <f>'Monthly Electricity (Overview)'!Y142</f>
        <v/>
      </c>
      <c r="Q64" s="56">
        <f>SUM(B64:P64)-P64</f>
        <v/>
      </c>
      <c r="R64" s="56">
        <f>SUM(B64:O64)</f>
        <v/>
      </c>
    </row>
    <row r="65" ht="15.75" customHeight="1">
      <c r="A65" s="481" t="n">
        <v>45931</v>
      </c>
      <c r="B65" s="56">
        <f>SUM('Monthly Electricity (Overview)'!C143:D143)+SUM('Monthly Electricity (Overview)'!F143:H143)+SUM('Monthly Electricity (Overview)'!O143:Q143)</f>
        <v/>
      </c>
      <c r="C65" s="56">
        <f>'Monthly Electricity (Overview)'!I143</f>
        <v/>
      </c>
      <c r="D65" s="56">
        <f>'Monthly Electricity (Overview)'!N143</f>
        <v/>
      </c>
      <c r="E65" s="56">
        <f>'Monthly Electricity (Overview)'!E143</f>
        <v/>
      </c>
      <c r="F65" s="56">
        <f>'Monthly Electricity (Overview)'!J143</f>
        <v/>
      </c>
      <c r="G65" s="56">
        <f>'Monthly Electricity (Overview)'!K143</f>
        <v/>
      </c>
      <c r="H65" s="56">
        <f>'Monthly Electricity (Overview)'!R143</f>
        <v/>
      </c>
      <c r="I65" s="56">
        <f>'Monthly Electricity (Overview)'!S143</f>
        <v/>
      </c>
      <c r="J65" s="56">
        <f>'Monthly Electricity (Overview)'!T143</f>
        <v/>
      </c>
      <c r="K65" s="56">
        <f>'Monthly Electricity (Overview)'!L143</f>
        <v/>
      </c>
      <c r="L65" s="56" t="n"/>
      <c r="M65" s="56">
        <f>SUM('Monthly Electricity (Overview)'!U143:X143)+'Monthly Electricity (Overview)'!AD143</f>
        <v/>
      </c>
      <c r="N65" s="56">
        <f>'Monthly Electricity (Overview)'!AA143</f>
        <v/>
      </c>
      <c r="O65" s="56">
        <f>'Monthly Electricity (Overview)'!Z143</f>
        <v/>
      </c>
      <c r="Q65" s="56">
        <f>SUM(B65:P65)-P65</f>
        <v/>
      </c>
      <c r="R65" s="56">
        <f>SUM(B65:O65)</f>
        <v/>
      </c>
    </row>
    <row r="66" ht="15.75" customHeight="1">
      <c r="A66" s="481" t="n">
        <v>45962</v>
      </c>
      <c r="B66" s="56">
        <f>SUM('Monthly Electricity (Overview)'!C144:D144)+SUM('Monthly Electricity (Overview)'!F144:H144)+SUM('Monthly Electricity (Overview)'!O144:Q144)</f>
        <v/>
      </c>
      <c r="C66" s="56">
        <f>'Monthly Electricity (Overview)'!I144</f>
        <v/>
      </c>
      <c r="D66" s="56">
        <f>'Monthly Electricity (Overview)'!N144</f>
        <v/>
      </c>
      <c r="E66" s="56">
        <f>'Monthly Electricity (Overview)'!E144</f>
        <v/>
      </c>
      <c r="F66" s="56">
        <f>'Monthly Electricity (Overview)'!J144</f>
        <v/>
      </c>
      <c r="G66" s="56">
        <f>'Monthly Electricity (Overview)'!K144</f>
        <v/>
      </c>
      <c r="H66" s="56">
        <f>'Monthly Electricity (Overview)'!R144</f>
        <v/>
      </c>
      <c r="I66" s="56">
        <f>'Monthly Electricity (Overview)'!S144</f>
        <v/>
      </c>
      <c r="J66" s="56">
        <f>'Monthly Electricity (Overview)'!T144</f>
        <v/>
      </c>
      <c r="K66" s="56">
        <f>'Monthly Electricity (Overview)'!L144</f>
        <v/>
      </c>
      <c r="L66" s="56" t="n"/>
      <c r="M66" s="56">
        <f>SUM('Monthly Electricity (Overview)'!U144:X144)+'Monthly Electricity (Overview)'!AD144</f>
        <v/>
      </c>
      <c r="N66" s="56">
        <f>'Monthly Electricity (Overview)'!AA144</f>
        <v/>
      </c>
      <c r="O66" s="56">
        <f>'Monthly Electricity (Overview)'!Z144</f>
        <v/>
      </c>
      <c r="Q66" s="56">
        <f>SUM(B66:P66)-P66</f>
        <v/>
      </c>
      <c r="R66" s="56">
        <f>SUM(B66:O66)</f>
        <v/>
      </c>
    </row>
    <row r="67" ht="15.75" customHeight="1">
      <c r="A67" s="481" t="n">
        <v>45992</v>
      </c>
      <c r="B67" s="56">
        <f>SUM('Monthly Electricity (Overview)'!C145:D145)+SUM('Monthly Electricity (Overview)'!F145:H145)+SUM('Monthly Electricity (Overview)'!O145:Q145)</f>
        <v/>
      </c>
      <c r="C67" s="56">
        <f>'Monthly Electricity (Overview)'!I145</f>
        <v/>
      </c>
      <c r="D67" s="56">
        <f>'Monthly Electricity (Overview)'!N145</f>
        <v/>
      </c>
      <c r="E67" s="56">
        <f>'Monthly Electricity (Overview)'!E145</f>
        <v/>
      </c>
      <c r="F67" s="56">
        <f>'Monthly Electricity (Overview)'!J145</f>
        <v/>
      </c>
      <c r="G67" s="56">
        <f>'Monthly Electricity (Overview)'!K145</f>
        <v/>
      </c>
      <c r="H67" s="56">
        <f>'Monthly Electricity (Overview)'!R145</f>
        <v/>
      </c>
      <c r="I67" s="56">
        <f>'Monthly Electricity (Overview)'!S145</f>
        <v/>
      </c>
      <c r="J67" s="56">
        <f>'Monthly Electricity (Overview)'!T145</f>
        <v/>
      </c>
      <c r="K67" s="56">
        <f>'Monthly Electricity (Overview)'!L145</f>
        <v/>
      </c>
      <c r="L67" s="56" t="n"/>
      <c r="M67" s="56">
        <f>SUM('Monthly Electricity (Overview)'!U145:X145)+'Monthly Electricity (Overview)'!AD145</f>
        <v/>
      </c>
      <c r="N67" s="56">
        <f>'Monthly Electricity (Overview)'!AA145</f>
        <v/>
      </c>
      <c r="O67" s="56">
        <f>'Monthly Electricity (Overview)'!Z145</f>
        <v/>
      </c>
      <c r="Q67" s="56">
        <f>SUM(B67:P67)-P67</f>
        <v/>
      </c>
      <c r="R67" s="56">
        <f>SUM(B67:O67)</f>
        <v/>
      </c>
    </row>
    <row r="68" ht="15.75" customHeight="1">
      <c r="A68" s="518" t="n">
        <v>46023</v>
      </c>
      <c r="B68" s="56">
        <f>SUM('Monthly Electricity (Overview)'!C146:D146)+SUM('Monthly Electricity (Overview)'!F146:H146)+SUM('Monthly Electricity (Overview)'!O146:Q146)</f>
        <v/>
      </c>
      <c r="C68" s="56">
        <f>'Monthly Electricity (Overview)'!I146</f>
        <v/>
      </c>
      <c r="D68" s="56">
        <f>'Monthly Electricity (Overview)'!N146</f>
        <v/>
      </c>
      <c r="E68" s="56">
        <f>'Monthly Electricity (Overview)'!E146</f>
        <v/>
      </c>
      <c r="F68" s="56">
        <f>'Monthly Electricity (Overview)'!J146</f>
        <v/>
      </c>
      <c r="G68" s="56">
        <f>'Monthly Electricity (Overview)'!K146</f>
        <v/>
      </c>
      <c r="H68" s="56">
        <f>'Monthly Electricity (Overview)'!R146</f>
        <v/>
      </c>
      <c r="I68" s="56">
        <f>'Monthly Electricity (Overview)'!S146</f>
        <v/>
      </c>
      <c r="J68" s="56">
        <f>'Monthly Electricity (Overview)'!T146</f>
        <v/>
      </c>
      <c r="K68" s="56">
        <f>'Monthly Electricity (Overview)'!L146</f>
        <v/>
      </c>
      <c r="L68" s="56" t="n"/>
      <c r="M68" s="56">
        <f>SUM('Monthly Electricity (Overview)'!U146:X146)+'Monthly Electricity (Overview)'!AD146</f>
        <v/>
      </c>
      <c r="N68" s="56">
        <f>'Monthly Electricity (Overview)'!AA146</f>
        <v/>
      </c>
      <c r="O68" s="56">
        <f>'Monthly Electricity (Overview)'!Z146</f>
        <v/>
      </c>
      <c r="Q68" s="56">
        <f>SUM(B68:P68)-P68</f>
        <v/>
      </c>
      <c r="R68" s="56">
        <f>SUM(B68:O68)</f>
        <v/>
      </c>
    </row>
    <row r="69" ht="15.75" customHeight="1">
      <c r="A69" s="518" t="n">
        <v>46054</v>
      </c>
    </row>
    <row r="70" ht="15.75" customHeight="1">
      <c r="A70" s="518" t="n">
        <v>46082</v>
      </c>
    </row>
    <row r="71" ht="15.75" customHeight="1">
      <c r="A71" s="518" t="n">
        <v>46113</v>
      </c>
    </row>
    <row r="72" ht="15.75" customHeight="1">
      <c r="A72" s="518" t="n">
        <v>46143</v>
      </c>
    </row>
    <row r="73" ht="15.75" customHeight="1">
      <c r="A73" s="518" t="n">
        <v>46174</v>
      </c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zoomScale="11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baseColWidth="10" defaultColWidth="10.6640625" defaultRowHeight="15" customHeight="1"/>
  <cols>
    <col width="15.33203125" customWidth="1" style="368" min="1" max="1"/>
    <col width="20.6640625" customWidth="1" style="8" min="2" max="2"/>
    <col width="15.6640625" customWidth="1" style="8" min="3" max="15"/>
    <col hidden="1" width="18.33203125" customWidth="1" style="8" min="16" max="16"/>
    <col width="28.33203125" customWidth="1" style="8" min="17" max="17"/>
    <col width="23.33203125" customWidth="1" style="8" min="18" max="18"/>
    <col width="10.6640625" customWidth="1" style="8" min="19" max="16384"/>
  </cols>
  <sheetData>
    <row r="1" ht="51" customHeight="1">
      <c r="A1" s="365" t="inlineStr">
        <is>
          <t>Period</t>
        </is>
      </c>
      <c r="B1" s="65" t="inlineStr">
        <is>
          <t xml:space="preserve">Main Academic Buildings and Others </t>
        </is>
      </c>
      <c r="C1" s="65" t="inlineStr">
        <is>
          <t>Main Chiller Plant</t>
        </is>
      </c>
      <c r="D1" s="65" t="inlineStr">
        <is>
          <t>LSK Chiller Plant</t>
        </is>
      </c>
      <c r="E1" s="65" t="inlineStr">
        <is>
          <t>Cheng Yu Tung Building</t>
        </is>
      </c>
      <c r="F1" s="65" t="inlineStr">
        <is>
          <t>LSK Building</t>
        </is>
      </c>
      <c r="G1" s="65" t="inlineStr">
        <is>
          <t>IAS Building</t>
        </is>
      </c>
      <c r="H1" s="65" t="inlineStr">
        <is>
          <t>HPC 6</t>
        </is>
      </c>
      <c r="I1" s="65" t="inlineStr">
        <is>
          <t>Research Building 2</t>
        </is>
      </c>
      <c r="J1" s="65" t="inlineStr">
        <is>
          <t>Innovation Building</t>
        </is>
      </c>
      <c r="K1" s="65" t="inlineStr">
        <is>
          <t>Conference Lodge</t>
        </is>
      </c>
      <c r="L1" s="65" t="inlineStr">
        <is>
          <t>Staff Quarter Common Area</t>
        </is>
      </c>
      <c r="M1" s="65" t="inlineStr">
        <is>
          <t>Student Housing</t>
        </is>
      </c>
      <c r="N1" s="65" t="inlineStr">
        <is>
          <t>Staff Quarters</t>
        </is>
      </c>
      <c r="O1" s="65" t="inlineStr">
        <is>
          <t>Commercial Outlets</t>
        </is>
      </c>
      <c r="P1" s="65" t="inlineStr">
        <is>
          <t>Staff Quarters &amp; Commercial Outlet (Total)</t>
        </is>
      </c>
      <c r="Q1" s="65" t="inlineStr">
        <is>
          <t>Whole Campus (including staff quarter common area)</t>
        </is>
      </c>
      <c r="R1" s="65" t="inlineStr">
        <is>
          <t>Whole Campus (excluding staff quarter common area)</t>
        </is>
      </c>
    </row>
    <row r="2" ht="17" customHeight="1">
      <c r="A2" s="365" t="inlineStr">
        <is>
          <t>2013/14</t>
        </is>
      </c>
      <c r="B2" s="9" t="n">
        <v>66537464</v>
      </c>
      <c r="C2" s="366" t="n"/>
      <c r="D2" s="366" t="n"/>
      <c r="E2" s="366" t="n"/>
      <c r="F2" s="9" t="n">
        <v>5319031</v>
      </c>
      <c r="G2" s="366" t="n"/>
      <c r="H2" s="366" t="n"/>
      <c r="I2" s="366" t="n"/>
      <c r="J2" s="366" t="n"/>
      <c r="K2" s="366" t="n"/>
      <c r="L2" s="9" t="n">
        <v>1541135</v>
      </c>
      <c r="M2" s="9" t="n">
        <v>7622248</v>
      </c>
      <c r="N2" s="9" t="n"/>
      <c r="O2" s="9" t="n"/>
      <c r="P2" s="9" t="n">
        <v>8266497</v>
      </c>
      <c r="Q2" s="363">
        <f>SUM(B2:P2)</f>
        <v/>
      </c>
      <c r="R2" s="363">
        <f>Q2-L2</f>
        <v/>
      </c>
    </row>
    <row r="3" ht="16" customHeight="1">
      <c r="A3" s="367" t="inlineStr">
        <is>
          <t>2014/15</t>
        </is>
      </c>
      <c r="B3" s="9" t="n">
        <v>67393898</v>
      </c>
      <c r="C3" s="366" t="n"/>
      <c r="D3" s="366" t="n"/>
      <c r="E3" s="366" t="n"/>
      <c r="F3" s="9" t="n">
        <v>5600308</v>
      </c>
      <c r="G3" s="366" t="n"/>
      <c r="H3" s="366" t="n"/>
      <c r="I3" s="366" t="n"/>
      <c r="J3" s="366" t="n"/>
      <c r="K3" s="366" t="n"/>
      <c r="L3" s="9" t="n">
        <v>1858865</v>
      </c>
      <c r="M3" s="9" t="n">
        <v>9972879</v>
      </c>
      <c r="N3" s="9">
        <f>SUM('Monthly Electricity (Overview)'!AA8:AA19)</f>
        <v/>
      </c>
      <c r="O3" s="9">
        <f>SUM('Monthly Electricity (Overview)'!Z8:Z19)</f>
        <v/>
      </c>
      <c r="P3" s="9" t="n">
        <v>8079586</v>
      </c>
      <c r="Q3" s="363">
        <f>SUM(B3:O3)</f>
        <v/>
      </c>
      <c r="R3" s="363">
        <f>Q3-L3</f>
        <v/>
      </c>
    </row>
    <row r="4" ht="16" customHeight="1">
      <c r="A4" s="367" t="inlineStr">
        <is>
          <t>2015/16</t>
        </is>
      </c>
      <c r="B4" s="9" t="n">
        <v>49463702</v>
      </c>
      <c r="C4" s="9" t="n">
        <v>16770100</v>
      </c>
      <c r="D4" s="9" t="n">
        <v>1700914</v>
      </c>
      <c r="E4" s="9" t="n">
        <v>3645309</v>
      </c>
      <c r="F4" s="9" t="n">
        <v>3131115</v>
      </c>
      <c r="G4" s="9" t="n">
        <v>2552993</v>
      </c>
      <c r="H4" s="9" t="n"/>
      <c r="I4" s="9" t="n"/>
      <c r="J4" s="9" t="n"/>
      <c r="K4" s="9" t="n">
        <v>1485087</v>
      </c>
      <c r="L4" s="9" t="n">
        <v>1698200</v>
      </c>
      <c r="M4" s="9" t="n">
        <v>7357743</v>
      </c>
      <c r="N4" s="9">
        <f>SUM('Monthly Electricity (Overview)'!AA20:AA31)</f>
        <v/>
      </c>
      <c r="O4" s="9">
        <f>SUM('Monthly Electricity (Overview)'!Z20:Z31)</f>
        <v/>
      </c>
      <c r="P4" s="9" t="n">
        <v>7994907</v>
      </c>
      <c r="Q4" s="363">
        <f>SUM(B4:O4)</f>
        <v/>
      </c>
      <c r="R4" s="363">
        <f>Q4-L4</f>
        <v/>
      </c>
    </row>
    <row r="5" ht="16" customHeight="1">
      <c r="A5" s="367" t="inlineStr">
        <is>
          <t>2016/17</t>
        </is>
      </c>
      <c r="B5" s="9" t="n">
        <v>48006917</v>
      </c>
      <c r="C5" s="9" t="n">
        <v>16665790</v>
      </c>
      <c r="D5" s="9" t="n">
        <v>1730081</v>
      </c>
      <c r="E5" s="9" t="n">
        <v>5024155</v>
      </c>
      <c r="F5" s="9" t="n">
        <v>3213275</v>
      </c>
      <c r="G5" s="9" t="n">
        <v>2598423</v>
      </c>
      <c r="H5" s="9" t="n"/>
      <c r="I5" s="9" t="n"/>
      <c r="J5" s="9" t="n"/>
      <c r="K5" s="9" t="n">
        <v>1687180</v>
      </c>
      <c r="L5" s="9" t="n">
        <v>1234776</v>
      </c>
      <c r="M5" s="9" t="n">
        <v>7229580</v>
      </c>
      <c r="N5" s="9">
        <f>SUM('Monthly Electricity (Overview)'!AA32:AA43)</f>
        <v/>
      </c>
      <c r="O5" s="9">
        <f>SUM('Monthly Electricity (Overview)'!Z32:Z43)</f>
        <v/>
      </c>
      <c r="P5" s="9" t="n">
        <v>7096181</v>
      </c>
      <c r="Q5" s="363">
        <f>SUM(B5:O5)</f>
        <v/>
      </c>
      <c r="R5" s="363">
        <f>Q5-L5</f>
        <v/>
      </c>
    </row>
    <row r="6" ht="16" customHeight="1">
      <c r="A6" s="367" t="inlineStr">
        <is>
          <t>2017/18</t>
        </is>
      </c>
      <c r="B6" s="9" t="n">
        <v>45714514</v>
      </c>
      <c r="C6" s="9" t="n">
        <v>16384824</v>
      </c>
      <c r="D6" s="9" t="n">
        <v>1804895</v>
      </c>
      <c r="E6" s="9" t="n">
        <v>5097362</v>
      </c>
      <c r="F6" s="9" t="n">
        <v>3326876</v>
      </c>
      <c r="G6" s="9" t="n">
        <v>2668682</v>
      </c>
      <c r="H6" s="9" t="n"/>
      <c r="I6" s="9" t="n"/>
      <c r="J6" s="9" t="n"/>
      <c r="K6" s="9" t="n">
        <v>1903435</v>
      </c>
      <c r="L6" s="9" t="n">
        <v>2016215</v>
      </c>
      <c r="M6" s="9" t="n">
        <v>6776467</v>
      </c>
      <c r="N6" s="9">
        <f>SUM('Monthly Electricity (Overview)'!AA44:AA55)</f>
        <v/>
      </c>
      <c r="O6" s="9">
        <f>SUM('Monthly Electricity (Overview)'!Z44:Z55)</f>
        <v/>
      </c>
      <c r="P6" s="9" t="n">
        <v>7273180</v>
      </c>
      <c r="Q6" s="363">
        <f>SUM(B6:O6)</f>
        <v/>
      </c>
      <c r="R6" s="363">
        <f>Q6-L6</f>
        <v/>
      </c>
    </row>
    <row r="7" ht="16" customHeight="1">
      <c r="A7" s="367" t="inlineStr">
        <is>
          <t>2018/19</t>
        </is>
      </c>
      <c r="B7" s="9" t="n">
        <v>45233408</v>
      </c>
      <c r="C7" s="9" t="n">
        <v>17377146</v>
      </c>
      <c r="D7" s="9" t="n">
        <v>1782046</v>
      </c>
      <c r="E7" s="9" t="n">
        <v>5130335</v>
      </c>
      <c r="F7" s="9" t="n">
        <v>3145915</v>
      </c>
      <c r="G7" s="9" t="n">
        <v>681596</v>
      </c>
      <c r="H7" s="9" t="n"/>
      <c r="I7" s="9" t="n"/>
      <c r="J7" s="9" t="n"/>
      <c r="K7" s="9" t="n">
        <v>1649404</v>
      </c>
      <c r="L7" s="9" t="n">
        <v>913798</v>
      </c>
      <c r="M7" s="9" t="n">
        <v>6477491</v>
      </c>
      <c r="N7" s="9">
        <f>SUM('Monthly Electricity (Overview)'!AA56:AA67)</f>
        <v/>
      </c>
      <c r="O7" s="9">
        <f>SUM('Monthly Electricity (Overview)'!Z56:Z67)</f>
        <v/>
      </c>
      <c r="P7" s="9" t="n">
        <v>7794955</v>
      </c>
      <c r="Q7" s="363">
        <f>SUM(B7:O7)</f>
        <v/>
      </c>
      <c r="R7" s="363">
        <f>Q7-L7</f>
        <v/>
      </c>
    </row>
    <row r="8" ht="16" customHeight="1">
      <c r="A8" s="367" t="inlineStr">
        <is>
          <t>2019/20</t>
        </is>
      </c>
      <c r="B8" s="9" t="n">
        <v>47175537</v>
      </c>
      <c r="C8" s="9" t="n">
        <v>14469480</v>
      </c>
      <c r="D8" s="9" t="n">
        <v>1734286</v>
      </c>
      <c r="E8" s="9" t="n">
        <v>4687192</v>
      </c>
      <c r="F8" s="9" t="n">
        <v>2809718</v>
      </c>
      <c r="G8" s="9" t="n">
        <v>645509</v>
      </c>
      <c r="H8" s="9" t="n"/>
      <c r="I8" s="9" t="n"/>
      <c r="J8" s="9" t="n"/>
      <c r="K8" s="9" t="n">
        <v>1315160</v>
      </c>
      <c r="L8" s="9" t="n">
        <v>870935</v>
      </c>
      <c r="M8" s="9" t="n">
        <v>5611932</v>
      </c>
      <c r="N8" s="9">
        <f>SUM('Monthly Electricity (Overview)'!AA68:AA79)</f>
        <v/>
      </c>
      <c r="O8" s="9">
        <f>SUM('Monthly Electricity (Overview)'!Z68:Z79)</f>
        <v/>
      </c>
      <c r="P8" s="9" t="n">
        <v>8033495</v>
      </c>
      <c r="Q8" s="363">
        <f>SUM(B8:O8)</f>
        <v/>
      </c>
      <c r="R8" s="363">
        <f>Q8-L8</f>
        <v/>
      </c>
    </row>
    <row r="9" ht="16" customHeight="1">
      <c r="A9" s="367" t="inlineStr">
        <is>
          <t>2020/21</t>
        </is>
      </c>
      <c r="B9" s="9">
        <f>SUM('Monthly Electricity Reformatted'!B2:B13)</f>
        <v/>
      </c>
      <c r="C9" s="9">
        <f>SUM('Monthly Electricity Reformatted'!C2:C13)</f>
        <v/>
      </c>
      <c r="D9" s="9">
        <f>SUM('Monthly Electricity Reformatted'!D2:D13)</f>
        <v/>
      </c>
      <c r="E9" s="9">
        <f>SUM('Monthly Electricity Reformatted'!E2:E13)</f>
        <v/>
      </c>
      <c r="F9" s="9">
        <f>SUM('Monthly Electricity Reformatted'!F2:F13)</f>
        <v/>
      </c>
      <c r="G9" s="9">
        <f>SUM('Monthly Electricity Reformatted'!G2:G13)</f>
        <v/>
      </c>
      <c r="H9" s="9" t="n"/>
      <c r="I9" s="9" t="n"/>
      <c r="J9" s="9" t="n"/>
      <c r="K9" s="9">
        <f>SUM('Monthly Electricity Reformatted'!K2:K13)</f>
        <v/>
      </c>
      <c r="L9" s="9">
        <f>SUM('Monthly Electricity Reformatted'!L2:L13)</f>
        <v/>
      </c>
      <c r="M9" s="9">
        <f>SUM('Monthly Electricity Reformatted'!M2:M13)</f>
        <v/>
      </c>
      <c r="N9" s="9">
        <f>SUM('Monthly Electricity Reformatted'!N2:N13)</f>
        <v/>
      </c>
      <c r="O9" s="9">
        <f>SUM('Monthly Electricity Reformatted'!O2:O13)</f>
        <v/>
      </c>
      <c r="P9" s="9">
        <f>SUM('Monthly Electricity Reformatted'!P2:P13)</f>
        <v/>
      </c>
      <c r="Q9" s="363">
        <f>SUM(B9:O9)</f>
        <v/>
      </c>
      <c r="R9" s="363">
        <f>Q9-L9</f>
        <v/>
      </c>
    </row>
    <row r="10" ht="16" customHeight="1">
      <c r="A10" s="367" t="inlineStr">
        <is>
          <t>2021/22</t>
        </is>
      </c>
      <c r="B10" s="9">
        <f>SUM('Monthly Electricity Reformatted'!B14:B25)</f>
        <v/>
      </c>
      <c r="C10" s="9">
        <f>SUM('Monthly Electricity Reformatted'!C14:C25)</f>
        <v/>
      </c>
      <c r="D10" s="9">
        <f>SUM('Monthly Electricity Reformatted'!D14:D25)</f>
        <v/>
      </c>
      <c r="E10" s="9">
        <f>SUM('Monthly Electricity Reformatted'!E14:E25)</f>
        <v/>
      </c>
      <c r="F10" s="9">
        <f>SUM('Monthly Electricity Reformatted'!F14:F25)</f>
        <v/>
      </c>
      <c r="G10" s="9">
        <f>SUM('Monthly Electricity Reformatted'!G14:G25)</f>
        <v/>
      </c>
      <c r="H10" s="9" t="n"/>
      <c r="I10" s="9" t="n"/>
      <c r="J10" s="9" t="n"/>
      <c r="K10" s="9">
        <f>SUM('Monthly Electricity Reformatted'!K14:K25)</f>
        <v/>
      </c>
      <c r="L10" s="9">
        <f>SUM('Monthly Electricity Reformatted'!L14:L25)</f>
        <v/>
      </c>
      <c r="M10" s="9">
        <f>SUM('Monthly Electricity Reformatted'!M14:M25)</f>
        <v/>
      </c>
      <c r="N10" s="9">
        <f>SUM('Monthly Electricity Reformatted'!N14:N25)</f>
        <v/>
      </c>
      <c r="O10" s="9">
        <f>SUM('Monthly Electricity Reformatted'!O14:O25)</f>
        <v/>
      </c>
      <c r="P10" s="9">
        <f>SUM('Monthly Electricity Reformatted'!P14:P25)</f>
        <v/>
      </c>
      <c r="Q10" s="363">
        <f>SUM(B10:O10)</f>
        <v/>
      </c>
      <c r="R10" s="363">
        <f>SUM('Monthly Electricity Reformatted'!R14:R25)</f>
        <v/>
      </c>
    </row>
    <row r="11" ht="16" customHeight="1">
      <c r="A11" s="367" t="inlineStr">
        <is>
          <t>2022/23</t>
        </is>
      </c>
      <c r="B11" s="9">
        <f>SUM('Monthly Electricity Reformatted'!B26:B37)</f>
        <v/>
      </c>
      <c r="C11" s="9">
        <f>SUM('Monthly Electricity Reformatted'!C26:C37)</f>
        <v/>
      </c>
      <c r="D11" s="9">
        <f>SUM('Monthly Electricity Reformatted'!D26:D37)</f>
        <v/>
      </c>
      <c r="E11" s="9">
        <f>SUM('Monthly Electricity Reformatted'!E26:E37)</f>
        <v/>
      </c>
      <c r="F11" s="9">
        <f>SUM('Monthly Electricity Reformatted'!F26:F37)</f>
        <v/>
      </c>
      <c r="G11" s="9">
        <f>SUM('Monthly Electricity Reformatted'!G26:G37)</f>
        <v/>
      </c>
      <c r="H11" s="9" t="n"/>
      <c r="I11" s="9" t="n"/>
      <c r="J11" s="9" t="n"/>
      <c r="K11" s="9">
        <f>SUM('Monthly Electricity Reformatted'!K26:K37)</f>
        <v/>
      </c>
      <c r="L11" s="9">
        <f>SUM('Monthly Electricity Reformatted'!L26:L37)</f>
        <v/>
      </c>
      <c r="M11" s="9">
        <f>SUM('Monthly Electricity Reformatted'!M26:M37)</f>
        <v/>
      </c>
      <c r="N11" s="9">
        <f>SUM('Monthly Electricity Reformatted'!N26:N37)</f>
        <v/>
      </c>
      <c r="O11" s="9">
        <f>SUM('Monthly Electricity Reformatted'!O26:O37)</f>
        <v/>
      </c>
      <c r="P11" s="9">
        <f>SUM('Monthly Electricity Reformatted'!P26:P37)</f>
        <v/>
      </c>
      <c r="Q11" s="363">
        <f>SUM(B11:O11)</f>
        <v/>
      </c>
      <c r="R11" s="363">
        <f>SUM('Monthly Electricity Reformatted'!R26:R37)</f>
        <v/>
      </c>
    </row>
    <row r="12" ht="16" customHeight="1">
      <c r="A12" s="367" t="inlineStr">
        <is>
          <t>2023/24</t>
        </is>
      </c>
      <c r="B12" s="9">
        <f>SUM('Monthly Electricity Reformatted'!B38:B49)</f>
        <v/>
      </c>
      <c r="C12" s="9">
        <f>SUM('Monthly Electricity Reformatted'!C38:C49)</f>
        <v/>
      </c>
      <c r="D12" s="9">
        <f>SUM('Monthly Electricity Reformatted'!D38:D49)</f>
        <v/>
      </c>
      <c r="E12" s="9">
        <f>SUM('Monthly Electricity Reformatted'!E38:E49)</f>
        <v/>
      </c>
      <c r="F12" s="9">
        <f>SUM('Monthly Electricity Reformatted'!F38:F49)</f>
        <v/>
      </c>
      <c r="G12" s="9">
        <f>SUM('Monthly Electricity Reformatted'!G38:G49)</f>
        <v/>
      </c>
      <c r="H12" s="9" t="n"/>
      <c r="I12" s="9">
        <f>SUM('Monthly Electricity Reformatted'!I38:I49)</f>
        <v/>
      </c>
      <c r="J12" s="9" t="n"/>
      <c r="K12" s="9">
        <f>SUM('Monthly Electricity Reformatted'!K38:K49)</f>
        <v/>
      </c>
      <c r="L12" s="9">
        <f>SUM('Monthly Electricity Reformatted'!L38:L49)</f>
        <v/>
      </c>
      <c r="M12" s="9">
        <f>SUM('Monthly Electricity Reformatted'!M38:M49)</f>
        <v/>
      </c>
      <c r="N12" s="9">
        <f>SUM('Monthly Electricity Reformatted'!N38:N49)</f>
        <v/>
      </c>
      <c r="O12" s="9">
        <f>SUM('Monthly Electricity Reformatted'!O38:O49)</f>
        <v/>
      </c>
      <c r="P12" s="9">
        <f>SUM('Monthly Electricity Reformatted'!P38:P49)</f>
        <v/>
      </c>
      <c r="Q12" s="363">
        <f>SUM(B12:O12)</f>
        <v/>
      </c>
      <c r="R12" s="363">
        <f>SUM('Monthly Electricity Reformatted'!R38:R49)</f>
        <v/>
      </c>
    </row>
    <row r="13" ht="16" customHeight="1">
      <c r="A13" s="367" t="inlineStr">
        <is>
          <t>2024/25</t>
        </is>
      </c>
      <c r="B13" s="9">
        <f>SUM('Monthly Electricity Reformatted'!B50:B61)</f>
        <v/>
      </c>
      <c r="C13" s="9">
        <f>SUM('Monthly Electricity Reformatted'!C50:C61)</f>
        <v/>
      </c>
      <c r="D13" s="9">
        <f>SUM('Monthly Electricity Reformatted'!D50:D61)</f>
        <v/>
      </c>
      <c r="E13" s="9">
        <f>SUM('Monthly Electricity Reformatted'!E50:E61)</f>
        <v/>
      </c>
      <c r="F13" s="9">
        <f>SUM('Monthly Electricity Reformatted'!F50:F61)</f>
        <v/>
      </c>
      <c r="G13" s="9">
        <f>SUM('Monthly Electricity Reformatted'!G50:G61)</f>
        <v/>
      </c>
      <c r="H13" s="9" t="n"/>
      <c r="I13" s="9">
        <f>SUM('Monthly Electricity Reformatted'!I50:I61)</f>
        <v/>
      </c>
      <c r="J13" s="9">
        <f>SUM('Monthly Electricity Reformatted'!J50:J61)</f>
        <v/>
      </c>
      <c r="K13" s="9">
        <f>SUM('Monthly Electricity Reformatted'!K50:K61)</f>
        <v/>
      </c>
      <c r="L13" s="9">
        <f>SUM('Monthly Electricity Reformatted'!L50:L61)</f>
        <v/>
      </c>
      <c r="M13" s="9">
        <f>SUM('Monthly Electricity Reformatted'!M50:M61)</f>
        <v/>
      </c>
      <c r="N13" s="9">
        <f>SUM('Monthly Electricity Reformatted'!N50:N61)</f>
        <v/>
      </c>
      <c r="O13" s="9">
        <f>SUM('Monthly Electricity Reformatted'!O50:O61)</f>
        <v/>
      </c>
      <c r="P13" s="9">
        <f>SUM('Monthly Electricity Reformatted'!P50:P61)</f>
        <v/>
      </c>
      <c r="Q13" s="363">
        <f>SUM(B13:O13)</f>
        <v/>
      </c>
      <c r="R13" s="363">
        <f>SUM('Monthly Electricity Reformatted'!R50:R61)</f>
        <v/>
      </c>
    </row>
    <row r="14" ht="15" customHeight="1">
      <c r="A14" s="521" t="inlineStr">
        <is>
          <t>2025/26</t>
        </is>
      </c>
      <c r="B14" s="364">
        <f>SUM('Monthly Electricity Reformatted'!B62:B73)</f>
        <v/>
      </c>
      <c r="C14" s="364">
        <f>SUM('Monthly Electricity Reformatted'!C62:C73)</f>
        <v/>
      </c>
      <c r="D14" s="364">
        <f>SUM('Monthly Electricity Reformatted'!D62:D73)</f>
        <v/>
      </c>
      <c r="E14" s="364">
        <f>SUM('Monthly Electricity Reformatted'!E62:E73)</f>
        <v/>
      </c>
      <c r="F14" s="364">
        <f>SUM('Monthly Electricity Reformatted'!F62:F73)</f>
        <v/>
      </c>
      <c r="G14" s="364">
        <f>SUM('Monthly Electricity Reformatted'!G62:G73)</f>
        <v/>
      </c>
      <c r="H14" s="364">
        <f>SUM('Monthly Electricity Reformatted'!H62:H73)</f>
        <v/>
      </c>
      <c r="I14" s="364">
        <f>SUM('Monthly Electricity Reformatted'!I62:I73)</f>
        <v/>
      </c>
      <c r="J14" s="364">
        <f>SUM('Monthly Electricity Reformatted'!J62:J73)</f>
        <v/>
      </c>
      <c r="K14" s="364">
        <f>SUM('Monthly Electricity Reformatted'!K62:K73)</f>
        <v/>
      </c>
      <c r="L14" s="364">
        <f>SUM('Monthly Electricity Reformatted'!L62:L73)</f>
        <v/>
      </c>
      <c r="M14" s="364">
        <f>SUM('Monthly Electricity Reformatted'!M62:M73)</f>
        <v/>
      </c>
      <c r="N14" s="364">
        <f>SUM('Monthly Electricity Reformatted'!N62:N73)</f>
        <v/>
      </c>
      <c r="O14" s="364">
        <f>SUM('Monthly Electricity Reformatted'!O62:O73)</f>
        <v/>
      </c>
      <c r="P14" s="364">
        <f>SUM('Monthly Electricity Reformatted'!P62:P73)</f>
        <v/>
      </c>
      <c r="Q14" s="364">
        <f>SUM('Monthly Electricity Reformatted'!Q62:Q73)</f>
        <v/>
      </c>
      <c r="R14" s="364">
        <f>SUM('Monthly Electricity Reformatted'!R62:R73)</f>
        <v/>
      </c>
    </row>
    <row r="15" ht="15" customHeight="1">
      <c r="Q15" s="9" t="n"/>
    </row>
    <row r="16" ht="15" customHeight="1"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411" t="n"/>
      <c r="N16" s="139" t="n"/>
      <c r="O16" s="139" t="n"/>
      <c r="P16" s="9" t="n"/>
      <c r="Q16" s="139" t="n"/>
      <c r="R16" s="9" t="n"/>
    </row>
    <row r="17" ht="15" customHeight="1">
      <c r="Q17" s="139" t="n"/>
    </row>
    <row r="20" ht="15" customFormat="1" customHeight="1" s="696">
      <c r="A20" s="697" t="inlineStr">
        <is>
          <t>% total elec</t>
        </is>
      </c>
      <c r="B20" s="696">
        <f>B13/$Q$13</f>
        <v/>
      </c>
      <c r="C20" s="696">
        <f>C13/$Q$13</f>
        <v/>
      </c>
      <c r="D20" s="696">
        <f>D13/$Q$13</f>
        <v/>
      </c>
      <c r="E20" s="696">
        <f>E13/$Q$13</f>
        <v/>
      </c>
      <c r="F20" s="696">
        <f>F13/$Q$13</f>
        <v/>
      </c>
      <c r="G20" s="696">
        <f>G13/$Q$13</f>
        <v/>
      </c>
      <c r="J20" s="696">
        <f>J13/$Q$13</f>
        <v/>
      </c>
      <c r="K20" s="696">
        <f>K13/$Q$13</f>
        <v/>
      </c>
      <c r="L20" s="696">
        <f>L13/$Q$13</f>
        <v/>
      </c>
      <c r="M20" s="696">
        <f>M13/$Q$13</f>
        <v/>
      </c>
      <c r="N20" s="696">
        <f>P13/$Q$13</f>
        <v/>
      </c>
    </row>
    <row r="21" ht="15" customHeight="1">
      <c r="A21" s="368" t="inlineStr">
        <is>
          <t>% of scope 2</t>
        </is>
      </c>
      <c r="B21" s="696">
        <f>B20*'Scope 2'!$N$8</f>
        <v/>
      </c>
      <c r="C21" s="696">
        <f>C20*'Scope 2'!$N$8</f>
        <v/>
      </c>
      <c r="D21" s="696">
        <f>D20*'Scope 2'!$N$8</f>
        <v/>
      </c>
      <c r="E21" s="696">
        <f>E20*'Scope 2'!$N$8</f>
        <v/>
      </c>
      <c r="F21" s="696">
        <f>F20*'Scope 2'!$N$8</f>
        <v/>
      </c>
      <c r="G21" s="696">
        <f>G20*'Scope 2'!$N$8</f>
        <v/>
      </c>
      <c r="H21" s="696" t="n"/>
      <c r="I21" s="696" t="n"/>
      <c r="J21" s="696">
        <f>J20*'Scope 2'!$N$8</f>
        <v/>
      </c>
      <c r="K21" s="696">
        <f>K20*'Scope 2'!$N$8</f>
        <v/>
      </c>
      <c r="L21" s="696">
        <f>L20*'Scope 2'!$N$8</f>
        <v/>
      </c>
      <c r="M21" s="696">
        <f>M20*'Scope 2'!$N$8</f>
        <v/>
      </c>
      <c r="N21" s="696">
        <f>N20*'Scope 2'!$N$8</f>
        <v/>
      </c>
      <c r="O21" s="696" t="n"/>
      <c r="P21" s="696" t="n"/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xSplit="1" ySplit="1" topLeftCell="AF40" activePane="bottomRight" state="frozen"/>
      <selection pane="topRight" activeCell="B1" sqref="B1"/>
      <selection pane="bottomLeft" activeCell="A2" sqref="A2"/>
      <selection pane="bottomRight" activeCell="AL61" sqref="AL61"/>
    </sheetView>
  </sheetViews>
  <sheetFormatPr baseColWidth="10" defaultColWidth="10.6640625" defaultRowHeight="16"/>
  <cols>
    <col width="10.6640625" customWidth="1" style="18" min="1" max="1"/>
    <col width="29.5" customWidth="1" style="55" min="2" max="3"/>
    <col width="10.83203125" customWidth="1" style="55" min="4" max="4"/>
    <col width="15.6640625" customWidth="1" style="55" min="5" max="6"/>
    <col width="10.83203125" customWidth="1" style="55" min="7" max="7"/>
    <col width="15.6640625" customWidth="1" style="55" min="8" max="9"/>
    <col width="10.83203125" customWidth="1" style="55" min="10" max="10"/>
    <col width="15.6640625" customWidth="1" style="55" min="11" max="12"/>
    <col width="10.83203125" customWidth="1" style="55" min="13" max="13"/>
    <col width="15.6640625" customWidth="1" style="55" min="14" max="15"/>
    <col width="10.83203125" customWidth="1" style="55" min="16" max="16"/>
    <col width="15.6640625" customWidth="1" style="55" min="17" max="18"/>
    <col width="10.83203125" customWidth="1" style="55" min="19" max="19"/>
    <col width="15.6640625" customWidth="1" style="55" min="20" max="21"/>
    <col width="10.83203125" customWidth="1" style="55" min="22" max="22"/>
    <col width="15.6640625" customWidth="1" style="55" min="23" max="24"/>
    <col width="10.83203125" customWidth="1" style="55" min="25" max="25"/>
    <col width="22.1640625" customWidth="1" style="55" min="26" max="26"/>
    <col width="15.6640625" customWidth="1" style="55" min="27" max="28"/>
    <col width="10.83203125" customWidth="1" style="55" min="29" max="29"/>
    <col width="28" customWidth="1" style="55" min="30" max="31"/>
    <col width="10.83203125" customWidth="1" style="55" min="32" max="32"/>
    <col width="30.6640625" customWidth="1" style="55" min="33" max="35"/>
    <col width="10.83203125" customWidth="1" style="55" min="36" max="36"/>
    <col width="15.6640625" customWidth="1" style="55" min="37" max="37"/>
    <col width="20.6640625" customWidth="1" style="55" min="38" max="38"/>
    <col width="12.6640625" bestFit="1" customWidth="1" style="55" min="39" max="39"/>
    <col width="10.6640625" customWidth="1" style="55" min="40" max="16384"/>
  </cols>
  <sheetData>
    <row r="1" ht="34" customHeight="1">
      <c r="A1" s="132" t="inlineStr">
        <is>
          <t>Period</t>
        </is>
      </c>
      <c r="B1" s="65" t="inlineStr">
        <is>
          <t xml:space="preserve">Main Academic Buildings and Others </t>
        </is>
      </c>
      <c r="C1" s="525" t="inlineStr">
        <is>
          <t xml:space="preserve">Main Academic Buildings and Others </t>
        </is>
      </c>
      <c r="D1" s="671" t="n"/>
      <c r="E1" s="65" t="inlineStr">
        <is>
          <t>Main Chiller Plant</t>
        </is>
      </c>
      <c r="F1" s="525" t="inlineStr">
        <is>
          <t>Main Chiller Plant</t>
        </is>
      </c>
      <c r="G1" s="671" t="n"/>
      <c r="H1" s="65" t="inlineStr">
        <is>
          <t>LSK Chiller Plant</t>
        </is>
      </c>
      <c r="I1" s="525" t="inlineStr">
        <is>
          <t>LSK Chiller Plant</t>
        </is>
      </c>
      <c r="J1" s="671" t="n"/>
      <c r="K1" s="65" t="inlineStr">
        <is>
          <t>Cheng Yu Tung Building</t>
        </is>
      </c>
      <c r="L1" s="525" t="inlineStr">
        <is>
          <t>Cheng Yu Tung Building</t>
        </is>
      </c>
      <c r="M1" s="671" t="n"/>
      <c r="N1" s="65" t="inlineStr">
        <is>
          <t>LSK Building</t>
        </is>
      </c>
      <c r="O1" s="525" t="inlineStr">
        <is>
          <t>LSK Building</t>
        </is>
      </c>
      <c r="P1" s="671" t="n"/>
      <c r="Q1" s="65" t="inlineStr">
        <is>
          <t>IAS Building</t>
        </is>
      </c>
      <c r="R1" s="525" t="inlineStr">
        <is>
          <t>IAS Building</t>
        </is>
      </c>
      <c r="S1" s="671" t="n"/>
      <c r="T1" s="65" t="inlineStr">
        <is>
          <t>Innovation Building</t>
        </is>
      </c>
      <c r="U1" s="525" t="inlineStr">
        <is>
          <t>Innovation Building</t>
        </is>
      </c>
      <c r="V1" s="526" t="n"/>
      <c r="W1" s="65" t="inlineStr">
        <is>
          <t>Conference Lodge</t>
        </is>
      </c>
      <c r="X1" s="525" t="inlineStr">
        <is>
          <t>Conference Lodge</t>
        </is>
      </c>
      <c r="Y1" s="671" t="n"/>
      <c r="Z1" s="65" t="inlineStr">
        <is>
          <t>Staff Quarter Common Area</t>
        </is>
      </c>
      <c r="AA1" s="65" t="inlineStr">
        <is>
          <t>Student Housing</t>
        </is>
      </c>
      <c r="AB1" s="525" t="inlineStr">
        <is>
          <t>Student Housing</t>
        </is>
      </c>
      <c r="AC1" s="671" t="n"/>
      <c r="AD1" s="65" t="inlineStr">
        <is>
          <t>Staff Quarters &amp; Commercial Outlet</t>
        </is>
      </c>
      <c r="AE1" s="525" t="inlineStr">
        <is>
          <t>Staff Quarters &amp; Commercial Outlet</t>
        </is>
      </c>
      <c r="AF1" s="671" t="n"/>
      <c r="AG1" s="65" t="inlineStr">
        <is>
          <t>Whole Campus (including staff quarter common area)</t>
        </is>
      </c>
      <c r="AH1" s="65" t="inlineStr">
        <is>
          <t>Whole Campus (excluding staff quarter common area)</t>
        </is>
      </c>
      <c r="AI1" s="525" t="inlineStr">
        <is>
          <t>Whole Campus (excluding staff quarter common area)</t>
        </is>
      </c>
      <c r="AK1" s="55" t="inlineStr">
        <is>
          <t>Difference</t>
        </is>
      </c>
    </row>
    <row r="2" ht="17" customHeight="1">
      <c r="A2" s="314" t="n">
        <v>44013</v>
      </c>
      <c r="B2" s="56">
        <f>'Monthly Electricity (Overview)'!B80-'Monthly Electricity (Overview)'!E80-SUM('Monthly Electricity (Overview)'!I80:N80)-SUM('Monthly Electricity (Overview)'!X80:Y80)+'Monthly Electricity (Overview)'!AD80</f>
        <v/>
      </c>
      <c r="C2" s="56">
        <f>'Monthly Electricity (Overview)'!B80-'Monthly Electricity (Overview)'!E80-SUM('Monthly Electricity (Overview)'!I80:N80)-SUM('Monthly Electricity (Overview)'!T80:Y80)</f>
        <v/>
      </c>
      <c r="D2" s="672">
        <f>IF(B2=C2,"/")</f>
        <v/>
      </c>
      <c r="E2" s="56">
        <f>'Monthly Electricity (Overview)'!I80</f>
        <v/>
      </c>
      <c r="F2" s="56">
        <f>'Monthly Electricity (Overview)'!I80</f>
        <v/>
      </c>
      <c r="G2" s="672">
        <f>IF(E2=F2,"/")</f>
        <v/>
      </c>
      <c r="H2" s="56">
        <f>'Monthly Electricity (Overview)'!N80</f>
        <v/>
      </c>
      <c r="I2" s="56">
        <f>'Monthly Electricity (Overview)'!N80</f>
        <v/>
      </c>
      <c r="J2" s="672">
        <f>IF(H2=I2,"/")</f>
        <v/>
      </c>
      <c r="K2" s="56">
        <f>'Monthly Electricity (Overview)'!E80</f>
        <v/>
      </c>
      <c r="L2" s="56">
        <f>'Monthly Electricity (Overview)'!E80</f>
        <v/>
      </c>
      <c r="M2" s="672">
        <f>IF(K2=L2,"/")</f>
        <v/>
      </c>
      <c r="N2" s="56">
        <f>'Monthly Electricity (Overview)'!J80</f>
        <v/>
      </c>
      <c r="O2" s="56">
        <f>'Monthly Electricity (Overview)'!J80</f>
        <v/>
      </c>
      <c r="P2" s="672">
        <f>IF(N2=O2,"/")</f>
        <v/>
      </c>
      <c r="Q2" s="56">
        <f>'Monthly Electricity (Overview)'!K80</f>
        <v/>
      </c>
      <c r="R2" s="56">
        <f>'Monthly Electricity (Overview)'!K80</f>
        <v/>
      </c>
      <c r="S2" s="672">
        <f>IF(Q2=R2,"/")</f>
        <v/>
      </c>
      <c r="T2" s="56" t="n"/>
      <c r="U2" s="56" t="n"/>
      <c r="V2" s="672">
        <f>IF(T2=U2,"/")</f>
        <v/>
      </c>
      <c r="W2" s="56">
        <f>'Monthly Electricity (Overview)'!L80</f>
        <v/>
      </c>
      <c r="X2" s="56">
        <f>'Monthly Electricity (Overview)'!L80</f>
        <v/>
      </c>
      <c r="Y2" s="672">
        <f>IF(W2=X2,"/")</f>
        <v/>
      </c>
      <c r="Z2" s="14" t="n">
        <v>99693</v>
      </c>
      <c r="AA2" s="56">
        <f>'Monthly Electricity (Overview)'!X80</f>
        <v/>
      </c>
      <c r="AB2" s="56">
        <f>SUM('Monthly Electricity (Overview)'!U80:X80)+'Monthly Electricity (Overview)'!AC80</f>
        <v/>
      </c>
      <c r="AC2" s="672">
        <f>IF(AA2=AB2,"/")</f>
        <v/>
      </c>
      <c r="AD2" s="56">
        <f>'Monthly Electricity (Overview)'!Y80</f>
        <v/>
      </c>
      <c r="AE2" s="56">
        <f>'Monthly Electricity (Overview)'!Y80</f>
        <v/>
      </c>
      <c r="AF2" s="672">
        <f>IF(AD2=AE2,"/")</f>
        <v/>
      </c>
      <c r="AG2" s="56">
        <f>SUM(B2,E2,H2,K2,N2,Q2,W2,AA2,AD2,Z2)</f>
        <v/>
      </c>
      <c r="AH2" s="56">
        <f>SUM(B2,E2,H2,K2,N2,Q2,W2,AA2,AD2)</f>
        <v/>
      </c>
      <c r="AI2" s="56">
        <f>SUM(C2,F2,I2,L2,O2,R2,U2,X2,AB2, AE2)</f>
        <v/>
      </c>
      <c r="AJ2" s="672">
        <f>IF(AH2=AI2,"/")</f>
        <v/>
      </c>
      <c r="AK2" s="56">
        <f>AH2-AI2</f>
        <v/>
      </c>
    </row>
    <row r="3" ht="17" customHeight="1">
      <c r="A3" s="314" t="n">
        <v>44044</v>
      </c>
      <c r="B3" s="56">
        <f>'Monthly Electricity (Overview)'!B81-'Monthly Electricity (Overview)'!E81-SUM('Monthly Electricity (Overview)'!I81:N81)-SUM('Monthly Electricity (Overview)'!X81:Y81)+'Monthly Electricity (Overview)'!AD81</f>
        <v/>
      </c>
      <c r="C3" s="56">
        <f>'Monthly Electricity (Overview)'!B81-'Monthly Electricity (Overview)'!E81-SUM('Monthly Electricity (Overview)'!I81:N81)-SUM('Monthly Electricity (Overview)'!T81:Y81)</f>
        <v/>
      </c>
      <c r="D3" s="672">
        <f>IF(B3=C3,"/")</f>
        <v/>
      </c>
      <c r="E3" s="56">
        <f>'Monthly Electricity (Overview)'!I81</f>
        <v/>
      </c>
      <c r="F3" s="56">
        <f>'Monthly Electricity (Overview)'!I81</f>
        <v/>
      </c>
      <c r="G3" s="672">
        <f>IF(E3=F3,"/")</f>
        <v/>
      </c>
      <c r="H3" s="56">
        <f>'Monthly Electricity (Overview)'!N81</f>
        <v/>
      </c>
      <c r="I3" s="56">
        <f>'Monthly Electricity (Overview)'!N81</f>
        <v/>
      </c>
      <c r="J3" s="672">
        <f>IF(H3=I3,"/")</f>
        <v/>
      </c>
      <c r="K3" s="56">
        <f>'Monthly Electricity (Overview)'!E81</f>
        <v/>
      </c>
      <c r="L3" s="56">
        <f>'Monthly Electricity (Overview)'!E81</f>
        <v/>
      </c>
      <c r="M3" s="672">
        <f>IF(K3=L3,"/")</f>
        <v/>
      </c>
      <c r="N3" s="56">
        <f>'Monthly Electricity (Overview)'!J81</f>
        <v/>
      </c>
      <c r="O3" s="56">
        <f>'Monthly Electricity (Overview)'!J81</f>
        <v/>
      </c>
      <c r="P3" s="672">
        <f>IF(N3=O3,"/")</f>
        <v/>
      </c>
      <c r="Q3" s="56">
        <f>'Monthly Electricity (Overview)'!K81</f>
        <v/>
      </c>
      <c r="R3" s="56">
        <f>'Monthly Electricity (Overview)'!K81</f>
        <v/>
      </c>
      <c r="S3" s="672">
        <f>IF(Q3=R3,"/")</f>
        <v/>
      </c>
      <c r="T3" s="56" t="n"/>
      <c r="U3" s="56" t="n"/>
      <c r="V3" s="672">
        <f>IF(T3=U3,"/")</f>
        <v/>
      </c>
      <c r="W3" s="56">
        <f>'Monthly Electricity (Overview)'!L81</f>
        <v/>
      </c>
      <c r="X3" s="56">
        <f>'Monthly Electricity (Overview)'!L81</f>
        <v/>
      </c>
      <c r="Y3" s="672">
        <f>IF(W3=X3,"/")</f>
        <v/>
      </c>
      <c r="Z3" s="14" t="n">
        <v>111077</v>
      </c>
      <c r="AA3" s="56">
        <f>'Monthly Electricity (Overview)'!X81+'Monthly Electricity (Overview)'!W81+'Monthly Electricity (Overview)'!AC81</f>
        <v/>
      </c>
      <c r="AB3" s="56">
        <f>SUM('Monthly Electricity (Overview)'!U81:X81)+'Monthly Electricity (Overview)'!AC81</f>
        <v/>
      </c>
      <c r="AC3" s="672">
        <f>IF(AA3=AB3,"/")</f>
        <v/>
      </c>
      <c r="AD3" s="56">
        <f>'Monthly Electricity (Overview)'!Y81</f>
        <v/>
      </c>
      <c r="AE3" s="56">
        <f>'Monthly Electricity (Overview)'!Y81</f>
        <v/>
      </c>
      <c r="AF3" s="672">
        <f>IF(AD3=AE3,"/")</f>
        <v/>
      </c>
      <c r="AG3" s="56">
        <f>SUM(B3,E3,H3,K3,N3,Q3,W3,AA3,AD3,Z3)</f>
        <v/>
      </c>
      <c r="AH3" s="56">
        <f>SUM(B3,E3,H3,K3,N3,Q3,W3,AA3,AD3)</f>
        <v/>
      </c>
      <c r="AI3" s="56">
        <f>SUM(C3,F3,I3,L3,O3,R3,U3,X3,AB3, AE3)</f>
        <v/>
      </c>
      <c r="AJ3" s="672">
        <f>IF(AH3=AI3,"/")</f>
        <v/>
      </c>
      <c r="AK3" s="56">
        <f>AH3-AI3</f>
        <v/>
      </c>
    </row>
    <row r="4" ht="17" customHeight="1">
      <c r="A4" s="314" t="n">
        <v>44075</v>
      </c>
      <c r="B4" s="56">
        <f>'Monthly Electricity (Overview)'!B82-'Monthly Electricity (Overview)'!E82-SUM('Monthly Electricity (Overview)'!I82:N82)-SUM('Monthly Electricity (Overview)'!X82:Y82)+'Monthly Electricity (Overview)'!AD82</f>
        <v/>
      </c>
      <c r="C4" s="56">
        <f>'Monthly Electricity (Overview)'!B82-'Monthly Electricity (Overview)'!E82-SUM('Monthly Electricity (Overview)'!I82:N82)-SUM('Monthly Electricity (Overview)'!T82:Y82)</f>
        <v/>
      </c>
      <c r="D4" s="672">
        <f>IF(B4=C4,"/")</f>
        <v/>
      </c>
      <c r="E4" s="56">
        <f>'Monthly Electricity (Overview)'!I82</f>
        <v/>
      </c>
      <c r="F4" s="56">
        <f>'Monthly Electricity (Overview)'!I82</f>
        <v/>
      </c>
      <c r="G4" s="672">
        <f>IF(E4=F4,"/")</f>
        <v/>
      </c>
      <c r="H4" s="56">
        <f>'Monthly Electricity (Overview)'!N82</f>
        <v/>
      </c>
      <c r="I4" s="56">
        <f>'Monthly Electricity (Overview)'!N82</f>
        <v/>
      </c>
      <c r="J4" s="672">
        <f>IF(H4=I4,"/")</f>
        <v/>
      </c>
      <c r="K4" s="56">
        <f>'Monthly Electricity (Overview)'!E82</f>
        <v/>
      </c>
      <c r="L4" s="56">
        <f>'Monthly Electricity (Overview)'!E82</f>
        <v/>
      </c>
      <c r="M4" s="672">
        <f>IF(K4=L4,"/")</f>
        <v/>
      </c>
      <c r="N4" s="56">
        <f>'Monthly Electricity (Overview)'!J82</f>
        <v/>
      </c>
      <c r="O4" s="56">
        <f>'Monthly Electricity (Overview)'!J82</f>
        <v/>
      </c>
      <c r="P4" s="672">
        <f>IF(N4=O4,"/")</f>
        <v/>
      </c>
      <c r="Q4" s="56">
        <f>'Monthly Electricity (Overview)'!K82</f>
        <v/>
      </c>
      <c r="R4" s="56">
        <f>'Monthly Electricity (Overview)'!K82</f>
        <v/>
      </c>
      <c r="S4" s="672">
        <f>IF(Q4=R4,"/")</f>
        <v/>
      </c>
      <c r="T4" s="56" t="n"/>
      <c r="U4" s="56" t="n"/>
      <c r="V4" s="672">
        <f>IF(T4=U4,"/")</f>
        <v/>
      </c>
      <c r="W4" s="56">
        <f>'Monthly Electricity (Overview)'!L82</f>
        <v/>
      </c>
      <c r="X4" s="56">
        <f>'Monthly Electricity (Overview)'!L82</f>
        <v/>
      </c>
      <c r="Y4" s="672">
        <f>IF(W4=X4,"/")</f>
        <v/>
      </c>
      <c r="Z4" s="14" t="n">
        <v>124553</v>
      </c>
      <c r="AA4" s="56">
        <f>'Monthly Electricity (Overview)'!X82+'Monthly Electricity (Overview)'!W82+'Monthly Electricity (Overview)'!AC82</f>
        <v/>
      </c>
      <c r="AB4" s="56">
        <f>SUM('Monthly Electricity (Overview)'!U82:X82)+'Monthly Electricity (Overview)'!AC82</f>
        <v/>
      </c>
      <c r="AC4" s="672">
        <f>IF(AA4=AB4,"/")</f>
        <v/>
      </c>
      <c r="AD4" s="56">
        <f>'Monthly Electricity (Overview)'!Y82</f>
        <v/>
      </c>
      <c r="AE4" s="56">
        <f>'Monthly Electricity (Overview)'!Y82</f>
        <v/>
      </c>
      <c r="AF4" s="672">
        <f>IF(AD4=AE4,"/")</f>
        <v/>
      </c>
      <c r="AG4" s="56">
        <f>SUM(B4,E4,H4,K4,N4,Q4,W4,AA4,AD4,Z4)</f>
        <v/>
      </c>
      <c r="AH4" s="56">
        <f>SUM(B4,E4,H4,K4,N4,Q4,W4,AA4,AD4)</f>
        <v/>
      </c>
      <c r="AI4" s="56">
        <f>SUM(C4,F4,I4,L4,O4,R4,U4,X4,AB4, AE4)</f>
        <v/>
      </c>
      <c r="AJ4" s="672">
        <f>IF(AH4=AI4,"/")</f>
        <v/>
      </c>
      <c r="AK4" s="56">
        <f>AH4-AI4</f>
        <v/>
      </c>
    </row>
    <row r="5" ht="17" customHeight="1">
      <c r="A5" s="314" t="n">
        <v>44105</v>
      </c>
      <c r="B5" s="56">
        <f>'Monthly Electricity (Overview)'!B83-'Monthly Electricity (Overview)'!E83-SUM('Monthly Electricity (Overview)'!I83:N83)-SUM('Monthly Electricity (Overview)'!X83:Y83)+'Monthly Electricity (Overview)'!AD83</f>
        <v/>
      </c>
      <c r="C5" s="56">
        <f>'Monthly Electricity (Overview)'!B83-'Monthly Electricity (Overview)'!E83-SUM('Monthly Electricity (Overview)'!I83:N83)-SUM('Monthly Electricity (Overview)'!T83:Y83)</f>
        <v/>
      </c>
      <c r="D5" s="672">
        <f>IF(B5=C5,"/")</f>
        <v/>
      </c>
      <c r="E5" s="56">
        <f>'Monthly Electricity (Overview)'!I83</f>
        <v/>
      </c>
      <c r="F5" s="56">
        <f>'Monthly Electricity (Overview)'!I83</f>
        <v/>
      </c>
      <c r="G5" s="672">
        <f>IF(E5=F5,"/")</f>
        <v/>
      </c>
      <c r="H5" s="56">
        <f>'Monthly Electricity (Overview)'!N83</f>
        <v/>
      </c>
      <c r="I5" s="56">
        <f>'Monthly Electricity (Overview)'!N83</f>
        <v/>
      </c>
      <c r="J5" s="672">
        <f>IF(H5=I5,"/")</f>
        <v/>
      </c>
      <c r="K5" s="56">
        <f>'Monthly Electricity (Overview)'!E83</f>
        <v/>
      </c>
      <c r="L5" s="56">
        <f>'Monthly Electricity (Overview)'!E83</f>
        <v/>
      </c>
      <c r="M5" s="672">
        <f>IF(K5=L5,"/")</f>
        <v/>
      </c>
      <c r="N5" s="56">
        <f>'Monthly Electricity (Overview)'!J83</f>
        <v/>
      </c>
      <c r="O5" s="56">
        <f>'Monthly Electricity (Overview)'!J83</f>
        <v/>
      </c>
      <c r="P5" s="672">
        <f>IF(N5=O5,"/")</f>
        <v/>
      </c>
      <c r="Q5" s="56">
        <f>'Monthly Electricity (Overview)'!K83</f>
        <v/>
      </c>
      <c r="R5" s="56">
        <f>'Monthly Electricity (Overview)'!K83</f>
        <v/>
      </c>
      <c r="S5" s="672">
        <f>IF(Q5=R5,"/")</f>
        <v/>
      </c>
      <c r="T5" s="56" t="n"/>
      <c r="U5" s="56" t="n"/>
      <c r="V5" s="672">
        <f>IF(T5=U5,"/")</f>
        <v/>
      </c>
      <c r="W5" s="56">
        <f>'Monthly Electricity (Overview)'!L83</f>
        <v/>
      </c>
      <c r="X5" s="56">
        <f>'Monthly Electricity (Overview)'!L83</f>
        <v/>
      </c>
      <c r="Y5" s="672">
        <f>IF(W5=X5,"/")</f>
        <v/>
      </c>
      <c r="Z5" s="14" t="n">
        <v>81463</v>
      </c>
      <c r="AA5" s="56">
        <f>'Monthly Electricity (Overview)'!X83+'Monthly Electricity (Overview)'!W83+'Monthly Electricity (Overview)'!AC83</f>
        <v/>
      </c>
      <c r="AB5" s="56">
        <f>SUM('Monthly Electricity (Overview)'!U83:X83)+'Monthly Electricity (Overview)'!AC83</f>
        <v/>
      </c>
      <c r="AC5" s="672">
        <f>IF(AA5=AB5,"/")</f>
        <v/>
      </c>
      <c r="AD5" s="56">
        <f>'Monthly Electricity (Overview)'!Y83</f>
        <v/>
      </c>
      <c r="AE5" s="56">
        <f>'Monthly Electricity (Overview)'!Y83</f>
        <v/>
      </c>
      <c r="AF5" s="672">
        <f>IF(AD5=AE5,"/")</f>
        <v/>
      </c>
      <c r="AG5" s="56">
        <f>SUM(B5,E5,H5,K5,N5,Q5,W5,AA5,AD5,Z5)</f>
        <v/>
      </c>
      <c r="AH5" s="56">
        <f>SUM(B5,E5,H5,K5,N5,Q5,W5,AA5,AD5)</f>
        <v/>
      </c>
      <c r="AI5" s="56">
        <f>SUM(C5,F5,I5,L5,O5,R5,U5,X5,AB5, AE5)</f>
        <v/>
      </c>
      <c r="AJ5" s="672">
        <f>IF(AH5=AI5,"/")</f>
        <v/>
      </c>
      <c r="AK5" s="56">
        <f>AH5-AI5</f>
        <v/>
      </c>
    </row>
    <row r="6" ht="17" customHeight="1">
      <c r="A6" s="314" t="n">
        <v>44136</v>
      </c>
      <c r="B6" s="56">
        <f>'Monthly Electricity (Overview)'!B84-'Monthly Electricity (Overview)'!E84-SUM('Monthly Electricity (Overview)'!I84:N84)-SUM('Monthly Electricity (Overview)'!X84:Y84)+'Monthly Electricity (Overview)'!AD84</f>
        <v/>
      </c>
      <c r="C6" s="56">
        <f>'Monthly Electricity (Overview)'!B84-'Monthly Electricity (Overview)'!E84-SUM('Monthly Electricity (Overview)'!I84:N84)-SUM('Monthly Electricity (Overview)'!T84:Y84)</f>
        <v/>
      </c>
      <c r="D6" s="672">
        <f>IF(B6=C6,"/")</f>
        <v/>
      </c>
      <c r="E6" s="56">
        <f>'Monthly Electricity (Overview)'!I84</f>
        <v/>
      </c>
      <c r="F6" s="56">
        <f>'Monthly Electricity (Overview)'!I84</f>
        <v/>
      </c>
      <c r="G6" s="672">
        <f>IF(E6=F6,"/")</f>
        <v/>
      </c>
      <c r="H6" s="56">
        <f>'Monthly Electricity (Overview)'!N84</f>
        <v/>
      </c>
      <c r="I6" s="56">
        <f>'Monthly Electricity (Overview)'!N84</f>
        <v/>
      </c>
      <c r="J6" s="672">
        <f>IF(H6=I6,"/")</f>
        <v/>
      </c>
      <c r="K6" s="56">
        <f>'Monthly Electricity (Overview)'!E84</f>
        <v/>
      </c>
      <c r="L6" s="56">
        <f>'Monthly Electricity (Overview)'!E84</f>
        <v/>
      </c>
      <c r="M6" s="672">
        <f>IF(K6=L6,"/")</f>
        <v/>
      </c>
      <c r="N6" s="56">
        <f>'Monthly Electricity (Overview)'!J84</f>
        <v/>
      </c>
      <c r="O6" s="56">
        <f>'Monthly Electricity (Overview)'!J84</f>
        <v/>
      </c>
      <c r="P6" s="672">
        <f>IF(N6=O6,"/")</f>
        <v/>
      </c>
      <c r="Q6" s="56">
        <f>'Monthly Electricity (Overview)'!K84</f>
        <v/>
      </c>
      <c r="R6" s="56">
        <f>'Monthly Electricity (Overview)'!K84</f>
        <v/>
      </c>
      <c r="S6" s="672">
        <f>IF(Q6=R6,"/")</f>
        <v/>
      </c>
      <c r="T6" s="56" t="n"/>
      <c r="U6" s="56" t="n"/>
      <c r="V6" s="672">
        <f>IF(T6=U6,"/")</f>
        <v/>
      </c>
      <c r="W6" s="56">
        <f>'Monthly Electricity (Overview)'!L84</f>
        <v/>
      </c>
      <c r="X6" s="56">
        <f>'Monthly Electricity (Overview)'!L84</f>
        <v/>
      </c>
      <c r="Y6" s="672">
        <f>IF(W6=X6,"/")</f>
        <v/>
      </c>
      <c r="Z6" s="14" t="n">
        <v>59032</v>
      </c>
      <c r="AA6" s="56">
        <f>'Monthly Electricity (Overview)'!X84+'Monthly Electricity (Overview)'!W84+'Monthly Electricity (Overview)'!AC84</f>
        <v/>
      </c>
      <c r="AB6" s="56">
        <f>SUM('Monthly Electricity (Overview)'!U84:X84)+'Monthly Electricity (Overview)'!AC84</f>
        <v/>
      </c>
      <c r="AC6" s="672">
        <f>IF(AA6=AB6,"/")</f>
        <v/>
      </c>
      <c r="AD6" s="56">
        <f>'Monthly Electricity (Overview)'!Y84</f>
        <v/>
      </c>
      <c r="AE6" s="56">
        <f>'Monthly Electricity (Overview)'!Y84</f>
        <v/>
      </c>
      <c r="AF6" s="672">
        <f>IF(AD6=AE6,"/")</f>
        <v/>
      </c>
      <c r="AG6" s="56">
        <f>SUM(B6,E6,H6,K6,N6,Q6,W6,AA6,AD6,Z6)</f>
        <v/>
      </c>
      <c r="AH6" s="56">
        <f>SUM(B6,E6,H6,K6,N6,Q6,W6,AA6,AD6)</f>
        <v/>
      </c>
      <c r="AI6" s="56">
        <f>SUM(C6,F6,I6,L6,O6,R6,U6,X6,AB6, AE6)</f>
        <v/>
      </c>
      <c r="AJ6" s="672">
        <f>IF(AH6=AI6,"/")</f>
        <v/>
      </c>
      <c r="AK6" s="56">
        <f>AH6-AI6</f>
        <v/>
      </c>
    </row>
    <row r="7" ht="17" customHeight="1">
      <c r="A7" s="314" t="n">
        <v>44166</v>
      </c>
      <c r="B7" s="315">
        <f>'Monthly Electricity (Overview)'!B85-'Monthly Electricity (Overview)'!E85-SUM('Monthly Electricity (Overview)'!I85:N85)-SUM('Monthly Electricity (Overview)'!X85:Y85)+'Monthly Electricity (Overview)'!AD85</f>
        <v/>
      </c>
      <c r="C7" s="56">
        <f>'Monthly Electricity (Overview)'!B85-'Monthly Electricity (Overview)'!E85-SUM('Monthly Electricity (Overview)'!I85:N85)-SUM('Monthly Electricity (Overview)'!T85:Y85)</f>
        <v/>
      </c>
      <c r="D7" s="672">
        <f>IF(B7=C7,"/")</f>
        <v/>
      </c>
      <c r="E7" s="315">
        <f>'Monthly Electricity (Overview)'!I85</f>
        <v/>
      </c>
      <c r="F7" s="56">
        <f>'Monthly Electricity (Overview)'!I85</f>
        <v/>
      </c>
      <c r="G7" s="672">
        <f>IF(E7=F7,"/")</f>
        <v/>
      </c>
      <c r="H7" s="315">
        <f>'Monthly Electricity (Overview)'!N85</f>
        <v/>
      </c>
      <c r="I7" s="56">
        <f>'Monthly Electricity (Overview)'!N85</f>
        <v/>
      </c>
      <c r="J7" s="672">
        <f>IF(H7=I7,"/")</f>
        <v/>
      </c>
      <c r="K7" s="315">
        <f>'Monthly Electricity (Overview)'!E85</f>
        <v/>
      </c>
      <c r="L7" s="56">
        <f>'Monthly Electricity (Overview)'!E85</f>
        <v/>
      </c>
      <c r="M7" s="672">
        <f>IF(K7=L7,"/")</f>
        <v/>
      </c>
      <c r="N7" s="315">
        <f>'Monthly Electricity (Overview)'!J85</f>
        <v/>
      </c>
      <c r="O7" s="56">
        <f>'Monthly Electricity (Overview)'!J85</f>
        <v/>
      </c>
      <c r="P7" s="672">
        <f>IF(N7=O7,"/")</f>
        <v/>
      </c>
      <c r="Q7" s="315">
        <f>'Monthly Electricity (Overview)'!K85</f>
        <v/>
      </c>
      <c r="R7" s="56">
        <f>'Monthly Electricity (Overview)'!K85</f>
        <v/>
      </c>
      <c r="S7" s="672">
        <f>IF(Q7=R7,"/")</f>
        <v/>
      </c>
      <c r="T7" s="315" t="n"/>
      <c r="U7" s="315" t="n"/>
      <c r="V7" s="672">
        <f>IF(T7=U7,"/")</f>
        <v/>
      </c>
      <c r="W7" s="315">
        <f>'Monthly Electricity (Overview)'!L85</f>
        <v/>
      </c>
      <c r="X7" s="56">
        <f>'Monthly Electricity (Overview)'!L85</f>
        <v/>
      </c>
      <c r="Y7" s="672">
        <f>IF(W7=X7,"/")</f>
        <v/>
      </c>
      <c r="Z7" s="316" t="n">
        <v>53030</v>
      </c>
      <c r="AA7" s="56">
        <f>'Monthly Electricity (Overview)'!X85+'Monthly Electricity (Overview)'!W85+'Monthly Electricity (Overview)'!AC85</f>
        <v/>
      </c>
      <c r="AB7" s="56">
        <f>SUM('Monthly Electricity (Overview)'!U85:X85)+'Monthly Electricity (Overview)'!AC85</f>
        <v/>
      </c>
      <c r="AC7" s="672">
        <f>IF(AA7=AB7,"/")</f>
        <v/>
      </c>
      <c r="AD7" s="315">
        <f>'Monthly Electricity (Overview)'!Y85</f>
        <v/>
      </c>
      <c r="AE7" s="56">
        <f>'Monthly Electricity (Overview)'!Y85</f>
        <v/>
      </c>
      <c r="AF7" s="672">
        <f>IF(AD7=AE7,"/")</f>
        <v/>
      </c>
      <c r="AG7" s="56">
        <f>SUM(B7,E7,H7,K7,N7,Q7,W7,AA7,AD7,Z7)</f>
        <v/>
      </c>
      <c r="AH7" s="56">
        <f>SUM(B7,E7,H7,K7,N7,Q7,W7,AA7,AD7)</f>
        <v/>
      </c>
      <c r="AI7" s="56">
        <f>SUM(C7,F7,I7,L7,O7,R7,U7,X7,AB7, AE7)</f>
        <v/>
      </c>
      <c r="AJ7" s="672">
        <f>IF(AH7=AI7,"/")</f>
        <v/>
      </c>
      <c r="AK7" s="56">
        <f>AH7-AI7</f>
        <v/>
      </c>
    </row>
    <row r="8" ht="17" customHeight="1">
      <c r="A8" s="317" t="n">
        <v>44197</v>
      </c>
      <c r="B8" s="56">
        <f>'Monthly Electricity (Overview)'!B86-'Monthly Electricity (Overview)'!E86-SUM('Monthly Electricity (Overview)'!I86:N86)-SUM('Monthly Electricity (Overview)'!X86:Y86)+'Monthly Electricity (Overview)'!AD86</f>
        <v/>
      </c>
      <c r="C8" s="56">
        <f>'Monthly Electricity (Overview)'!B86-'Monthly Electricity (Overview)'!E86-SUM('Monthly Electricity (Overview)'!I86:N86)-SUM('Monthly Electricity (Overview)'!T86:Y86)</f>
        <v/>
      </c>
      <c r="D8" s="672">
        <f>IF(B8=C8,"/")</f>
        <v/>
      </c>
      <c r="E8" s="56">
        <f>'Monthly Electricity (Overview)'!I86</f>
        <v/>
      </c>
      <c r="F8" s="56">
        <f>'Monthly Electricity (Overview)'!I86</f>
        <v/>
      </c>
      <c r="G8" s="672">
        <f>IF(E8=F8,"/")</f>
        <v/>
      </c>
      <c r="H8" s="56">
        <f>'Monthly Electricity (Overview)'!N86</f>
        <v/>
      </c>
      <c r="I8" s="56">
        <f>'Monthly Electricity (Overview)'!N86</f>
        <v/>
      </c>
      <c r="J8" s="672">
        <f>IF(H8=I8,"/")</f>
        <v/>
      </c>
      <c r="K8" s="56">
        <f>'Monthly Electricity (Overview)'!E86</f>
        <v/>
      </c>
      <c r="L8" s="56">
        <f>'Monthly Electricity (Overview)'!E86</f>
        <v/>
      </c>
      <c r="M8" s="672">
        <f>IF(K8=L8,"/")</f>
        <v/>
      </c>
      <c r="N8" s="56">
        <f>'Monthly Electricity (Overview)'!J86</f>
        <v/>
      </c>
      <c r="O8" s="56">
        <f>'Monthly Electricity (Overview)'!J86</f>
        <v/>
      </c>
      <c r="P8" s="672">
        <f>IF(N8=O8,"/")</f>
        <v/>
      </c>
      <c r="Q8" s="56">
        <f>'Monthly Electricity (Overview)'!K86</f>
        <v/>
      </c>
      <c r="R8" s="56">
        <f>'Monthly Electricity (Overview)'!K86</f>
        <v/>
      </c>
      <c r="S8" s="672">
        <f>IF(Q8=R8,"/")</f>
        <v/>
      </c>
      <c r="T8" s="56" t="n"/>
      <c r="U8" s="56" t="n"/>
      <c r="V8" s="672">
        <f>IF(T8=U8,"/")</f>
        <v/>
      </c>
      <c r="W8" s="56">
        <f>'Monthly Electricity (Overview)'!L86</f>
        <v/>
      </c>
      <c r="X8" s="56">
        <f>'Monthly Electricity (Overview)'!L86</f>
        <v/>
      </c>
      <c r="Y8" s="672">
        <f>IF(W8=X8,"/")</f>
        <v/>
      </c>
      <c r="Z8" s="14" t="n">
        <v>48369</v>
      </c>
      <c r="AA8" s="56">
        <f>'Monthly Electricity (Overview)'!X86+'Monthly Electricity (Overview)'!W86+'Monthly Electricity (Overview)'!AC86</f>
        <v/>
      </c>
      <c r="AB8" s="56">
        <f>SUM('Monthly Electricity (Overview)'!U86:X86)+'Monthly Electricity (Overview)'!AC86</f>
        <v/>
      </c>
      <c r="AC8" s="672">
        <f>IF(AA8=AB8,"/")</f>
        <v/>
      </c>
      <c r="AD8" s="56">
        <f>'Monthly Electricity (Overview)'!Y86</f>
        <v/>
      </c>
      <c r="AE8" s="56">
        <f>'Monthly Electricity (Overview)'!Y86</f>
        <v/>
      </c>
      <c r="AF8" s="672">
        <f>IF(AD8=AE8,"/")</f>
        <v/>
      </c>
      <c r="AG8" s="56">
        <f>SUM(B8,E8,H8,K8,N8,Q8,W8,AA8,AD8,Z8)</f>
        <v/>
      </c>
      <c r="AH8" s="56">
        <f>SUM(B8,E8,H8,K8,N8,Q8,W8,AA8,AD8)</f>
        <v/>
      </c>
      <c r="AI8" s="56">
        <f>SUM(C8,F8,I8,L8,O8,R8,U8,X8,AB8, AE8)</f>
        <v/>
      </c>
      <c r="AJ8" s="672">
        <f>IF(AH8=AI8,"/")</f>
        <v/>
      </c>
      <c r="AK8" s="56">
        <f>AH8-AI8</f>
        <v/>
      </c>
    </row>
    <row r="9" ht="17" customHeight="1">
      <c r="A9" s="317" t="n">
        <v>44228</v>
      </c>
      <c r="B9" s="56">
        <f>'Monthly Electricity (Overview)'!B87-'Monthly Electricity (Overview)'!E87-SUM('Monthly Electricity (Overview)'!I87:N87)-SUM('Monthly Electricity (Overview)'!X87:Y87)+'Monthly Electricity (Overview)'!AD87</f>
        <v/>
      </c>
      <c r="C9" s="56">
        <f>'Monthly Electricity (Overview)'!B87-'Monthly Electricity (Overview)'!E87-SUM('Monthly Electricity (Overview)'!I87:N87)-SUM('Monthly Electricity (Overview)'!T87:Y87)</f>
        <v/>
      </c>
      <c r="D9" s="672">
        <f>IF(B9=C9,"/")</f>
        <v/>
      </c>
      <c r="E9" s="56">
        <f>'Monthly Electricity (Overview)'!I87</f>
        <v/>
      </c>
      <c r="F9" s="56">
        <f>'Monthly Electricity (Overview)'!I87</f>
        <v/>
      </c>
      <c r="G9" s="672">
        <f>IF(E9=F9,"/")</f>
        <v/>
      </c>
      <c r="H9" s="56">
        <f>'Monthly Electricity (Overview)'!N87</f>
        <v/>
      </c>
      <c r="I9" s="56">
        <f>'Monthly Electricity (Overview)'!N87</f>
        <v/>
      </c>
      <c r="J9" s="672">
        <f>IF(H9=I9,"/")</f>
        <v/>
      </c>
      <c r="K9" s="56">
        <f>'Monthly Electricity (Overview)'!E87</f>
        <v/>
      </c>
      <c r="L9" s="56">
        <f>'Monthly Electricity (Overview)'!E87</f>
        <v/>
      </c>
      <c r="M9" s="672">
        <f>IF(K9=L9,"/")</f>
        <v/>
      </c>
      <c r="N9" s="56">
        <f>'Monthly Electricity (Overview)'!J87</f>
        <v/>
      </c>
      <c r="O9" s="56">
        <f>'Monthly Electricity (Overview)'!J87</f>
        <v/>
      </c>
      <c r="P9" s="672">
        <f>IF(N9=O9,"/")</f>
        <v/>
      </c>
      <c r="Q9" s="56">
        <f>'Monthly Electricity (Overview)'!K87</f>
        <v/>
      </c>
      <c r="R9" s="56">
        <f>'Monthly Electricity (Overview)'!K87</f>
        <v/>
      </c>
      <c r="S9" s="672">
        <f>IF(Q9=R9,"/")</f>
        <v/>
      </c>
      <c r="T9" s="56" t="n"/>
      <c r="U9" s="56" t="n"/>
      <c r="V9" s="672">
        <f>IF(T9=U9,"/")</f>
        <v/>
      </c>
      <c r="W9" s="56">
        <f>'Monthly Electricity (Overview)'!L87</f>
        <v/>
      </c>
      <c r="X9" s="56">
        <f>'Monthly Electricity (Overview)'!L87</f>
        <v/>
      </c>
      <c r="Y9" s="672">
        <f>IF(W9=X9,"/")</f>
        <v/>
      </c>
      <c r="Z9" s="14" t="n">
        <v>45841</v>
      </c>
      <c r="AA9" s="56">
        <f>'Monthly Electricity (Overview)'!X87+'Monthly Electricity (Overview)'!W87+'Monthly Electricity (Overview)'!AC87</f>
        <v/>
      </c>
      <c r="AB9" s="56">
        <f>SUM('Monthly Electricity (Overview)'!U87:X87)+'Monthly Electricity (Overview)'!AC87</f>
        <v/>
      </c>
      <c r="AC9" s="672">
        <f>IF(AA9=AB9,"/")</f>
        <v/>
      </c>
      <c r="AD9" s="56">
        <f>'Monthly Electricity (Overview)'!Y87</f>
        <v/>
      </c>
      <c r="AE9" s="56">
        <f>'Monthly Electricity (Overview)'!Y87</f>
        <v/>
      </c>
      <c r="AF9" s="672">
        <f>IF(AD9=AE9,"/")</f>
        <v/>
      </c>
      <c r="AG9" s="56">
        <f>SUM(B9,E9,H9,K9,N9,Q9,W9,AA9,AD9,Z9)</f>
        <v/>
      </c>
      <c r="AH9" s="56">
        <f>SUM(B9,E9,H9,K9,N9,Q9,W9,AA9,AD9)</f>
        <v/>
      </c>
      <c r="AI9" s="56">
        <f>SUM(C9,F9,I9,L9,O9,R9,U9,X9,AB9, AE9)</f>
        <v/>
      </c>
      <c r="AJ9" s="672">
        <f>IF(AH9=AI9,"/")</f>
        <v/>
      </c>
      <c r="AK9" s="56">
        <f>AH9-AI9</f>
        <v/>
      </c>
    </row>
    <row r="10" ht="17" customHeight="1">
      <c r="A10" s="317" t="n">
        <v>44256</v>
      </c>
      <c r="B10" s="56">
        <f>'Monthly Electricity (Overview)'!B88-'Monthly Electricity (Overview)'!E88-SUM('Monthly Electricity (Overview)'!I88:N88)-SUM('Monthly Electricity (Overview)'!X88:Y88)+'Monthly Electricity (Overview)'!AD88</f>
        <v/>
      </c>
      <c r="C10" s="56">
        <f>'Monthly Electricity (Overview)'!B88-'Monthly Electricity (Overview)'!E88-SUM('Monthly Electricity (Overview)'!I88:N88)-SUM('Monthly Electricity (Overview)'!T88:Y88)</f>
        <v/>
      </c>
      <c r="D10" s="672">
        <f>IF(B10=C10,"/")</f>
        <v/>
      </c>
      <c r="E10" s="56">
        <f>'Monthly Electricity (Overview)'!I88</f>
        <v/>
      </c>
      <c r="F10" s="56">
        <f>'Monthly Electricity (Overview)'!I88</f>
        <v/>
      </c>
      <c r="G10" s="672">
        <f>IF(E10=F10,"/")</f>
        <v/>
      </c>
      <c r="H10" s="56">
        <f>'Monthly Electricity (Overview)'!N88</f>
        <v/>
      </c>
      <c r="I10" s="56">
        <f>'Monthly Electricity (Overview)'!N88</f>
        <v/>
      </c>
      <c r="J10" s="672">
        <f>IF(H10=I10,"/")</f>
        <v/>
      </c>
      <c r="K10" s="56">
        <f>'Monthly Electricity (Overview)'!E88</f>
        <v/>
      </c>
      <c r="L10" s="56">
        <f>'Monthly Electricity (Overview)'!E88</f>
        <v/>
      </c>
      <c r="M10" s="672">
        <f>IF(K10=L10,"/")</f>
        <v/>
      </c>
      <c r="N10" s="56">
        <f>'Monthly Electricity (Overview)'!J88</f>
        <v/>
      </c>
      <c r="O10" s="56">
        <f>'Monthly Electricity (Overview)'!J88</f>
        <v/>
      </c>
      <c r="P10" s="672">
        <f>IF(N10=O10,"/")</f>
        <v/>
      </c>
      <c r="Q10" s="56">
        <f>'Monthly Electricity (Overview)'!K88</f>
        <v/>
      </c>
      <c r="R10" s="56">
        <f>'Monthly Electricity (Overview)'!K88</f>
        <v/>
      </c>
      <c r="S10" s="672">
        <f>IF(Q10=R10,"/")</f>
        <v/>
      </c>
      <c r="T10" s="56" t="n"/>
      <c r="U10" s="56" t="n"/>
      <c r="V10" s="672">
        <f>IF(T10=U10,"/")</f>
        <v/>
      </c>
      <c r="W10" s="56">
        <f>'Monthly Electricity (Overview)'!L88</f>
        <v/>
      </c>
      <c r="X10" s="56">
        <f>'Monthly Electricity (Overview)'!L88</f>
        <v/>
      </c>
      <c r="Y10" s="672">
        <f>IF(W10=X10,"/")</f>
        <v/>
      </c>
      <c r="Z10" s="14" t="n">
        <v>55029</v>
      </c>
      <c r="AA10" s="56">
        <f>'Monthly Electricity (Overview)'!X88+'Monthly Electricity (Overview)'!W88+'Monthly Electricity (Overview)'!AC88</f>
        <v/>
      </c>
      <c r="AB10" s="56">
        <f>SUM('Monthly Electricity (Overview)'!U88:X88)+'Monthly Electricity (Overview)'!AC88</f>
        <v/>
      </c>
      <c r="AC10" s="672">
        <f>IF(AA10=AB10,"/")</f>
        <v/>
      </c>
      <c r="AD10" s="56">
        <f>'Monthly Electricity (Overview)'!Y88</f>
        <v/>
      </c>
      <c r="AE10" s="56">
        <f>'Monthly Electricity (Overview)'!Y88</f>
        <v/>
      </c>
      <c r="AF10" s="672">
        <f>IF(AD10=AE10,"/")</f>
        <v/>
      </c>
      <c r="AG10" s="56">
        <f>SUM(B10,E10,H10,K10,N10,Q10,W10,AA10,AD10,Z10)</f>
        <v/>
      </c>
      <c r="AH10" s="56">
        <f>SUM(B10,E10,H10,K10,N10,Q10,W10,AA10,AD10)</f>
        <v/>
      </c>
      <c r="AI10" s="56">
        <f>SUM(C10,F10,I10,L10,O10,R10,U10,X10,AB10, AE10)</f>
        <v/>
      </c>
      <c r="AJ10" s="672">
        <f>IF(AH10=AI10,"/")</f>
        <v/>
      </c>
      <c r="AK10" s="56">
        <f>AH10-AI10</f>
        <v/>
      </c>
    </row>
    <row r="11" ht="17" customHeight="1">
      <c r="A11" s="317" t="n">
        <v>44287</v>
      </c>
      <c r="B11" s="56">
        <f>'Monthly Electricity (Overview)'!B89-'Monthly Electricity (Overview)'!E89-SUM('Monthly Electricity (Overview)'!I89:N89)-SUM('Monthly Electricity (Overview)'!X89:Y89)+'Monthly Electricity (Overview)'!AD89</f>
        <v/>
      </c>
      <c r="C11" s="56">
        <f>'Monthly Electricity (Overview)'!B89-'Monthly Electricity (Overview)'!E89-SUM('Monthly Electricity (Overview)'!I89:N89)-SUM('Monthly Electricity (Overview)'!T89:Y89)</f>
        <v/>
      </c>
      <c r="D11" s="672">
        <f>IF(B11=C11,"/")</f>
        <v/>
      </c>
      <c r="E11" s="56">
        <f>'Monthly Electricity (Overview)'!I89</f>
        <v/>
      </c>
      <c r="F11" s="56">
        <f>'Monthly Electricity (Overview)'!I89</f>
        <v/>
      </c>
      <c r="G11" s="672">
        <f>IF(E11=F11,"/")</f>
        <v/>
      </c>
      <c r="H11" s="56">
        <f>'Monthly Electricity (Overview)'!N89</f>
        <v/>
      </c>
      <c r="I11" s="56">
        <f>'Monthly Electricity (Overview)'!N89</f>
        <v/>
      </c>
      <c r="J11" s="672">
        <f>IF(H11=I11,"/")</f>
        <v/>
      </c>
      <c r="K11" s="56">
        <f>'Monthly Electricity (Overview)'!E89</f>
        <v/>
      </c>
      <c r="L11" s="56">
        <f>'Monthly Electricity (Overview)'!E89</f>
        <v/>
      </c>
      <c r="M11" s="672">
        <f>IF(K11=L11,"/")</f>
        <v/>
      </c>
      <c r="N11" s="56">
        <f>'Monthly Electricity (Overview)'!J89</f>
        <v/>
      </c>
      <c r="O11" s="56">
        <f>'Monthly Electricity (Overview)'!J89</f>
        <v/>
      </c>
      <c r="P11" s="672">
        <f>IF(N11=O11,"/")</f>
        <v/>
      </c>
      <c r="Q11" s="56">
        <f>'Monthly Electricity (Overview)'!K89</f>
        <v/>
      </c>
      <c r="R11" s="56">
        <f>'Monthly Electricity (Overview)'!K89</f>
        <v/>
      </c>
      <c r="S11" s="672">
        <f>IF(Q11=R11,"/")</f>
        <v/>
      </c>
      <c r="T11" s="56" t="n"/>
      <c r="U11" s="56" t="n"/>
      <c r="V11" s="672">
        <f>IF(T11=U11,"/")</f>
        <v/>
      </c>
      <c r="W11" s="56">
        <f>'Monthly Electricity (Overview)'!L89</f>
        <v/>
      </c>
      <c r="X11" s="56">
        <f>'Monthly Electricity (Overview)'!L89</f>
        <v/>
      </c>
      <c r="Y11" s="672">
        <f>IF(W11=X11,"/")</f>
        <v/>
      </c>
      <c r="Z11" s="14" t="n">
        <v>62537</v>
      </c>
      <c r="AA11" s="56">
        <f>'Monthly Electricity (Overview)'!X89+'Monthly Electricity (Overview)'!W89+'Monthly Electricity (Overview)'!AC89</f>
        <v/>
      </c>
      <c r="AB11" s="56">
        <f>SUM('Monthly Electricity (Overview)'!U89:X89)+'Monthly Electricity (Overview)'!AC89</f>
        <v/>
      </c>
      <c r="AC11" s="672">
        <f>IF(AA11=AB11,"/")</f>
        <v/>
      </c>
      <c r="AD11" s="56">
        <f>'Monthly Electricity (Overview)'!Y89</f>
        <v/>
      </c>
      <c r="AE11" s="56">
        <f>'Monthly Electricity (Overview)'!Y89</f>
        <v/>
      </c>
      <c r="AF11" s="672">
        <f>IF(AD11=AE11,"/")</f>
        <v/>
      </c>
      <c r="AG11" s="56">
        <f>SUM(B11,E11,H11,K11,N11,Q11,W11,AA11,AD11,Z11)</f>
        <v/>
      </c>
      <c r="AH11" s="56">
        <f>SUM(B11,E11,H11,K11,N11,Q11,W11,AA11,AD11)</f>
        <v/>
      </c>
      <c r="AI11" s="56">
        <f>SUM(C11,F11,I11,L11,O11,R11,U11,X11,AB11, AE11)</f>
        <v/>
      </c>
      <c r="AJ11" s="672">
        <f>IF(AH11=AI11,"/")</f>
        <v/>
      </c>
      <c r="AK11" s="56">
        <f>AH11-AI11</f>
        <v/>
      </c>
    </row>
    <row r="12" ht="17" customHeight="1">
      <c r="A12" s="317" t="n">
        <v>44317</v>
      </c>
      <c r="B12" s="56">
        <f>'Monthly Electricity (Overview)'!B90-'Monthly Electricity (Overview)'!E90-SUM('Monthly Electricity (Overview)'!I90:N90)-SUM('Monthly Electricity (Overview)'!X90:Y90)+'Monthly Electricity (Overview)'!AD90</f>
        <v/>
      </c>
      <c r="C12" s="56">
        <f>'Monthly Electricity (Overview)'!B90-'Monthly Electricity (Overview)'!E90-SUM('Monthly Electricity (Overview)'!I90:N90)-SUM('Monthly Electricity (Overview)'!T90:Y90)</f>
        <v/>
      </c>
      <c r="D12" s="672">
        <f>IF(B12=C12,"/")</f>
        <v/>
      </c>
      <c r="E12" s="56">
        <f>'Monthly Electricity (Overview)'!I90</f>
        <v/>
      </c>
      <c r="F12" s="56">
        <f>'Monthly Electricity (Overview)'!I90</f>
        <v/>
      </c>
      <c r="G12" s="672">
        <f>IF(E12=F12,"/")</f>
        <v/>
      </c>
      <c r="H12" s="56">
        <f>'Monthly Electricity (Overview)'!N90</f>
        <v/>
      </c>
      <c r="I12" s="56">
        <f>'Monthly Electricity (Overview)'!N90</f>
        <v/>
      </c>
      <c r="J12" s="672">
        <f>IF(H12=I12,"/")</f>
        <v/>
      </c>
      <c r="K12" s="56">
        <f>'Monthly Electricity (Overview)'!E90</f>
        <v/>
      </c>
      <c r="L12" s="56">
        <f>'Monthly Electricity (Overview)'!E90</f>
        <v/>
      </c>
      <c r="M12" s="672">
        <f>IF(K12=L12,"/")</f>
        <v/>
      </c>
      <c r="N12" s="56">
        <f>'Monthly Electricity (Overview)'!J90</f>
        <v/>
      </c>
      <c r="O12" s="56">
        <f>'Monthly Electricity (Overview)'!J90</f>
        <v/>
      </c>
      <c r="P12" s="672">
        <f>IF(N12=O12,"/")</f>
        <v/>
      </c>
      <c r="Q12" s="56">
        <f>'Monthly Electricity (Overview)'!K90</f>
        <v/>
      </c>
      <c r="R12" s="56">
        <f>'Monthly Electricity (Overview)'!K90</f>
        <v/>
      </c>
      <c r="S12" s="672">
        <f>IF(Q12=R12,"/")</f>
        <v/>
      </c>
      <c r="T12" s="56" t="n"/>
      <c r="U12" s="56" t="n"/>
      <c r="V12" s="672">
        <f>IF(T12=U12,"/")</f>
        <v/>
      </c>
      <c r="W12" s="56">
        <f>'Monthly Electricity (Overview)'!L90</f>
        <v/>
      </c>
      <c r="X12" s="56">
        <f>'Monthly Electricity (Overview)'!L90</f>
        <v/>
      </c>
      <c r="Y12" s="672">
        <f>IF(W12=X12,"/")</f>
        <v/>
      </c>
      <c r="Z12" s="14" t="n">
        <v>84771</v>
      </c>
      <c r="AA12" s="56">
        <f>'Monthly Electricity (Overview)'!X90+'Monthly Electricity (Overview)'!W90+'Monthly Electricity (Overview)'!AC90</f>
        <v/>
      </c>
      <c r="AB12" s="56">
        <f>SUM('Monthly Electricity (Overview)'!U90:X90)+'Monthly Electricity (Overview)'!AC90</f>
        <v/>
      </c>
      <c r="AC12" s="672">
        <f>IF(AA12=AB12,"/")</f>
        <v/>
      </c>
      <c r="AD12" s="56">
        <f>'Monthly Electricity (Overview)'!Y90</f>
        <v/>
      </c>
      <c r="AE12" s="56">
        <f>'Monthly Electricity (Overview)'!Y90</f>
        <v/>
      </c>
      <c r="AF12" s="672">
        <f>IF(AD12=AE12,"/")</f>
        <v/>
      </c>
      <c r="AG12" s="56">
        <f>SUM(B12,E12,H12,K12,N12,Q12,W12,AA12,AD12,Z12)</f>
        <v/>
      </c>
      <c r="AH12" s="56">
        <f>SUM(B12,E12,H12,K12,N12,Q12,W12,AA12,AD12)</f>
        <v/>
      </c>
      <c r="AI12" s="56">
        <f>SUM(C12,F12,I12,L12,O12,R12,U12,X12,AB12, AE12)</f>
        <v/>
      </c>
      <c r="AJ12" s="672">
        <f>IF(AH12=AI12,"/")</f>
        <v/>
      </c>
      <c r="AK12" s="56">
        <f>AH12-AI12</f>
        <v/>
      </c>
    </row>
    <row r="13" ht="17" customHeight="1">
      <c r="A13" s="317" t="n">
        <v>44348</v>
      </c>
      <c r="B13" s="56">
        <f>'Monthly Electricity (Overview)'!B91-'Monthly Electricity (Overview)'!E91-SUM('Monthly Electricity (Overview)'!I91:N91)-SUM('Monthly Electricity (Overview)'!X91:Y91)+'Monthly Electricity (Overview)'!AD91</f>
        <v/>
      </c>
      <c r="C13" s="56">
        <f>'Monthly Electricity (Overview)'!B91-'Monthly Electricity (Overview)'!E91-SUM('Monthly Electricity (Overview)'!I91:N91)-SUM('Monthly Electricity (Overview)'!T91:Y91)</f>
        <v/>
      </c>
      <c r="D13" s="672">
        <f>IF(B13=C13,"/")</f>
        <v/>
      </c>
      <c r="E13" s="56">
        <f>'Monthly Electricity (Overview)'!I91</f>
        <v/>
      </c>
      <c r="F13" s="56">
        <f>'Monthly Electricity (Overview)'!I91</f>
        <v/>
      </c>
      <c r="G13" s="672">
        <f>IF(E13=F13,"/")</f>
        <v/>
      </c>
      <c r="H13" s="56">
        <f>'Monthly Electricity (Overview)'!N91</f>
        <v/>
      </c>
      <c r="I13" s="56">
        <f>'Monthly Electricity (Overview)'!N91</f>
        <v/>
      </c>
      <c r="J13" s="672">
        <f>IF(H13=I13,"/")</f>
        <v/>
      </c>
      <c r="K13" s="56">
        <f>'Monthly Electricity (Overview)'!E91</f>
        <v/>
      </c>
      <c r="L13" s="56">
        <f>'Monthly Electricity (Overview)'!E91</f>
        <v/>
      </c>
      <c r="M13" s="672">
        <f>IF(K13=L13,"/")</f>
        <v/>
      </c>
      <c r="N13" s="56">
        <f>'Monthly Electricity (Overview)'!J91</f>
        <v/>
      </c>
      <c r="O13" s="56">
        <f>'Monthly Electricity (Overview)'!J91</f>
        <v/>
      </c>
      <c r="P13" s="672">
        <f>IF(N13=O13,"/")</f>
        <v/>
      </c>
      <c r="Q13" s="56">
        <f>'Monthly Electricity (Overview)'!K91</f>
        <v/>
      </c>
      <c r="R13" s="56">
        <f>'Monthly Electricity (Overview)'!K91</f>
        <v/>
      </c>
      <c r="S13" s="672">
        <f>IF(Q13=R13,"/")</f>
        <v/>
      </c>
      <c r="T13" s="56" t="n"/>
      <c r="U13" s="56" t="n"/>
      <c r="V13" s="672">
        <f>IF(T13=U13,"/")</f>
        <v/>
      </c>
      <c r="W13" s="56">
        <f>'Monthly Electricity (Overview)'!L91</f>
        <v/>
      </c>
      <c r="X13" s="56">
        <f>'Monthly Electricity (Overview)'!L91</f>
        <v/>
      </c>
      <c r="Y13" s="672">
        <f>IF(W13=X13,"/")</f>
        <v/>
      </c>
      <c r="Z13" s="14" t="n">
        <v>90161</v>
      </c>
      <c r="AA13" s="56">
        <f>'Monthly Electricity (Overview)'!X91+'Monthly Electricity (Overview)'!W91+'Monthly Electricity (Overview)'!AC91</f>
        <v/>
      </c>
      <c r="AB13" s="56">
        <f>SUM('Monthly Electricity (Overview)'!U91:X91)+'Monthly Electricity (Overview)'!AC91</f>
        <v/>
      </c>
      <c r="AC13" s="672">
        <f>IF(AA13=AB13,"/")</f>
        <v/>
      </c>
      <c r="AD13" s="56">
        <f>'Monthly Electricity (Overview)'!Y91</f>
        <v/>
      </c>
      <c r="AE13" s="56">
        <f>'Monthly Electricity (Overview)'!Y91</f>
        <v/>
      </c>
      <c r="AF13" s="672">
        <f>IF(AD13=AE13,"/")</f>
        <v/>
      </c>
      <c r="AG13" s="56">
        <f>SUM(B13,E13,H13,K13,N13,Q13,W13,AA13,AD13,Z13)</f>
        <v/>
      </c>
      <c r="AH13" s="56">
        <f>SUM(B13,E13,H13,K13,N13,Q13,W13,AA13,AD13)</f>
        <v/>
      </c>
      <c r="AI13" s="56">
        <f>SUM(C13,F13,I13,L13,O13,R13,U13,X13,AB13, AE13)</f>
        <v/>
      </c>
      <c r="AJ13" s="672">
        <f>IF(AH13=AI13,"/")</f>
        <v/>
      </c>
      <c r="AK13" s="56">
        <f>AH13-AI13</f>
        <v/>
      </c>
    </row>
    <row r="14" ht="17" customHeight="1">
      <c r="A14" s="317" t="n">
        <v>44378</v>
      </c>
      <c r="B14" s="56">
        <f>'Monthly Electricity (Overview)'!B92-'Monthly Electricity (Overview)'!E92-SUM('Monthly Electricity (Overview)'!I92:N92)-SUM('Monthly Electricity (Overview)'!X92:Y92)+'Monthly Electricity (Overview)'!AD92</f>
        <v/>
      </c>
      <c r="C14" s="56">
        <f>'Monthly Electricity (Overview)'!B92-'Monthly Electricity (Overview)'!E92-SUM('Monthly Electricity (Overview)'!I92:N92)-SUM('Monthly Electricity (Overview)'!T92:Y92)</f>
        <v/>
      </c>
      <c r="D14" s="672">
        <f>IF(B14=C14,"/")</f>
        <v/>
      </c>
      <c r="E14" s="56">
        <f>'Monthly Electricity (Overview)'!I92</f>
        <v/>
      </c>
      <c r="F14" s="56">
        <f>'Monthly Electricity (Overview)'!I92</f>
        <v/>
      </c>
      <c r="G14" s="672">
        <f>IF(E14=F14,"/")</f>
        <v/>
      </c>
      <c r="H14" s="56">
        <f>'Monthly Electricity (Overview)'!N92</f>
        <v/>
      </c>
      <c r="I14" s="56">
        <f>'Monthly Electricity (Overview)'!N92</f>
        <v/>
      </c>
      <c r="J14" s="672">
        <f>IF(H14=I14,"/")</f>
        <v/>
      </c>
      <c r="K14" s="56">
        <f>'Monthly Electricity (Overview)'!E92</f>
        <v/>
      </c>
      <c r="L14" s="56">
        <f>'Monthly Electricity (Overview)'!E92</f>
        <v/>
      </c>
      <c r="M14" s="672">
        <f>IF(K14=L14,"/")</f>
        <v/>
      </c>
      <c r="N14" s="56">
        <f>'Monthly Electricity (Overview)'!J92</f>
        <v/>
      </c>
      <c r="O14" s="56">
        <f>'Monthly Electricity (Overview)'!J92</f>
        <v/>
      </c>
      <c r="P14" s="672">
        <f>IF(N14=O14,"/")</f>
        <v/>
      </c>
      <c r="Q14" s="56">
        <f>'Monthly Electricity (Overview)'!K92</f>
        <v/>
      </c>
      <c r="R14" s="56">
        <f>'Monthly Electricity (Overview)'!K92</f>
        <v/>
      </c>
      <c r="S14" s="672">
        <f>IF(Q14=R14,"/")</f>
        <v/>
      </c>
      <c r="T14" s="56" t="n"/>
      <c r="U14" s="56" t="n"/>
      <c r="V14" s="672">
        <f>IF(T14=U14,"/")</f>
        <v/>
      </c>
      <c r="W14" s="56">
        <f>'Monthly Electricity (Overview)'!L92</f>
        <v/>
      </c>
      <c r="X14" s="56">
        <f>'Monthly Electricity (Overview)'!L92</f>
        <v/>
      </c>
      <c r="Y14" s="672">
        <f>IF(W14=X14,"/")</f>
        <v/>
      </c>
      <c r="Z14" s="14" t="n">
        <v>91635</v>
      </c>
      <c r="AA14" s="56">
        <f>'Monthly Electricity (Overview)'!X92+'Monthly Electricity (Overview)'!W92+'Monthly Electricity (Overview)'!AC92</f>
        <v/>
      </c>
      <c r="AB14" s="56">
        <f>SUM('Monthly Electricity (Overview)'!U92:X92)+'Monthly Electricity (Overview)'!AC92</f>
        <v/>
      </c>
      <c r="AC14" s="672">
        <f>IF(AA14=AB14,"/")</f>
        <v/>
      </c>
      <c r="AD14" s="56">
        <f>'Monthly Electricity (Overview)'!Y92</f>
        <v/>
      </c>
      <c r="AE14" s="56">
        <f>'Monthly Electricity (Overview)'!Y92</f>
        <v/>
      </c>
      <c r="AF14" s="672">
        <f>IF(AD14=AE14,"/")</f>
        <v/>
      </c>
      <c r="AG14" s="56">
        <f>SUM(B14,E14,H14,K14,N14,Q14,W14,AA14,AD14,Z14)</f>
        <v/>
      </c>
      <c r="AH14" s="56">
        <f>SUM(B14,E14,H14,K14,N14,Q14,W14,AA14,AD14)</f>
        <v/>
      </c>
      <c r="AI14" s="56">
        <f>SUM(C14,F14,I14,L14,O14,R14,U14,X14,AB14, AE14)</f>
        <v/>
      </c>
      <c r="AJ14" s="672">
        <f>IF(AH14=AI14,"/")</f>
        <v/>
      </c>
      <c r="AK14" s="56">
        <f>AH14-AI14</f>
        <v/>
      </c>
    </row>
    <row r="15" ht="17" customHeight="1">
      <c r="A15" s="317" t="n">
        <v>44409</v>
      </c>
      <c r="B15" s="56">
        <f>'Monthly Electricity (Overview)'!B93-'Monthly Electricity (Overview)'!E93-SUM('Monthly Electricity (Overview)'!I93:N93)-SUM('Monthly Electricity (Overview)'!X93:Y93)+'Monthly Electricity (Overview)'!AD93</f>
        <v/>
      </c>
      <c r="C15" s="56">
        <f>'Monthly Electricity (Overview)'!B93-'Monthly Electricity (Overview)'!E93-SUM('Monthly Electricity (Overview)'!I93:N93)-SUM('Monthly Electricity (Overview)'!T93:Y93)</f>
        <v/>
      </c>
      <c r="D15" s="672">
        <f>IF(B15=C15,"/")</f>
        <v/>
      </c>
      <c r="E15" s="56">
        <f>'Monthly Electricity (Overview)'!I93</f>
        <v/>
      </c>
      <c r="F15" s="56">
        <f>'Monthly Electricity (Overview)'!I93</f>
        <v/>
      </c>
      <c r="G15" s="672">
        <f>IF(E15=F15,"/")</f>
        <v/>
      </c>
      <c r="H15" s="56">
        <f>'Monthly Electricity (Overview)'!N93</f>
        <v/>
      </c>
      <c r="I15" s="56">
        <f>'Monthly Electricity (Overview)'!N93</f>
        <v/>
      </c>
      <c r="J15" s="672">
        <f>IF(H15=I15,"/")</f>
        <v/>
      </c>
      <c r="K15" s="56">
        <f>'Monthly Electricity (Overview)'!E93</f>
        <v/>
      </c>
      <c r="L15" s="56">
        <f>'Monthly Electricity (Overview)'!E93</f>
        <v/>
      </c>
      <c r="M15" s="672">
        <f>IF(K15=L15,"/")</f>
        <v/>
      </c>
      <c r="N15" s="56">
        <f>'Monthly Electricity (Overview)'!J93</f>
        <v/>
      </c>
      <c r="O15" s="56">
        <f>'Monthly Electricity (Overview)'!J93</f>
        <v/>
      </c>
      <c r="P15" s="672">
        <f>IF(N15=O15,"/")</f>
        <v/>
      </c>
      <c r="Q15" s="56">
        <f>'Monthly Electricity (Overview)'!K93</f>
        <v/>
      </c>
      <c r="R15" s="56">
        <f>'Monthly Electricity (Overview)'!K93</f>
        <v/>
      </c>
      <c r="S15" s="672">
        <f>IF(Q15=R15,"/")</f>
        <v/>
      </c>
      <c r="T15" s="56" t="n"/>
      <c r="U15" s="56" t="n"/>
      <c r="V15" s="672">
        <f>IF(T15=U15,"/")</f>
        <v/>
      </c>
      <c r="W15" s="56">
        <f>'Monthly Electricity (Overview)'!L93</f>
        <v/>
      </c>
      <c r="X15" s="56">
        <f>'Monthly Electricity (Overview)'!L93</f>
        <v/>
      </c>
      <c r="Y15" s="672">
        <f>IF(W15=X15,"/")</f>
        <v/>
      </c>
      <c r="Z15" s="14" t="n">
        <v>93108</v>
      </c>
      <c r="AA15" s="56">
        <f>'Monthly Electricity (Overview)'!X93+'Monthly Electricity (Overview)'!W93+'Monthly Electricity (Overview)'!AC93</f>
        <v/>
      </c>
      <c r="AB15" s="56">
        <f>SUM('Monthly Electricity (Overview)'!U93:X93)+'Monthly Electricity (Overview)'!AC93</f>
        <v/>
      </c>
      <c r="AC15" s="672">
        <f>IF(AA15=AB15,"/")</f>
        <v/>
      </c>
      <c r="AD15" s="56">
        <f>'Monthly Electricity (Overview)'!Y93</f>
        <v/>
      </c>
      <c r="AE15" s="56">
        <f>'Monthly Electricity (Overview)'!Y93</f>
        <v/>
      </c>
      <c r="AF15" s="672">
        <f>IF(AD15=AE15,"/")</f>
        <v/>
      </c>
      <c r="AG15" s="56">
        <f>SUM(B15,E15,H15,K15,N15,Q15,W15,AA15,AD15,Z15)</f>
        <v/>
      </c>
      <c r="AH15" s="56">
        <f>SUM(B15,E15,H15,K15,N15,Q15,W15,AA15,AD15)</f>
        <v/>
      </c>
      <c r="AI15" s="56">
        <f>SUM(C15,F15,I15,L15,O15,R15,U15,X15,AB15, AE15)</f>
        <v/>
      </c>
      <c r="AJ15" s="672">
        <f>IF(AH15=AI15,"/")</f>
        <v/>
      </c>
      <c r="AK15" s="56">
        <f>AH15-AI15</f>
        <v/>
      </c>
    </row>
    <row r="16" ht="17" customHeight="1">
      <c r="A16" s="317" t="n">
        <v>44440</v>
      </c>
      <c r="B16" s="56">
        <f>'Monthly Electricity (Overview)'!B94-'Monthly Electricity (Overview)'!E94-SUM('Monthly Electricity (Overview)'!I94:N94)-SUM('Monthly Electricity (Overview)'!X94:Y94)+'Monthly Electricity (Overview)'!AD94</f>
        <v/>
      </c>
      <c r="C16" s="56">
        <f>'Monthly Electricity (Overview)'!B94-'Monthly Electricity (Overview)'!E94-SUM('Monthly Electricity (Overview)'!I94:N94)-SUM('Monthly Electricity (Overview)'!T94:Y94)</f>
        <v/>
      </c>
      <c r="D16" s="672">
        <f>IF(B16=C16,"/")</f>
        <v/>
      </c>
      <c r="E16" s="56">
        <f>'Monthly Electricity (Overview)'!I94</f>
        <v/>
      </c>
      <c r="F16" s="56">
        <f>'Monthly Electricity (Overview)'!I94</f>
        <v/>
      </c>
      <c r="G16" s="672">
        <f>IF(E16=F16,"/")</f>
        <v/>
      </c>
      <c r="H16" s="56">
        <f>'Monthly Electricity (Overview)'!N94</f>
        <v/>
      </c>
      <c r="I16" s="56">
        <f>'Monthly Electricity (Overview)'!N94</f>
        <v/>
      </c>
      <c r="J16" s="672">
        <f>IF(H16=I16,"/")</f>
        <v/>
      </c>
      <c r="K16" s="56">
        <f>'Monthly Electricity (Overview)'!E94</f>
        <v/>
      </c>
      <c r="L16" s="56">
        <f>'Monthly Electricity (Overview)'!E94</f>
        <v/>
      </c>
      <c r="M16" s="672">
        <f>IF(K16=L16,"/")</f>
        <v/>
      </c>
      <c r="N16" s="56">
        <f>'Monthly Electricity (Overview)'!J94</f>
        <v/>
      </c>
      <c r="O16" s="56">
        <f>'Monthly Electricity (Overview)'!J94</f>
        <v/>
      </c>
      <c r="P16" s="672">
        <f>IF(N16=O16,"/")</f>
        <v/>
      </c>
      <c r="Q16" s="56">
        <f>'Monthly Electricity (Overview)'!K94</f>
        <v/>
      </c>
      <c r="R16" s="56">
        <f>'Monthly Electricity (Overview)'!K94</f>
        <v/>
      </c>
      <c r="S16" s="672">
        <f>IF(Q16=R16,"/")</f>
        <v/>
      </c>
      <c r="T16" s="56" t="n"/>
      <c r="U16" s="56" t="n"/>
      <c r="V16" s="672">
        <f>IF(T16=U16,"/")</f>
        <v/>
      </c>
      <c r="W16" s="56">
        <f>'Monthly Electricity (Overview)'!L94</f>
        <v/>
      </c>
      <c r="X16" s="56">
        <f>'Monthly Electricity (Overview)'!L94</f>
        <v/>
      </c>
      <c r="Y16" s="672">
        <f>IF(W16=X16,"/")</f>
        <v/>
      </c>
      <c r="Z16" s="14" t="n">
        <v>141827</v>
      </c>
      <c r="AA16" s="56">
        <f>'Monthly Electricity (Overview)'!X94+'Monthly Electricity (Overview)'!W94+'Monthly Electricity (Overview)'!AC94</f>
        <v/>
      </c>
      <c r="AB16" s="56">
        <f>SUM('Monthly Electricity (Overview)'!U94:X94)+'Monthly Electricity (Overview)'!AC94</f>
        <v/>
      </c>
      <c r="AC16" s="672">
        <f>IF(AA16=AB16,"/")</f>
        <v/>
      </c>
      <c r="AD16" s="56">
        <f>'Monthly Electricity (Overview)'!Y94</f>
        <v/>
      </c>
      <c r="AE16" s="56">
        <f>'Monthly Electricity (Overview)'!Y94</f>
        <v/>
      </c>
      <c r="AF16" s="672">
        <f>IF(AD16=AE16,"/")</f>
        <v/>
      </c>
      <c r="AG16" s="56">
        <f>SUM(B16,E16,H16,K16,N16,Q16,W16,AA16,AD16,Z16)</f>
        <v/>
      </c>
      <c r="AH16" s="56">
        <f>SUM(B16,E16,H16,K16,N16,Q16,W16,AA16,AD16)</f>
        <v/>
      </c>
      <c r="AI16" s="56">
        <f>SUM(C16,F16,I16,L16,O16,R16,U16,X16,AB16, AE16)</f>
        <v/>
      </c>
      <c r="AJ16" s="672">
        <f>IF(AH16=AI16,"/")</f>
        <v/>
      </c>
      <c r="AK16" s="56">
        <f>AH16-AI16</f>
        <v/>
      </c>
    </row>
    <row r="17" ht="17" customHeight="1">
      <c r="A17" s="317" t="n">
        <v>44470</v>
      </c>
      <c r="B17" s="56">
        <f>'Monthly Electricity (Overview)'!B95-'Monthly Electricity (Overview)'!E95-SUM('Monthly Electricity (Overview)'!I95:N95)-SUM('Monthly Electricity (Overview)'!X95:Y95)+'Monthly Electricity (Overview)'!AD95</f>
        <v/>
      </c>
      <c r="C17" s="56">
        <f>'Monthly Electricity (Overview)'!B95-'Monthly Electricity (Overview)'!E95-SUM('Monthly Electricity (Overview)'!I95:N95)-SUM('Monthly Electricity (Overview)'!T95:Y95)</f>
        <v/>
      </c>
      <c r="D17" s="672">
        <f>IF(B17=C17,"/")</f>
        <v/>
      </c>
      <c r="E17" s="56">
        <f>'Monthly Electricity (Overview)'!I95</f>
        <v/>
      </c>
      <c r="F17" s="56">
        <f>'Monthly Electricity (Overview)'!I95</f>
        <v/>
      </c>
      <c r="G17" s="672">
        <f>IF(E17=F17,"/")</f>
        <v/>
      </c>
      <c r="H17" s="56">
        <f>'Monthly Electricity (Overview)'!N95</f>
        <v/>
      </c>
      <c r="I17" s="56">
        <f>'Monthly Electricity (Overview)'!N95</f>
        <v/>
      </c>
      <c r="J17" s="672">
        <f>IF(H17=I17,"/")</f>
        <v/>
      </c>
      <c r="K17" s="56">
        <f>'Monthly Electricity (Overview)'!E95</f>
        <v/>
      </c>
      <c r="L17" s="56">
        <f>'Monthly Electricity (Overview)'!E95</f>
        <v/>
      </c>
      <c r="M17" s="672">
        <f>IF(K17=L17,"/")</f>
        <v/>
      </c>
      <c r="N17" s="56">
        <f>'Monthly Electricity (Overview)'!J95</f>
        <v/>
      </c>
      <c r="O17" s="56">
        <f>'Monthly Electricity (Overview)'!J95</f>
        <v/>
      </c>
      <c r="P17" s="672">
        <f>IF(N17=O17,"/")</f>
        <v/>
      </c>
      <c r="Q17" s="56">
        <f>'Monthly Electricity (Overview)'!K95</f>
        <v/>
      </c>
      <c r="R17" s="56">
        <f>'Monthly Electricity (Overview)'!K95</f>
        <v/>
      </c>
      <c r="S17" s="672">
        <f>IF(Q17=R17,"/")</f>
        <v/>
      </c>
      <c r="T17" s="56" t="n"/>
      <c r="U17" s="56" t="n"/>
      <c r="V17" s="672">
        <f>IF(T17=U17,"/")</f>
        <v/>
      </c>
      <c r="W17" s="56">
        <f>'Monthly Electricity (Overview)'!L95</f>
        <v/>
      </c>
      <c r="X17" s="56">
        <f>'Monthly Electricity (Overview)'!L95</f>
        <v/>
      </c>
      <c r="Y17" s="672">
        <f>IF(W17=X17,"/")</f>
        <v/>
      </c>
      <c r="Z17" s="14" t="n">
        <v>106072</v>
      </c>
      <c r="AA17" s="56">
        <f>'Monthly Electricity (Overview)'!X95+'Monthly Electricity (Overview)'!W95+'Monthly Electricity (Overview)'!AC95</f>
        <v/>
      </c>
      <c r="AB17" s="56">
        <f>SUM('Monthly Electricity (Overview)'!U95:X95)+'Monthly Electricity (Overview)'!AC95</f>
        <v/>
      </c>
      <c r="AC17" s="672">
        <f>IF(AA17=AB17,"/")</f>
        <v/>
      </c>
      <c r="AD17" s="56">
        <f>'Monthly Electricity (Overview)'!Y95</f>
        <v/>
      </c>
      <c r="AE17" s="56">
        <f>'Monthly Electricity (Overview)'!Y95</f>
        <v/>
      </c>
      <c r="AF17" s="672">
        <f>IF(AD17=AE17,"/")</f>
        <v/>
      </c>
      <c r="AG17" s="56">
        <f>SUM(B17,E17,H17,K17,N17,Q17,W17,AA17,AD17,Z17)</f>
        <v/>
      </c>
      <c r="AH17" s="56">
        <f>SUM(B17,E17,H17,K17,N17,Q17,W17,AA17,AD17)</f>
        <v/>
      </c>
      <c r="AI17" s="56">
        <f>SUM(C17,F17,I17,L17,O17,R17,U17,X17,AB17, AE17)</f>
        <v/>
      </c>
      <c r="AJ17" s="672">
        <f>IF(AH17=AI17,"/")</f>
        <v/>
      </c>
      <c r="AK17" s="56">
        <f>AH17-AI17</f>
        <v/>
      </c>
    </row>
    <row r="18" ht="17" customHeight="1">
      <c r="A18" s="317" t="n">
        <v>44501</v>
      </c>
      <c r="B18" s="56">
        <f>'Monthly Electricity (Overview)'!B96-'Monthly Electricity (Overview)'!E96-SUM('Monthly Electricity (Overview)'!I96:N96)-SUM('Monthly Electricity (Overview)'!X96:Y96)+'Monthly Electricity (Overview)'!AD96</f>
        <v/>
      </c>
      <c r="C18" s="56">
        <f>'Monthly Electricity (Overview)'!B96-'Monthly Electricity (Overview)'!E96-SUM('Monthly Electricity (Overview)'!I96:N96)-SUM('Monthly Electricity (Overview)'!T96:Y96)</f>
        <v/>
      </c>
      <c r="D18" s="672">
        <f>IF(B18=C18,"/")</f>
        <v/>
      </c>
      <c r="E18" s="56">
        <f>'Monthly Electricity (Overview)'!I96</f>
        <v/>
      </c>
      <c r="F18" s="56">
        <f>'Monthly Electricity (Overview)'!I96</f>
        <v/>
      </c>
      <c r="G18" s="672">
        <f>IF(E18=F18,"/")</f>
        <v/>
      </c>
      <c r="H18" s="56">
        <f>'Monthly Electricity (Overview)'!N96</f>
        <v/>
      </c>
      <c r="I18" s="56">
        <f>'Monthly Electricity (Overview)'!N96</f>
        <v/>
      </c>
      <c r="J18" s="672">
        <f>IF(H18=I18,"/")</f>
        <v/>
      </c>
      <c r="K18" s="56">
        <f>'Monthly Electricity (Overview)'!E96</f>
        <v/>
      </c>
      <c r="L18" s="56">
        <f>'Monthly Electricity (Overview)'!E96</f>
        <v/>
      </c>
      <c r="M18" s="672">
        <f>IF(K18=L18,"/")</f>
        <v/>
      </c>
      <c r="N18" s="56">
        <f>'Monthly Electricity (Overview)'!J96</f>
        <v/>
      </c>
      <c r="O18" s="56">
        <f>'Monthly Electricity (Overview)'!J96</f>
        <v/>
      </c>
      <c r="P18" s="672">
        <f>IF(N18=O18,"/")</f>
        <v/>
      </c>
      <c r="Q18" s="56">
        <f>'Monthly Electricity (Overview)'!K96</f>
        <v/>
      </c>
      <c r="R18" s="56">
        <f>'Monthly Electricity (Overview)'!K96</f>
        <v/>
      </c>
      <c r="S18" s="672">
        <f>IF(Q18=R18,"/")</f>
        <v/>
      </c>
      <c r="T18" s="56" t="n"/>
      <c r="U18" s="56" t="n"/>
      <c r="V18" s="672">
        <f>IF(T18=U18,"/")</f>
        <v/>
      </c>
      <c r="W18" s="56">
        <f>'Monthly Electricity (Overview)'!L96</f>
        <v/>
      </c>
      <c r="X18" s="56">
        <f>'Monthly Electricity (Overview)'!L96</f>
        <v/>
      </c>
      <c r="Y18" s="672">
        <f>IF(W18=X18,"/")</f>
        <v/>
      </c>
      <c r="Z18" s="14" t="n">
        <v>115747</v>
      </c>
      <c r="AA18" s="56">
        <f>'Monthly Electricity (Overview)'!X96+'Monthly Electricity (Overview)'!W96+'Monthly Electricity (Overview)'!AC96</f>
        <v/>
      </c>
      <c r="AB18" s="56">
        <f>SUM('Monthly Electricity (Overview)'!U96:X96)+'Monthly Electricity (Overview)'!AC96</f>
        <v/>
      </c>
      <c r="AC18" s="672">
        <f>IF(AA18=AB18,"/")</f>
        <v/>
      </c>
      <c r="AD18" s="56">
        <f>'Monthly Electricity (Overview)'!Y96</f>
        <v/>
      </c>
      <c r="AE18" s="56">
        <f>'Monthly Electricity (Overview)'!Y96</f>
        <v/>
      </c>
      <c r="AF18" s="672">
        <f>IF(AD18=AE18,"/")</f>
        <v/>
      </c>
      <c r="AG18" s="56">
        <f>SUM(B18,E18,H18,K18,N18,Q18,W18,AA18,AD18,Z18)</f>
        <v/>
      </c>
      <c r="AH18" s="56">
        <f>SUM(B18,E18,H18,K18,N18,Q18,W18,AA18,AD18)</f>
        <v/>
      </c>
      <c r="AI18" s="56">
        <f>SUM(C18,F18,I18,L18,O18,R18,U18,X18,AB18, AE18)</f>
        <v/>
      </c>
      <c r="AJ18" s="672">
        <f>IF(AH18=AI18,"/")</f>
        <v/>
      </c>
      <c r="AK18" s="56">
        <f>AH18-AI18</f>
        <v/>
      </c>
    </row>
    <row r="19" ht="17" customHeight="1">
      <c r="A19" s="317" t="n">
        <v>44531</v>
      </c>
      <c r="B19" s="315">
        <f>'Monthly Electricity (Overview)'!B97-'Monthly Electricity (Overview)'!E97-SUM('Monthly Electricity (Overview)'!I97:N97)-SUM('Monthly Electricity (Overview)'!X97:Y97)+'Monthly Electricity (Overview)'!AD97</f>
        <v/>
      </c>
      <c r="C19" s="56">
        <f>'Monthly Electricity (Overview)'!B97-'Monthly Electricity (Overview)'!E97-SUM('Monthly Electricity (Overview)'!I97:N97)-SUM('Monthly Electricity (Overview)'!T97:Y97)</f>
        <v/>
      </c>
      <c r="D19" s="672">
        <f>IF(B19=C19,"/")</f>
        <v/>
      </c>
      <c r="E19" s="315">
        <f>'Monthly Electricity (Overview)'!I97</f>
        <v/>
      </c>
      <c r="F19" s="56">
        <f>'Monthly Electricity (Overview)'!I97</f>
        <v/>
      </c>
      <c r="G19" s="672">
        <f>IF(E19=F19,"/")</f>
        <v/>
      </c>
      <c r="H19" s="315">
        <f>'Monthly Electricity (Overview)'!N97</f>
        <v/>
      </c>
      <c r="I19" s="56">
        <f>'Monthly Electricity (Overview)'!N97</f>
        <v/>
      </c>
      <c r="J19" s="672">
        <f>IF(H19=I19,"/")</f>
        <v/>
      </c>
      <c r="K19" s="315">
        <f>'Monthly Electricity (Overview)'!E97</f>
        <v/>
      </c>
      <c r="L19" s="56">
        <f>'Monthly Electricity (Overview)'!E97</f>
        <v/>
      </c>
      <c r="M19" s="672">
        <f>IF(K19=L19,"/")</f>
        <v/>
      </c>
      <c r="N19" s="315">
        <f>'Monthly Electricity (Overview)'!J97</f>
        <v/>
      </c>
      <c r="O19" s="56">
        <f>'Monthly Electricity (Overview)'!J97</f>
        <v/>
      </c>
      <c r="P19" s="672">
        <f>IF(N19=O19,"/")</f>
        <v/>
      </c>
      <c r="Q19" s="315">
        <f>'Monthly Electricity (Overview)'!K97</f>
        <v/>
      </c>
      <c r="R19" s="56">
        <f>'Monthly Electricity (Overview)'!K97</f>
        <v/>
      </c>
      <c r="S19" s="672">
        <f>IF(Q19=R19,"/")</f>
        <v/>
      </c>
      <c r="T19" s="315" t="n"/>
      <c r="U19" s="315" t="n"/>
      <c r="V19" s="672">
        <f>IF(T19=U19,"/")</f>
        <v/>
      </c>
      <c r="W19" s="315">
        <f>'Monthly Electricity (Overview)'!L97</f>
        <v/>
      </c>
      <c r="X19" s="56">
        <f>'Monthly Electricity (Overview)'!L97</f>
        <v/>
      </c>
      <c r="Y19" s="672">
        <f>IF(W19=X19,"/")</f>
        <v/>
      </c>
      <c r="Z19" s="316" t="n">
        <v>29777</v>
      </c>
      <c r="AA19" s="56">
        <f>'Monthly Electricity (Overview)'!X97+'Monthly Electricity (Overview)'!W97+'Monthly Electricity (Overview)'!AC97</f>
        <v/>
      </c>
      <c r="AB19" s="56">
        <f>SUM('Monthly Electricity (Overview)'!U97:X97)+'Monthly Electricity (Overview)'!AC97</f>
        <v/>
      </c>
      <c r="AC19" s="672">
        <f>IF(AA19=AB19,"/")</f>
        <v/>
      </c>
      <c r="AD19" s="315">
        <f>'Monthly Electricity (Overview)'!Y97</f>
        <v/>
      </c>
      <c r="AE19" s="56">
        <f>'Monthly Electricity (Overview)'!Y97</f>
        <v/>
      </c>
      <c r="AF19" s="672">
        <f>IF(AD19=AE19,"/")</f>
        <v/>
      </c>
      <c r="AG19" s="56">
        <f>SUM(B19,E19,H19,K19,N19,Q19,W19,AA19,AD19,Z19)</f>
        <v/>
      </c>
      <c r="AH19" s="56">
        <f>SUM(B19,E19,H19,K19,N19,Q19,W19,AA19,AD19)</f>
        <v/>
      </c>
      <c r="AI19" s="56">
        <f>SUM(C19,F19,I19,L19,O19,R19,U19,X19,AB19, AE19)</f>
        <v/>
      </c>
      <c r="AJ19" s="672">
        <f>IF(AH19=AI19,"/")</f>
        <v/>
      </c>
      <c r="AK19" s="56">
        <f>AH19-AI19</f>
        <v/>
      </c>
    </row>
    <row r="20" ht="17" customHeight="1">
      <c r="A20" s="318" t="n">
        <v>44562</v>
      </c>
      <c r="B20" s="56">
        <f>'Monthly Electricity (Overview)'!B98-'Monthly Electricity (Overview)'!E98-SUM('Monthly Electricity (Overview)'!I98:N98)-SUM('Monthly Electricity (Overview)'!X98:Y98)+'Monthly Electricity (Overview)'!AD98</f>
        <v/>
      </c>
      <c r="C20" s="56">
        <f>'Monthly Electricity (Overview)'!B98-'Monthly Electricity (Overview)'!E98-SUM('Monthly Electricity (Overview)'!I98:N98)-SUM('Monthly Electricity (Overview)'!T98:Y98)</f>
        <v/>
      </c>
      <c r="D20" s="672">
        <f>IF(B20=C20,"/")</f>
        <v/>
      </c>
      <c r="E20" s="56">
        <f>'Monthly Electricity (Overview)'!I98</f>
        <v/>
      </c>
      <c r="F20" s="56">
        <f>'Monthly Electricity (Overview)'!I98</f>
        <v/>
      </c>
      <c r="G20" s="672">
        <f>IF(E20=F20,"/")</f>
        <v/>
      </c>
      <c r="H20" s="56">
        <f>'Monthly Electricity (Overview)'!N98</f>
        <v/>
      </c>
      <c r="I20" s="56">
        <f>'Monthly Electricity (Overview)'!N98</f>
        <v/>
      </c>
      <c r="J20" s="672">
        <f>IF(H20=I20,"/")</f>
        <v/>
      </c>
      <c r="K20" s="56">
        <f>'Monthly Electricity (Overview)'!E98</f>
        <v/>
      </c>
      <c r="L20" s="56">
        <f>'Monthly Electricity (Overview)'!E98</f>
        <v/>
      </c>
      <c r="M20" s="672">
        <f>IF(K20=L20,"/")</f>
        <v/>
      </c>
      <c r="N20" s="56">
        <f>'Monthly Electricity (Overview)'!J98</f>
        <v/>
      </c>
      <c r="O20" s="56">
        <f>'Monthly Electricity (Overview)'!J98</f>
        <v/>
      </c>
      <c r="P20" s="672">
        <f>IF(N20=O20,"/")</f>
        <v/>
      </c>
      <c r="Q20" s="56">
        <f>'Monthly Electricity (Overview)'!K98</f>
        <v/>
      </c>
      <c r="R20" s="56">
        <f>'Monthly Electricity (Overview)'!K98</f>
        <v/>
      </c>
      <c r="S20" s="672">
        <f>IF(Q20=R20,"/")</f>
        <v/>
      </c>
      <c r="T20" s="56" t="n"/>
      <c r="U20" s="56" t="n"/>
      <c r="V20" s="672">
        <f>IF(T20=U20,"/")</f>
        <v/>
      </c>
      <c r="W20" s="56">
        <f>'Monthly Electricity (Overview)'!L98</f>
        <v/>
      </c>
      <c r="X20" s="56">
        <f>'Monthly Electricity (Overview)'!L98</f>
        <v/>
      </c>
      <c r="Y20" s="672">
        <f>IF(W20=X20,"/")</f>
        <v/>
      </c>
      <c r="Z20" s="14" t="n">
        <v>44842</v>
      </c>
      <c r="AA20" s="56">
        <f>'Monthly Electricity (Overview)'!X98+'Monthly Electricity (Overview)'!W98+'Monthly Electricity (Overview)'!AC98</f>
        <v/>
      </c>
      <c r="AB20" s="56">
        <f>SUM('Monthly Electricity (Overview)'!U98:X98)+'Monthly Electricity (Overview)'!AC98</f>
        <v/>
      </c>
      <c r="AC20" s="672">
        <f>IF(AA20=AB20,"/")</f>
        <v/>
      </c>
      <c r="AD20" s="56">
        <f>'Monthly Electricity (Overview)'!Y98</f>
        <v/>
      </c>
      <c r="AE20" s="56">
        <f>'Monthly Electricity (Overview)'!Y98</f>
        <v/>
      </c>
      <c r="AF20" s="672">
        <f>IF(AD20=AE20,"/")</f>
        <v/>
      </c>
      <c r="AG20" s="56">
        <f>SUM(B20,E20,H20,K20,N20,Q20,W20,AA20,AD20,Z20)</f>
        <v/>
      </c>
      <c r="AH20" s="56">
        <f>SUM(B20,E20,H20,K20,N20,Q20,W20,AA20,AD20)</f>
        <v/>
      </c>
      <c r="AI20" s="56">
        <f>SUM(C20,F20,I20,L20,O20,R20,U20,X20,AB20, AE20)</f>
        <v/>
      </c>
      <c r="AJ20" s="672">
        <f>IF(AH20=AI20,"/")</f>
        <v/>
      </c>
      <c r="AK20" s="56">
        <f>AH20-AI20</f>
        <v/>
      </c>
    </row>
    <row r="21" ht="17" customHeight="1">
      <c r="A21" s="318" t="n">
        <v>44593</v>
      </c>
      <c r="B21" s="56">
        <f>'Monthly Electricity (Overview)'!B99-'Monthly Electricity (Overview)'!E99-SUM('Monthly Electricity (Overview)'!I99:N99)-SUM('Monthly Electricity (Overview)'!X99:Y99)+'Monthly Electricity (Overview)'!AD99</f>
        <v/>
      </c>
      <c r="C21" s="56">
        <f>'Monthly Electricity (Overview)'!B99-'Monthly Electricity (Overview)'!E99-SUM('Monthly Electricity (Overview)'!I99:N99)-SUM('Monthly Electricity (Overview)'!T99:Y99)</f>
        <v/>
      </c>
      <c r="D21" s="672">
        <f>IF(B21=C21,"/")</f>
        <v/>
      </c>
      <c r="E21" s="56">
        <f>'Monthly Electricity (Overview)'!I99</f>
        <v/>
      </c>
      <c r="F21" s="56">
        <f>'Monthly Electricity (Overview)'!I99</f>
        <v/>
      </c>
      <c r="G21" s="672">
        <f>IF(E21=F21,"/")</f>
        <v/>
      </c>
      <c r="H21" s="56">
        <f>'Monthly Electricity (Overview)'!N99</f>
        <v/>
      </c>
      <c r="I21" s="56">
        <f>'Monthly Electricity (Overview)'!N99</f>
        <v/>
      </c>
      <c r="J21" s="672">
        <f>IF(H21=I21,"/")</f>
        <v/>
      </c>
      <c r="K21" s="56">
        <f>'Monthly Electricity (Overview)'!E99</f>
        <v/>
      </c>
      <c r="L21" s="56">
        <f>'Monthly Electricity (Overview)'!E99</f>
        <v/>
      </c>
      <c r="M21" s="672">
        <f>IF(K21=L21,"/")</f>
        <v/>
      </c>
      <c r="N21" s="56">
        <f>'Monthly Electricity (Overview)'!J99</f>
        <v/>
      </c>
      <c r="O21" s="56">
        <f>'Monthly Electricity (Overview)'!J99</f>
        <v/>
      </c>
      <c r="P21" s="672">
        <f>IF(N21=O21,"/")</f>
        <v/>
      </c>
      <c r="Q21" s="56">
        <f>'Monthly Electricity (Overview)'!K99</f>
        <v/>
      </c>
      <c r="R21" s="56">
        <f>'Monthly Electricity (Overview)'!K99</f>
        <v/>
      </c>
      <c r="S21" s="672">
        <f>IF(Q21=R21,"/")</f>
        <v/>
      </c>
      <c r="T21" s="56" t="n"/>
      <c r="U21" s="56" t="n"/>
      <c r="V21" s="672">
        <f>IF(T21=U21,"/")</f>
        <v/>
      </c>
      <c r="W21" s="56">
        <f>'Monthly Electricity (Overview)'!L99</f>
        <v/>
      </c>
      <c r="X21" s="56">
        <f>'Monthly Electricity (Overview)'!L99</f>
        <v/>
      </c>
      <c r="Y21" s="672">
        <f>IF(W21=X21,"/")</f>
        <v/>
      </c>
      <c r="Z21" s="14" t="n">
        <v>32534</v>
      </c>
      <c r="AA21" s="56">
        <f>'Monthly Electricity (Overview)'!X99+'Monthly Electricity (Overview)'!W99+'Monthly Electricity (Overview)'!AC99</f>
        <v/>
      </c>
      <c r="AB21" s="56">
        <f>SUM('Monthly Electricity (Overview)'!U99:X99)+'Monthly Electricity (Overview)'!AC99</f>
        <v/>
      </c>
      <c r="AC21" s="672">
        <f>IF(AA21=AB21,"/")</f>
        <v/>
      </c>
      <c r="AD21" s="56">
        <f>'Monthly Electricity (Overview)'!Y99</f>
        <v/>
      </c>
      <c r="AE21" s="56">
        <f>'Monthly Electricity (Overview)'!Y99</f>
        <v/>
      </c>
      <c r="AF21" s="672">
        <f>IF(AD21=AE21,"/")</f>
        <v/>
      </c>
      <c r="AG21" s="56">
        <f>SUM(B21,E21,H21,K21,N21,Q21,W21,AA21,AD21,Z21)</f>
        <v/>
      </c>
      <c r="AH21" s="56">
        <f>SUM(B21,E21,H21,K21,N21,Q21,W21,AA21,AD21)</f>
        <v/>
      </c>
      <c r="AI21" s="56">
        <f>SUM(C21,F21,I21,L21,O21,R21,U21,X21,AB21, AE21)</f>
        <v/>
      </c>
      <c r="AJ21" s="672">
        <f>IF(AH21=AI21,"/")</f>
        <v/>
      </c>
      <c r="AK21" s="56">
        <f>AH21-AI21</f>
        <v/>
      </c>
    </row>
    <row r="22" ht="17" customHeight="1">
      <c r="A22" s="318" t="n">
        <v>44621</v>
      </c>
      <c r="B22" s="56">
        <f>'Monthly Electricity (Overview)'!B100-'Monthly Electricity (Overview)'!E100-SUM('Monthly Electricity (Overview)'!I100:N100)-SUM('Monthly Electricity (Overview)'!X100:Y100)+'Monthly Electricity (Overview)'!AD100</f>
        <v/>
      </c>
      <c r="C22" s="56">
        <f>'Monthly Electricity (Overview)'!B100-'Monthly Electricity (Overview)'!E100-SUM('Monthly Electricity (Overview)'!I100:N100)-SUM('Monthly Electricity (Overview)'!T100:Y100)</f>
        <v/>
      </c>
      <c r="D22" s="672">
        <f>IF(B22=C22,"/")</f>
        <v/>
      </c>
      <c r="E22" s="56">
        <f>'Monthly Electricity (Overview)'!I100</f>
        <v/>
      </c>
      <c r="F22" s="56">
        <f>'Monthly Electricity (Overview)'!I100</f>
        <v/>
      </c>
      <c r="G22" s="672">
        <f>IF(E22=F22,"/")</f>
        <v/>
      </c>
      <c r="H22" s="56">
        <f>'Monthly Electricity (Overview)'!N100</f>
        <v/>
      </c>
      <c r="I22" s="56">
        <f>'Monthly Electricity (Overview)'!N100</f>
        <v/>
      </c>
      <c r="J22" s="672">
        <f>IF(H22=I22,"/")</f>
        <v/>
      </c>
      <c r="K22" s="56">
        <f>'Monthly Electricity (Overview)'!E100</f>
        <v/>
      </c>
      <c r="L22" s="56">
        <f>'Monthly Electricity (Overview)'!E100</f>
        <v/>
      </c>
      <c r="M22" s="672">
        <f>IF(K22=L22,"/")</f>
        <v/>
      </c>
      <c r="N22" s="56">
        <f>'Monthly Electricity (Overview)'!J100</f>
        <v/>
      </c>
      <c r="O22" s="56">
        <f>'Monthly Electricity (Overview)'!J100</f>
        <v/>
      </c>
      <c r="P22" s="672">
        <f>IF(N22=O22,"/")</f>
        <v/>
      </c>
      <c r="Q22" s="56">
        <f>'Monthly Electricity (Overview)'!K100</f>
        <v/>
      </c>
      <c r="R22" s="56">
        <f>'Monthly Electricity (Overview)'!K100</f>
        <v/>
      </c>
      <c r="S22" s="672">
        <f>IF(Q22=R22,"/")</f>
        <v/>
      </c>
      <c r="T22" s="56" t="n"/>
      <c r="U22" s="56" t="n"/>
      <c r="V22" s="672">
        <f>IF(T22=U22,"/")</f>
        <v/>
      </c>
      <c r="W22" s="56">
        <f>'Monthly Electricity (Overview)'!L100</f>
        <v/>
      </c>
      <c r="X22" s="56">
        <f>'Monthly Electricity (Overview)'!L100</f>
        <v/>
      </c>
      <c r="Y22" s="672">
        <f>IF(W22=X22,"/")</f>
        <v/>
      </c>
      <c r="Z22" s="14" t="n">
        <v>39912</v>
      </c>
      <c r="AA22" s="56">
        <f>'Monthly Electricity (Overview)'!X100+'Monthly Electricity (Overview)'!W100+'Monthly Electricity (Overview)'!AC100</f>
        <v/>
      </c>
      <c r="AB22" s="56">
        <f>SUM('Monthly Electricity (Overview)'!U100:X100)+'Monthly Electricity (Overview)'!AC100</f>
        <v/>
      </c>
      <c r="AC22" s="672">
        <f>IF(AA22=AB22,"/")</f>
        <v/>
      </c>
      <c r="AD22" s="56">
        <f>'Monthly Electricity (Overview)'!Y100</f>
        <v/>
      </c>
      <c r="AE22" s="56">
        <f>'Monthly Electricity (Overview)'!Y100</f>
        <v/>
      </c>
      <c r="AF22" s="672">
        <f>IF(AD22=AE22,"/")</f>
        <v/>
      </c>
      <c r="AG22" s="56">
        <f>SUM(B22,E22,H22,K22,N22,Q22,W22,AA22,AD22,Z22)</f>
        <v/>
      </c>
      <c r="AH22" s="56">
        <f>SUM(B22,E22,H22,K22,N22,Q22,W22,AA22,AD22)</f>
        <v/>
      </c>
      <c r="AI22" s="56">
        <f>SUM(C22,F22,I22,L22,O22,R22,U22,X22,AB22, AE22)</f>
        <v/>
      </c>
      <c r="AJ22" s="672">
        <f>IF(AH22=AI22,"/")</f>
        <v/>
      </c>
      <c r="AK22" s="56">
        <f>AH22-AI22</f>
        <v/>
      </c>
    </row>
    <row r="23" ht="17" customHeight="1">
      <c r="A23" s="318" t="n">
        <v>44652</v>
      </c>
      <c r="B23" s="56">
        <f>'Monthly Electricity (Overview)'!B101-'Monthly Electricity (Overview)'!E101-SUM('Monthly Electricity (Overview)'!I101:N101)-SUM('Monthly Electricity (Overview)'!X101:Y101)+'Monthly Electricity (Overview)'!AD101</f>
        <v/>
      </c>
      <c r="C23" s="56">
        <f>'Monthly Electricity (Overview)'!B101-'Monthly Electricity (Overview)'!E101-SUM('Monthly Electricity (Overview)'!I101:N101)-SUM('Monthly Electricity (Overview)'!T101:Y101)</f>
        <v/>
      </c>
      <c r="D23" s="672">
        <f>IF(B23=C23,"/")</f>
        <v/>
      </c>
      <c r="E23" s="56">
        <f>'Monthly Electricity (Overview)'!I101</f>
        <v/>
      </c>
      <c r="F23" s="56">
        <f>'Monthly Electricity (Overview)'!I101</f>
        <v/>
      </c>
      <c r="G23" s="672">
        <f>IF(E23=F23,"/")</f>
        <v/>
      </c>
      <c r="H23" s="56">
        <f>'Monthly Electricity (Overview)'!N101</f>
        <v/>
      </c>
      <c r="I23" s="56">
        <f>'Monthly Electricity (Overview)'!N101</f>
        <v/>
      </c>
      <c r="J23" s="672">
        <f>IF(H23=I23,"/")</f>
        <v/>
      </c>
      <c r="K23" s="56">
        <f>'Monthly Electricity (Overview)'!E101</f>
        <v/>
      </c>
      <c r="L23" s="56">
        <f>'Monthly Electricity (Overview)'!E101</f>
        <v/>
      </c>
      <c r="M23" s="672">
        <f>IF(K23=L23,"/")</f>
        <v/>
      </c>
      <c r="N23" s="56">
        <f>'Monthly Electricity (Overview)'!J101</f>
        <v/>
      </c>
      <c r="O23" s="56">
        <f>'Monthly Electricity (Overview)'!J101</f>
        <v/>
      </c>
      <c r="P23" s="672">
        <f>IF(N23=O23,"/")</f>
        <v/>
      </c>
      <c r="Q23" s="56">
        <f>'Monthly Electricity (Overview)'!K101</f>
        <v/>
      </c>
      <c r="R23" s="56">
        <f>'Monthly Electricity (Overview)'!K101</f>
        <v/>
      </c>
      <c r="S23" s="672">
        <f>IF(Q23=R23,"/")</f>
        <v/>
      </c>
      <c r="T23" s="56" t="n"/>
      <c r="U23" s="56" t="n"/>
      <c r="V23" s="672">
        <f>IF(T23=U23,"/")</f>
        <v/>
      </c>
      <c r="W23" s="56">
        <f>'Monthly Electricity (Overview)'!L101</f>
        <v/>
      </c>
      <c r="X23" s="56">
        <f>'Monthly Electricity (Overview)'!L101</f>
        <v/>
      </c>
      <c r="Y23" s="672">
        <f>IF(W23=X23,"/")</f>
        <v/>
      </c>
      <c r="Z23" s="14" t="n">
        <v>52231</v>
      </c>
      <c r="AA23" s="56">
        <f>'Monthly Electricity (Overview)'!X101+'Monthly Electricity (Overview)'!W101+'Monthly Electricity (Overview)'!AC101</f>
        <v/>
      </c>
      <c r="AB23" s="56">
        <f>SUM('Monthly Electricity (Overview)'!U101:X101)+'Monthly Electricity (Overview)'!AC101</f>
        <v/>
      </c>
      <c r="AC23" s="672">
        <f>IF(AA23=AB23,"/")</f>
        <v/>
      </c>
      <c r="AD23" s="56">
        <f>'Monthly Electricity (Overview)'!Y101</f>
        <v/>
      </c>
      <c r="AE23" s="56">
        <f>'Monthly Electricity (Overview)'!Y101</f>
        <v/>
      </c>
      <c r="AF23" s="672">
        <f>IF(AD23=AE23,"/")</f>
        <v/>
      </c>
      <c r="AG23" s="56">
        <f>SUM(B23,E23,H23,K23,N23,Q23,W23,AA23,AD23,Z23)</f>
        <v/>
      </c>
      <c r="AH23" s="56">
        <f>SUM(B23,E23,H23,K23,N23,Q23,W23,AA23,AD23)</f>
        <v/>
      </c>
      <c r="AI23" s="56">
        <f>SUM(C23,F23,I23,L23,O23,R23,U23,X23,AB23, AE23)</f>
        <v/>
      </c>
      <c r="AJ23" s="672">
        <f>IF(AH23=AI23,"/")</f>
        <v/>
      </c>
      <c r="AK23" s="56">
        <f>AH23-AI23</f>
        <v/>
      </c>
    </row>
    <row r="24" ht="17" customHeight="1">
      <c r="A24" s="318" t="n">
        <v>44682</v>
      </c>
      <c r="B24" s="56">
        <f>'Monthly Electricity (Overview)'!B102-'Monthly Electricity (Overview)'!E102-SUM('Monthly Electricity (Overview)'!I102:N102)-SUM('Monthly Electricity (Overview)'!X102:Y102)+'Monthly Electricity (Overview)'!AD102</f>
        <v/>
      </c>
      <c r="C24" s="56">
        <f>'Monthly Electricity (Overview)'!B102-'Monthly Electricity (Overview)'!E102-SUM('Monthly Electricity (Overview)'!I102:N102)-SUM('Monthly Electricity (Overview)'!T102:Y102)</f>
        <v/>
      </c>
      <c r="D24" s="672">
        <f>IF(B24=C24,"/")</f>
        <v/>
      </c>
      <c r="E24" s="56">
        <f>'Monthly Electricity (Overview)'!I102</f>
        <v/>
      </c>
      <c r="F24" s="56">
        <f>'Monthly Electricity (Overview)'!I102</f>
        <v/>
      </c>
      <c r="G24" s="672">
        <f>IF(E24=F24,"/")</f>
        <v/>
      </c>
      <c r="H24" s="56">
        <f>'Monthly Electricity (Overview)'!N102</f>
        <v/>
      </c>
      <c r="I24" s="56">
        <f>'Monthly Electricity (Overview)'!N102</f>
        <v/>
      </c>
      <c r="J24" s="672">
        <f>IF(H24=I24,"/")</f>
        <v/>
      </c>
      <c r="K24" s="56">
        <f>'Monthly Electricity (Overview)'!E102</f>
        <v/>
      </c>
      <c r="L24" s="56">
        <f>'Monthly Electricity (Overview)'!E102</f>
        <v/>
      </c>
      <c r="M24" s="672">
        <f>IF(K24=L24,"/")</f>
        <v/>
      </c>
      <c r="N24" s="56">
        <f>'Monthly Electricity (Overview)'!J102</f>
        <v/>
      </c>
      <c r="O24" s="56">
        <f>'Monthly Electricity (Overview)'!J102</f>
        <v/>
      </c>
      <c r="P24" s="672">
        <f>IF(N24=O24,"/")</f>
        <v/>
      </c>
      <c r="Q24" s="56">
        <f>'Monthly Electricity (Overview)'!K102</f>
        <v/>
      </c>
      <c r="R24" s="56">
        <f>'Monthly Electricity (Overview)'!K102</f>
        <v/>
      </c>
      <c r="S24" s="672">
        <f>IF(Q24=R24,"/")</f>
        <v/>
      </c>
      <c r="T24" s="56" t="n"/>
      <c r="U24" s="56" t="n"/>
      <c r="V24" s="672">
        <f>IF(T24=U24,"/")</f>
        <v/>
      </c>
      <c r="W24" s="56">
        <f>'Monthly Electricity (Overview)'!L102</f>
        <v/>
      </c>
      <c r="X24" s="56">
        <f>'Monthly Electricity (Overview)'!L102</f>
        <v/>
      </c>
      <c r="Y24" s="672">
        <f>IF(W24=X24,"/")</f>
        <v/>
      </c>
      <c r="Z24" s="14" t="n">
        <v>52604</v>
      </c>
      <c r="AA24" s="56">
        <f>'Monthly Electricity (Overview)'!X102+'Monthly Electricity (Overview)'!W102+'Monthly Electricity (Overview)'!AC102</f>
        <v/>
      </c>
      <c r="AB24" s="56">
        <f>SUM('Monthly Electricity (Overview)'!U102:X102)+'Monthly Electricity (Overview)'!AC102</f>
        <v/>
      </c>
      <c r="AC24" s="672">
        <f>IF(AA24=AB24,"/")</f>
        <v/>
      </c>
      <c r="AD24" s="56">
        <f>'Monthly Electricity (Overview)'!Y102</f>
        <v/>
      </c>
      <c r="AE24" s="56">
        <f>'Monthly Electricity (Overview)'!Y102</f>
        <v/>
      </c>
      <c r="AF24" s="672">
        <f>IF(AD24=AE24,"/")</f>
        <v/>
      </c>
      <c r="AG24" s="56">
        <f>SUM(B24,E24,H24,K24,N24,Q24,W24,AA24,AD24,Z24)</f>
        <v/>
      </c>
      <c r="AH24" s="56">
        <f>SUM(B24,E24,H24,K24,N24,Q24,W24,AA24,AD24)</f>
        <v/>
      </c>
      <c r="AI24" s="56">
        <f>SUM(C24,F24,I24,L24,O24,R24,U24,X24,AB24, AE24)</f>
        <v/>
      </c>
      <c r="AJ24" s="672">
        <f>IF(AH24=AI24,"/")</f>
        <v/>
      </c>
      <c r="AK24" s="56">
        <f>AH24-AI24</f>
        <v/>
      </c>
    </row>
    <row r="25" ht="17" customHeight="1">
      <c r="A25" s="318" t="n">
        <v>44713</v>
      </c>
      <c r="B25" s="56">
        <f>'Monthly Electricity (Overview)'!B103-'Monthly Electricity (Overview)'!E103-SUM('Monthly Electricity (Overview)'!I103:N103)-SUM('Monthly Electricity (Overview)'!X103:Y103)+'Monthly Electricity (Overview)'!AD103</f>
        <v/>
      </c>
      <c r="C25" s="56">
        <f>'Monthly Electricity (Overview)'!B103-'Monthly Electricity (Overview)'!E103-SUM('Monthly Electricity (Overview)'!I103:N103)-SUM('Monthly Electricity (Overview)'!T103:Y103)</f>
        <v/>
      </c>
      <c r="D25" s="672">
        <f>IF(B25=C25,"/")</f>
        <v/>
      </c>
      <c r="E25" s="56">
        <f>'Monthly Electricity (Overview)'!I103</f>
        <v/>
      </c>
      <c r="F25" s="56">
        <f>'Monthly Electricity (Overview)'!I103</f>
        <v/>
      </c>
      <c r="G25" s="672">
        <f>IF(E25=F25,"/")</f>
        <v/>
      </c>
      <c r="H25" s="56">
        <f>'Monthly Electricity (Overview)'!N103</f>
        <v/>
      </c>
      <c r="I25" s="56">
        <f>'Monthly Electricity (Overview)'!N103</f>
        <v/>
      </c>
      <c r="J25" s="672">
        <f>IF(H25=I25,"/")</f>
        <v/>
      </c>
      <c r="K25" s="56">
        <f>'Monthly Electricity (Overview)'!E103</f>
        <v/>
      </c>
      <c r="L25" s="56">
        <f>'Monthly Electricity (Overview)'!E103</f>
        <v/>
      </c>
      <c r="M25" s="672">
        <f>IF(K25=L25,"/")</f>
        <v/>
      </c>
      <c r="N25" s="56">
        <f>'Monthly Electricity (Overview)'!J103</f>
        <v/>
      </c>
      <c r="O25" s="56">
        <f>'Monthly Electricity (Overview)'!J103</f>
        <v/>
      </c>
      <c r="P25" s="672">
        <f>IF(N25=O25,"/")</f>
        <v/>
      </c>
      <c r="Q25" s="56">
        <f>'Monthly Electricity (Overview)'!K103</f>
        <v/>
      </c>
      <c r="R25" s="56">
        <f>'Monthly Electricity (Overview)'!K103</f>
        <v/>
      </c>
      <c r="S25" s="672">
        <f>IF(Q25=R25,"/")</f>
        <v/>
      </c>
      <c r="T25" s="56" t="n"/>
      <c r="U25" s="56" t="n"/>
      <c r="V25" s="672">
        <f>IF(T25=U25,"/")</f>
        <v/>
      </c>
      <c r="W25" s="56">
        <f>'Monthly Electricity (Overview)'!L103</f>
        <v/>
      </c>
      <c r="X25" s="56">
        <f>'Monthly Electricity (Overview)'!L103</f>
        <v/>
      </c>
      <c r="Y25" s="672">
        <f>IF(W25=X25,"/")</f>
        <v/>
      </c>
      <c r="Z25" s="14" t="n">
        <v>75835</v>
      </c>
      <c r="AA25" s="56">
        <f>'Monthly Electricity (Overview)'!X103+'Monthly Electricity (Overview)'!W103+'Monthly Electricity (Overview)'!AC103</f>
        <v/>
      </c>
      <c r="AB25" s="56">
        <f>SUM('Monthly Electricity (Overview)'!U103:X103)+'Monthly Electricity (Overview)'!AC103</f>
        <v/>
      </c>
      <c r="AC25" s="672">
        <f>IF(AA25=AB25,"/")</f>
        <v/>
      </c>
      <c r="AD25" s="56">
        <f>'Monthly Electricity (Overview)'!Y103</f>
        <v/>
      </c>
      <c r="AE25" s="56">
        <f>'Monthly Electricity (Overview)'!Y103</f>
        <v/>
      </c>
      <c r="AF25" s="672">
        <f>IF(AD25=AE25,"/")</f>
        <v/>
      </c>
      <c r="AG25" s="56">
        <f>SUM(B25,E25,H25,K25,N25,Q25,W25,AA25,AD25,Z25)</f>
        <v/>
      </c>
      <c r="AH25" s="56">
        <f>SUM(B25,E25,H25,K25,N25,Q25,W25,AA25,AD25)</f>
        <v/>
      </c>
      <c r="AI25" s="56">
        <f>SUM(C25,F25,I25,L25,O25,R25,U25,X25,AB25, AE25)</f>
        <v/>
      </c>
      <c r="AJ25" s="672">
        <f>IF(AH25=AI25,"/")</f>
        <v/>
      </c>
      <c r="AK25" s="56">
        <f>AH25-AI25</f>
        <v/>
      </c>
    </row>
    <row r="26" ht="17" customHeight="1">
      <c r="A26" s="318" t="n">
        <v>44743</v>
      </c>
      <c r="B26" s="56">
        <f>'Monthly Electricity (Overview)'!B104-'Monthly Electricity (Overview)'!E104-SUM('Monthly Electricity (Overview)'!I104:N104)-SUM('Monthly Electricity (Overview)'!X104:Y104)+'Monthly Electricity (Overview)'!AD104</f>
        <v/>
      </c>
      <c r="C26" s="56">
        <f>'Monthly Electricity (Overview)'!B104-'Monthly Electricity (Overview)'!E104-SUM('Monthly Electricity (Overview)'!I104:N104)-SUM('Monthly Electricity (Overview)'!T104:Y104)</f>
        <v/>
      </c>
      <c r="D26" s="672">
        <f>IF(B26=C26,"/")</f>
        <v/>
      </c>
      <c r="E26" s="56">
        <f>'Monthly Electricity (Overview)'!I104</f>
        <v/>
      </c>
      <c r="F26" s="56">
        <f>'Monthly Electricity (Overview)'!I104</f>
        <v/>
      </c>
      <c r="G26" s="672">
        <f>IF(E26=F26,"/")</f>
        <v/>
      </c>
      <c r="H26" s="56">
        <f>'Monthly Electricity (Overview)'!N104</f>
        <v/>
      </c>
      <c r="I26" s="56">
        <f>'Monthly Electricity (Overview)'!N104</f>
        <v/>
      </c>
      <c r="J26" s="672">
        <f>IF(H26=I26,"/")</f>
        <v/>
      </c>
      <c r="K26" s="56">
        <f>'Monthly Electricity (Overview)'!E104</f>
        <v/>
      </c>
      <c r="L26" s="56">
        <f>'Monthly Electricity (Overview)'!E104</f>
        <v/>
      </c>
      <c r="M26" s="672">
        <f>IF(K26=L26,"/")</f>
        <v/>
      </c>
      <c r="N26" s="56">
        <f>'Monthly Electricity (Overview)'!J104</f>
        <v/>
      </c>
      <c r="O26" s="56">
        <f>'Monthly Electricity (Overview)'!J104</f>
        <v/>
      </c>
      <c r="P26" s="672">
        <f>IF(N26=O26,"/")</f>
        <v/>
      </c>
      <c r="Q26" s="56">
        <f>'Monthly Electricity (Overview)'!K104</f>
        <v/>
      </c>
      <c r="R26" s="56">
        <f>'Monthly Electricity (Overview)'!K104</f>
        <v/>
      </c>
      <c r="S26" s="672">
        <f>IF(Q26=R26,"/")</f>
        <v/>
      </c>
      <c r="T26" s="56" t="n"/>
      <c r="U26" s="56" t="n"/>
      <c r="V26" s="672">
        <f>IF(T26=U26,"/")</f>
        <v/>
      </c>
      <c r="W26" s="56">
        <f>'Monthly Electricity (Overview)'!L104</f>
        <v/>
      </c>
      <c r="X26" s="56">
        <f>'Monthly Electricity (Overview)'!L104</f>
        <v/>
      </c>
      <c r="Y26" s="672">
        <f>IF(W26=X26,"/")</f>
        <v/>
      </c>
      <c r="Z26" s="14" t="n">
        <v>99717</v>
      </c>
      <c r="AA26" s="56">
        <f>'Monthly Electricity (Overview)'!X104+'Monthly Electricity (Overview)'!W104+'Monthly Electricity (Overview)'!AC104</f>
        <v/>
      </c>
      <c r="AB26" s="56">
        <f>SUM('Monthly Electricity (Overview)'!U104:X104)+'Monthly Electricity (Overview)'!AC104</f>
        <v/>
      </c>
      <c r="AC26" s="672">
        <f>IF(AA26=AB26,"/")</f>
        <v/>
      </c>
      <c r="AD26" s="56">
        <f>'Monthly Electricity (Overview)'!Y104</f>
        <v/>
      </c>
      <c r="AE26" s="56">
        <f>'Monthly Electricity (Overview)'!Y104</f>
        <v/>
      </c>
      <c r="AF26" s="672">
        <f>IF(AD26=AE26,"/")</f>
        <v/>
      </c>
      <c r="AG26" s="56">
        <f>SUM(B26,E26,H26,K26,N26,Q26,W26,AA26,AD26,Z26)</f>
        <v/>
      </c>
      <c r="AH26" s="56">
        <f>SUM(B26,E26,H26,K26,N26,Q26,W26,AA26,AD26)</f>
        <v/>
      </c>
      <c r="AI26" s="56">
        <f>SUM(C26,F26,I26,L26,O26,R26,U26,X26,AB26, AE26)</f>
        <v/>
      </c>
      <c r="AJ26" s="672">
        <f>IF(AH26=AI26,"/")</f>
        <v/>
      </c>
      <c r="AK26" s="56">
        <f>AH26-AI26</f>
        <v/>
      </c>
    </row>
    <row r="27" ht="17" customHeight="1">
      <c r="A27" s="318" t="n">
        <v>44774</v>
      </c>
      <c r="B27" s="56">
        <f>'Monthly Electricity (Overview)'!B105-'Monthly Electricity (Overview)'!E105-SUM('Monthly Electricity (Overview)'!I105:N105)-SUM('Monthly Electricity (Overview)'!X105:Y105)+'Monthly Electricity (Overview)'!AD105</f>
        <v/>
      </c>
      <c r="C27" s="56">
        <f>'Monthly Electricity (Overview)'!B105-'Monthly Electricity (Overview)'!E105-SUM('Monthly Electricity (Overview)'!I105:N105)-SUM('Monthly Electricity (Overview)'!T105:Y105)</f>
        <v/>
      </c>
      <c r="D27" s="672">
        <f>IF(B27=C27,"/")</f>
        <v/>
      </c>
      <c r="E27" s="56">
        <f>'Monthly Electricity (Overview)'!I105</f>
        <v/>
      </c>
      <c r="F27" s="56">
        <f>'Monthly Electricity (Overview)'!I105</f>
        <v/>
      </c>
      <c r="G27" s="672">
        <f>IF(E27=F27,"/")</f>
        <v/>
      </c>
      <c r="H27" s="56">
        <f>'Monthly Electricity (Overview)'!N105</f>
        <v/>
      </c>
      <c r="I27" s="56">
        <f>'Monthly Electricity (Overview)'!N105</f>
        <v/>
      </c>
      <c r="J27" s="672">
        <f>IF(H27=I27,"/")</f>
        <v/>
      </c>
      <c r="K27" s="56">
        <f>'Monthly Electricity (Overview)'!E105</f>
        <v/>
      </c>
      <c r="L27" s="56">
        <f>'Monthly Electricity (Overview)'!E105</f>
        <v/>
      </c>
      <c r="M27" s="672">
        <f>IF(K27=L27,"/")</f>
        <v/>
      </c>
      <c r="N27" s="56">
        <f>'Monthly Electricity (Overview)'!J105</f>
        <v/>
      </c>
      <c r="O27" s="56">
        <f>'Monthly Electricity (Overview)'!J105</f>
        <v/>
      </c>
      <c r="P27" s="672">
        <f>IF(N27=O27,"/")</f>
        <v/>
      </c>
      <c r="Q27" s="56">
        <f>'Monthly Electricity (Overview)'!K105</f>
        <v/>
      </c>
      <c r="R27" s="56">
        <f>'Monthly Electricity (Overview)'!K105</f>
        <v/>
      </c>
      <c r="S27" s="672">
        <f>IF(Q27=R27,"/")</f>
        <v/>
      </c>
      <c r="T27" s="56" t="n"/>
      <c r="U27" s="56" t="n"/>
      <c r="V27" s="672">
        <f>IF(T27=U27,"/")</f>
        <v/>
      </c>
      <c r="W27" s="56">
        <f>'Monthly Electricity (Overview)'!L105</f>
        <v/>
      </c>
      <c r="X27" s="56">
        <f>'Monthly Electricity (Overview)'!L105</f>
        <v/>
      </c>
      <c r="Y27" s="672">
        <f>IF(W27=X27,"/")</f>
        <v/>
      </c>
      <c r="Z27" s="14" t="n">
        <v>89490</v>
      </c>
      <c r="AA27" s="56">
        <f>'Monthly Electricity (Overview)'!X105+'Monthly Electricity (Overview)'!W105+'Monthly Electricity (Overview)'!AC105</f>
        <v/>
      </c>
      <c r="AB27" s="56">
        <f>SUM('Monthly Electricity (Overview)'!U105:X105)+'Monthly Electricity (Overview)'!AC105</f>
        <v/>
      </c>
      <c r="AC27" s="672">
        <f>IF(AA27=AB27,"/")</f>
        <v/>
      </c>
      <c r="AD27" s="56">
        <f>'Monthly Electricity (Overview)'!Y105</f>
        <v/>
      </c>
      <c r="AE27" s="56">
        <f>'Monthly Electricity (Overview)'!Y105</f>
        <v/>
      </c>
      <c r="AF27" s="672">
        <f>IF(AD27=AE27,"/")</f>
        <v/>
      </c>
      <c r="AG27" s="56">
        <f>SUM(B27,E27,H27,K27,N27,Q27,W27,AA27,AD27,Z27)</f>
        <v/>
      </c>
      <c r="AH27" s="56">
        <f>SUM(B27,E27,H27,K27,N27,Q27,W27,AA27,AD27)</f>
        <v/>
      </c>
      <c r="AI27" s="56">
        <f>SUM(C27,F27,I27,L27,O27,R27,U27,X27,AB27, AE27)</f>
        <v/>
      </c>
      <c r="AJ27" s="672">
        <f>IF(AH27=AI27,"/")</f>
        <v/>
      </c>
      <c r="AK27" s="56">
        <f>AH27-AI27</f>
        <v/>
      </c>
    </row>
    <row r="28" ht="17" customHeight="1">
      <c r="A28" s="318" t="n">
        <v>44805</v>
      </c>
      <c r="B28" s="56">
        <f>'Monthly Electricity (Overview)'!B106-'Monthly Electricity (Overview)'!E106-SUM('Monthly Electricity (Overview)'!I106:N106)-SUM('Monthly Electricity (Overview)'!X106:Y106)+'Monthly Electricity (Overview)'!AD106</f>
        <v/>
      </c>
      <c r="C28" s="56">
        <f>'Monthly Electricity (Overview)'!B106-'Monthly Electricity (Overview)'!E106-SUM('Monthly Electricity (Overview)'!I106:N106)-SUM('Monthly Electricity (Overview)'!T106:Y106)</f>
        <v/>
      </c>
      <c r="D28" s="672">
        <f>IF(B28=C28,"/")</f>
        <v/>
      </c>
      <c r="E28" s="56">
        <f>'Monthly Electricity (Overview)'!I106</f>
        <v/>
      </c>
      <c r="F28" s="56">
        <f>'Monthly Electricity (Overview)'!I106</f>
        <v/>
      </c>
      <c r="G28" s="672">
        <f>IF(E28=F28,"/")</f>
        <v/>
      </c>
      <c r="H28" s="56">
        <f>'Monthly Electricity (Overview)'!N106</f>
        <v/>
      </c>
      <c r="I28" s="56">
        <f>'Monthly Electricity (Overview)'!N106</f>
        <v/>
      </c>
      <c r="J28" s="672">
        <f>IF(H28=I28,"/")</f>
        <v/>
      </c>
      <c r="K28" s="56">
        <f>'Monthly Electricity (Overview)'!E106</f>
        <v/>
      </c>
      <c r="L28" s="56">
        <f>'Monthly Electricity (Overview)'!E106</f>
        <v/>
      </c>
      <c r="M28" s="672">
        <f>IF(K28=L28,"/")</f>
        <v/>
      </c>
      <c r="N28" s="56">
        <f>'Monthly Electricity (Overview)'!J106</f>
        <v/>
      </c>
      <c r="O28" s="56">
        <f>'Monthly Electricity (Overview)'!J106</f>
        <v/>
      </c>
      <c r="P28" s="672">
        <f>IF(N28=O28,"/")</f>
        <v/>
      </c>
      <c r="Q28" s="56">
        <f>'Monthly Electricity (Overview)'!K106</f>
        <v/>
      </c>
      <c r="R28" s="56">
        <f>'Monthly Electricity (Overview)'!K106</f>
        <v/>
      </c>
      <c r="S28" s="672">
        <f>IF(Q28=R28,"/")</f>
        <v/>
      </c>
      <c r="T28" s="56" t="n"/>
      <c r="U28" s="56" t="n"/>
      <c r="V28" s="672">
        <f>IF(T28=U28,"/")</f>
        <v/>
      </c>
      <c r="W28" s="56">
        <f>'Monthly Electricity (Overview)'!L106</f>
        <v/>
      </c>
      <c r="X28" s="56">
        <f>'Monthly Electricity (Overview)'!L106</f>
        <v/>
      </c>
      <c r="Y28" s="672">
        <f>IF(W28=X28,"/")</f>
        <v/>
      </c>
      <c r="Z28" s="14" t="n">
        <v>94828</v>
      </c>
      <c r="AA28" s="56">
        <f>'Monthly Electricity (Overview)'!X106+'Monthly Electricity (Overview)'!W106+'Monthly Electricity (Overview)'!AC106</f>
        <v/>
      </c>
      <c r="AB28" s="56">
        <f>SUM('Monthly Electricity (Overview)'!U106:X106)+'Monthly Electricity (Overview)'!AC106</f>
        <v/>
      </c>
      <c r="AC28" s="672">
        <f>IF(AA28=AB28,"/")</f>
        <v/>
      </c>
      <c r="AD28" s="56">
        <f>'Monthly Electricity (Overview)'!Y106</f>
        <v/>
      </c>
      <c r="AE28" s="56">
        <f>'Monthly Electricity (Overview)'!Y106</f>
        <v/>
      </c>
      <c r="AF28" s="672">
        <f>IF(AD28=AE28,"/")</f>
        <v/>
      </c>
      <c r="AG28" s="56">
        <f>SUM(B28,E28,H28,K28,N28,Q28,W28,AA28,AD28,Z28)</f>
        <v/>
      </c>
      <c r="AH28" s="56">
        <f>SUM(B28,E28,H28,K28,N28,Q28,W28,AA28,AD28)</f>
        <v/>
      </c>
      <c r="AI28" s="56">
        <f>SUM(C28,F28,I28,L28,O28,R28,U28,X28,AB28, AE28)</f>
        <v/>
      </c>
      <c r="AJ28" s="672">
        <f>IF(AH28=AI28,"/")</f>
        <v/>
      </c>
      <c r="AK28" s="56">
        <f>AH28-AI28</f>
        <v/>
      </c>
    </row>
    <row r="29" ht="17" customHeight="1">
      <c r="A29" s="318" t="n">
        <v>44835</v>
      </c>
      <c r="B29" s="56">
        <f>'Monthly Electricity (Overview)'!B107-'Monthly Electricity (Overview)'!E107-SUM('Monthly Electricity (Overview)'!I107:N107)-SUM('Monthly Electricity (Overview)'!X107:Y107)+'Monthly Electricity (Overview)'!AD107</f>
        <v/>
      </c>
      <c r="C29" s="56">
        <f>'Monthly Electricity (Overview)'!B107-'Monthly Electricity (Overview)'!E107-SUM('Monthly Electricity (Overview)'!I107:N107)-SUM('Monthly Electricity (Overview)'!T107:Y107)</f>
        <v/>
      </c>
      <c r="D29" s="672">
        <f>IF(B29=C29,"/")</f>
        <v/>
      </c>
      <c r="E29" s="56">
        <f>'Monthly Electricity (Overview)'!I107</f>
        <v/>
      </c>
      <c r="F29" s="56">
        <f>'Monthly Electricity (Overview)'!I107</f>
        <v/>
      </c>
      <c r="G29" s="672">
        <f>IF(E29=F29,"/")</f>
        <v/>
      </c>
      <c r="H29" s="56">
        <f>'Monthly Electricity (Overview)'!N107</f>
        <v/>
      </c>
      <c r="I29" s="56">
        <f>'Monthly Electricity (Overview)'!N107</f>
        <v/>
      </c>
      <c r="J29" s="672">
        <f>IF(H29=I29,"/")</f>
        <v/>
      </c>
      <c r="K29" s="56">
        <f>'Monthly Electricity (Overview)'!E107</f>
        <v/>
      </c>
      <c r="L29" s="56">
        <f>'Monthly Electricity (Overview)'!E107</f>
        <v/>
      </c>
      <c r="M29" s="672">
        <f>IF(K29=L29,"/")</f>
        <v/>
      </c>
      <c r="N29" s="56">
        <f>'Monthly Electricity (Overview)'!J107</f>
        <v/>
      </c>
      <c r="O29" s="56">
        <f>'Monthly Electricity (Overview)'!J107</f>
        <v/>
      </c>
      <c r="P29" s="672">
        <f>IF(N29=O29,"/")</f>
        <v/>
      </c>
      <c r="Q29" s="56">
        <f>'Monthly Electricity (Overview)'!K107</f>
        <v/>
      </c>
      <c r="R29" s="56">
        <f>'Monthly Electricity (Overview)'!K107</f>
        <v/>
      </c>
      <c r="S29" s="672">
        <f>IF(Q29=R29,"/")</f>
        <v/>
      </c>
      <c r="T29" s="56" t="n"/>
      <c r="U29" s="56" t="n"/>
      <c r="V29" s="672">
        <f>IF(T29=U29,"/")</f>
        <v/>
      </c>
      <c r="W29" s="56">
        <f>'Monthly Electricity (Overview)'!L107</f>
        <v/>
      </c>
      <c r="X29" s="56">
        <f>'Monthly Electricity (Overview)'!L107</f>
        <v/>
      </c>
      <c r="Y29" s="672">
        <f>IF(W29=X29,"/")</f>
        <v/>
      </c>
      <c r="Z29" s="14" t="n">
        <v>72708</v>
      </c>
      <c r="AA29" s="56">
        <f>'Monthly Electricity (Overview)'!X107+'Monthly Electricity (Overview)'!W107+'Monthly Electricity (Overview)'!AC107</f>
        <v/>
      </c>
      <c r="AB29" s="56">
        <f>SUM('Monthly Electricity (Overview)'!U107:X107)+'Monthly Electricity (Overview)'!AC107</f>
        <v/>
      </c>
      <c r="AC29" s="672">
        <f>IF(AA29=AB29,"/")</f>
        <v/>
      </c>
      <c r="AD29" s="56">
        <f>'Monthly Electricity (Overview)'!Y107</f>
        <v/>
      </c>
      <c r="AE29" s="56">
        <f>'Monthly Electricity (Overview)'!Y107</f>
        <v/>
      </c>
      <c r="AF29" s="672">
        <f>IF(AD29=AE29,"/")</f>
        <v/>
      </c>
      <c r="AG29" s="56">
        <f>SUM(B29,E29,H29,K29,N29,Q29,W29,AA29,AD29,Z29)</f>
        <v/>
      </c>
      <c r="AH29" s="56">
        <f>SUM(B29,E29,H29,K29,N29,Q29,W29,AA29,AD29)</f>
        <v/>
      </c>
      <c r="AI29" s="56">
        <f>SUM(C29,F29,I29,L29,O29,R29,U29,X29,AB29, AE29)</f>
        <v/>
      </c>
      <c r="AJ29" s="672">
        <f>IF(AH29=AI29,"/")</f>
        <v/>
      </c>
      <c r="AK29" s="56">
        <f>AH29-AI29</f>
        <v/>
      </c>
    </row>
    <row r="30" ht="17" customHeight="1">
      <c r="A30" s="318" t="n">
        <v>44866</v>
      </c>
      <c r="B30" s="56">
        <f>'Monthly Electricity (Overview)'!B108-'Monthly Electricity (Overview)'!E108-SUM('Monthly Electricity (Overview)'!I108:N108)-SUM('Monthly Electricity (Overview)'!X108:Y108)+'Monthly Electricity (Overview)'!AD108</f>
        <v/>
      </c>
      <c r="C30" s="56">
        <f>'Monthly Electricity (Overview)'!B108-'Monthly Electricity (Overview)'!E108-SUM('Monthly Electricity (Overview)'!I108:N108)-SUM('Monthly Electricity (Overview)'!T108:Y108)</f>
        <v/>
      </c>
      <c r="D30" s="672">
        <f>IF(B30=C30,"/")</f>
        <v/>
      </c>
      <c r="E30" s="56">
        <f>'Monthly Electricity (Overview)'!I108</f>
        <v/>
      </c>
      <c r="F30" s="56">
        <f>'Monthly Electricity (Overview)'!I108</f>
        <v/>
      </c>
      <c r="G30" s="672">
        <f>IF(E30=F30,"/")</f>
        <v/>
      </c>
      <c r="H30" s="56">
        <f>'Monthly Electricity (Overview)'!N108</f>
        <v/>
      </c>
      <c r="I30" s="56">
        <f>'Monthly Electricity (Overview)'!N108</f>
        <v/>
      </c>
      <c r="J30" s="672">
        <f>IF(H30=I30,"/")</f>
        <v/>
      </c>
      <c r="K30" s="56">
        <f>'Monthly Electricity (Overview)'!E108</f>
        <v/>
      </c>
      <c r="L30" s="56">
        <f>'Monthly Electricity (Overview)'!E108</f>
        <v/>
      </c>
      <c r="M30" s="672">
        <f>IF(K30=L30,"/")</f>
        <v/>
      </c>
      <c r="N30" s="56">
        <f>'Monthly Electricity (Overview)'!J108</f>
        <v/>
      </c>
      <c r="O30" s="56">
        <f>'Monthly Electricity (Overview)'!J108</f>
        <v/>
      </c>
      <c r="P30" s="672">
        <f>IF(N30=O30,"/")</f>
        <v/>
      </c>
      <c r="Q30" s="56">
        <f>'Monthly Electricity (Overview)'!K108</f>
        <v/>
      </c>
      <c r="R30" s="56">
        <f>'Monthly Electricity (Overview)'!K108</f>
        <v/>
      </c>
      <c r="S30" s="672">
        <f>IF(Q30=R30,"/")</f>
        <v/>
      </c>
      <c r="T30" s="56" t="n"/>
      <c r="U30" s="56" t="n"/>
      <c r="V30" s="672">
        <f>IF(T30=U30,"/")</f>
        <v/>
      </c>
      <c r="W30" s="56">
        <f>'Monthly Electricity (Overview)'!L108</f>
        <v/>
      </c>
      <c r="X30" s="56">
        <f>'Monthly Electricity (Overview)'!L108</f>
        <v/>
      </c>
      <c r="Y30" s="672">
        <f>IF(W30=X30,"/")</f>
        <v/>
      </c>
      <c r="Z30" s="14" t="n">
        <v>65370</v>
      </c>
      <c r="AA30" s="56">
        <f>'Monthly Electricity (Overview)'!X108+'Monthly Electricity (Overview)'!W108+'Monthly Electricity (Overview)'!AC108</f>
        <v/>
      </c>
      <c r="AB30" s="56">
        <f>SUM('Monthly Electricity (Overview)'!U108:X108)+'Monthly Electricity (Overview)'!AC108</f>
        <v/>
      </c>
      <c r="AC30" s="672">
        <f>IF(AA30=AB30,"/")</f>
        <v/>
      </c>
      <c r="AD30" s="56">
        <f>'Monthly Electricity (Overview)'!Y108</f>
        <v/>
      </c>
      <c r="AE30" s="56">
        <f>'Monthly Electricity (Overview)'!Y108</f>
        <v/>
      </c>
      <c r="AF30" s="672">
        <f>IF(AD30=AE30,"/")</f>
        <v/>
      </c>
      <c r="AG30" s="56">
        <f>SUM(B30,E30,H30,K30,N30,Q30,W30,AA30,AD30,Z30)</f>
        <v/>
      </c>
      <c r="AH30" s="56">
        <f>SUM(B30,E30,H30,K30,N30,Q30,W30,AA30,AD30)</f>
        <v/>
      </c>
      <c r="AI30" s="56">
        <f>SUM(C30,F30,I30,L30,O30,R30,U30,X30,AB30, AE30)</f>
        <v/>
      </c>
      <c r="AJ30" s="672">
        <f>IF(AH30=AI30,"/")</f>
        <v/>
      </c>
      <c r="AK30" s="56">
        <f>AH30-AI30</f>
        <v/>
      </c>
    </row>
    <row r="31" ht="17" customHeight="1">
      <c r="A31" s="318" t="n">
        <v>44896</v>
      </c>
      <c r="B31" s="315">
        <f>'Monthly Electricity (Overview)'!B109-'Monthly Electricity (Overview)'!E109-SUM('Monthly Electricity (Overview)'!I109:N109)-SUM('Monthly Electricity (Overview)'!X109:Y109)+'Monthly Electricity (Overview)'!AD109</f>
        <v/>
      </c>
      <c r="C31" s="56">
        <f>'Monthly Electricity (Overview)'!B109-'Monthly Electricity (Overview)'!E109-SUM('Monthly Electricity (Overview)'!I109:N109)-SUM('Monthly Electricity (Overview)'!T109:Y109)</f>
        <v/>
      </c>
      <c r="D31" s="672">
        <f>IF(B31=C31,"/")</f>
        <v/>
      </c>
      <c r="E31" s="315">
        <f>'Monthly Electricity (Overview)'!I109</f>
        <v/>
      </c>
      <c r="F31" s="56">
        <f>'Monthly Electricity (Overview)'!I109</f>
        <v/>
      </c>
      <c r="G31" s="672">
        <f>IF(E31=F31,"/")</f>
        <v/>
      </c>
      <c r="H31" s="315">
        <f>'Monthly Electricity (Overview)'!N109</f>
        <v/>
      </c>
      <c r="I31" s="56">
        <f>'Monthly Electricity (Overview)'!N109</f>
        <v/>
      </c>
      <c r="J31" s="672">
        <f>IF(H31=I31,"/")</f>
        <v/>
      </c>
      <c r="K31" s="315">
        <f>'Monthly Electricity (Overview)'!E109</f>
        <v/>
      </c>
      <c r="L31" s="56">
        <f>'Monthly Electricity (Overview)'!E109</f>
        <v/>
      </c>
      <c r="M31" s="672">
        <f>IF(K31=L31,"/")</f>
        <v/>
      </c>
      <c r="N31" s="315">
        <f>'Monthly Electricity (Overview)'!J109</f>
        <v/>
      </c>
      <c r="O31" s="56">
        <f>'Monthly Electricity (Overview)'!J109</f>
        <v/>
      </c>
      <c r="P31" s="672">
        <f>IF(N31=O31,"/")</f>
        <v/>
      </c>
      <c r="Q31" s="315">
        <f>'Monthly Electricity (Overview)'!K109</f>
        <v/>
      </c>
      <c r="R31" s="56">
        <f>'Monthly Electricity (Overview)'!K109</f>
        <v/>
      </c>
      <c r="S31" s="672">
        <f>IF(Q31=R31,"/")</f>
        <v/>
      </c>
      <c r="T31" s="315" t="n"/>
      <c r="U31" s="315" t="n"/>
      <c r="V31" s="672">
        <f>IF(T31=U31,"/")</f>
        <v/>
      </c>
      <c r="W31" s="315">
        <f>'Monthly Electricity (Overview)'!L109</f>
        <v/>
      </c>
      <c r="X31" s="56">
        <f>'Monthly Electricity (Overview)'!L109</f>
        <v/>
      </c>
      <c r="Y31" s="672">
        <f>IF(W31=X31,"/")</f>
        <v/>
      </c>
      <c r="Z31" s="316" t="n">
        <v>55028</v>
      </c>
      <c r="AA31" s="56">
        <f>'Monthly Electricity (Overview)'!X109+'Monthly Electricity (Overview)'!W109+'Monthly Electricity (Overview)'!AC109</f>
        <v/>
      </c>
      <c r="AB31" s="56">
        <f>SUM('Monthly Electricity (Overview)'!U109:X109)+'Monthly Electricity (Overview)'!AC109</f>
        <v/>
      </c>
      <c r="AC31" s="672">
        <f>IF(AA31=AB31,"/")</f>
        <v/>
      </c>
      <c r="AD31" s="315">
        <f>'Monthly Electricity (Overview)'!Y109</f>
        <v/>
      </c>
      <c r="AE31" s="56">
        <f>'Monthly Electricity (Overview)'!Y109</f>
        <v/>
      </c>
      <c r="AF31" s="672">
        <f>IF(AD31=AE31,"/")</f>
        <v/>
      </c>
      <c r="AG31" s="56">
        <f>SUM(B31,E31,H31,K31,N31,Q31,W31,AA31,AD31,Z31)</f>
        <v/>
      </c>
      <c r="AH31" s="56">
        <f>SUM(B31,E31,H31,K31,N31,Q31,W31,AA31,AD31)</f>
        <v/>
      </c>
      <c r="AI31" s="56">
        <f>SUM(C31,F31,I31,L31,O31,R31,U31,X31,AB31, AE31)</f>
        <v/>
      </c>
      <c r="AJ31" s="672">
        <f>IF(AH31=AI31,"/")</f>
        <v/>
      </c>
      <c r="AK31" s="56">
        <f>AH31-AI31</f>
        <v/>
      </c>
    </row>
    <row r="32" ht="17" customHeight="1">
      <c r="A32" s="319" t="n">
        <v>44927</v>
      </c>
      <c r="B32" s="56">
        <f>'Monthly Electricity (Overview)'!B110-'Monthly Electricity (Overview)'!E110-SUM('Monthly Electricity (Overview)'!I110:N110)-SUM('Monthly Electricity (Overview)'!X110:Y110)+'Monthly Electricity (Overview)'!AD110</f>
        <v/>
      </c>
      <c r="C32" s="56">
        <f>'Monthly Electricity (Overview)'!B110-'Monthly Electricity (Overview)'!E110-SUM('Monthly Electricity (Overview)'!I110:N110)-SUM('Monthly Electricity (Overview)'!T110:Y110)</f>
        <v/>
      </c>
      <c r="D32" s="672">
        <f>IF(B32=C32,"/")</f>
        <v/>
      </c>
      <c r="E32" s="56">
        <f>'Monthly Electricity (Overview)'!I110</f>
        <v/>
      </c>
      <c r="F32" s="56">
        <f>'Monthly Electricity (Overview)'!I110</f>
        <v/>
      </c>
      <c r="G32" s="672">
        <f>IF(E32=F32,"/")</f>
        <v/>
      </c>
      <c r="H32" s="56">
        <f>'Monthly Electricity (Overview)'!N110</f>
        <v/>
      </c>
      <c r="I32" s="56">
        <f>'Monthly Electricity (Overview)'!N110</f>
        <v/>
      </c>
      <c r="J32" s="672">
        <f>IF(H32=I32,"/")</f>
        <v/>
      </c>
      <c r="K32" s="56">
        <f>'Monthly Electricity (Overview)'!E110</f>
        <v/>
      </c>
      <c r="L32" s="56">
        <f>'Monthly Electricity (Overview)'!E110</f>
        <v/>
      </c>
      <c r="M32" s="672">
        <f>IF(K32=L32,"/")</f>
        <v/>
      </c>
      <c r="N32" s="56">
        <f>'Monthly Electricity (Overview)'!J110</f>
        <v/>
      </c>
      <c r="O32" s="56">
        <f>'Monthly Electricity (Overview)'!J110</f>
        <v/>
      </c>
      <c r="P32" s="672">
        <f>IF(N32=O32,"/")</f>
        <v/>
      </c>
      <c r="Q32" s="56">
        <f>'Monthly Electricity (Overview)'!K110</f>
        <v/>
      </c>
      <c r="R32" s="56">
        <f>'Monthly Electricity (Overview)'!K110</f>
        <v/>
      </c>
      <c r="S32" s="672">
        <f>IF(Q32=R32,"/")</f>
        <v/>
      </c>
      <c r="T32" s="56" t="n"/>
      <c r="U32" s="56" t="n"/>
      <c r="V32" s="672">
        <f>IF(T32=U32,"/")</f>
        <v/>
      </c>
      <c r="W32" s="56">
        <f>'Monthly Electricity (Overview)'!L110</f>
        <v/>
      </c>
      <c r="X32" s="56">
        <f>'Monthly Electricity (Overview)'!L110</f>
        <v/>
      </c>
      <c r="Y32" s="672">
        <f>IF(W32=X32,"/")</f>
        <v/>
      </c>
      <c r="Z32" s="14" t="n">
        <v>57143</v>
      </c>
      <c r="AA32" s="56">
        <f>'Monthly Electricity (Overview)'!X110+'Monthly Electricity (Overview)'!W110+'Monthly Electricity (Overview)'!AC110</f>
        <v/>
      </c>
      <c r="AB32" s="56">
        <f>SUM('Monthly Electricity (Overview)'!U110:X110)+'Monthly Electricity (Overview)'!AC110</f>
        <v/>
      </c>
      <c r="AC32" s="672">
        <f>IF(AA32=AB32,"/")</f>
        <v/>
      </c>
      <c r="AD32" s="56">
        <f>'Monthly Electricity (Overview)'!Y110</f>
        <v/>
      </c>
      <c r="AE32" s="56">
        <f>'Monthly Electricity (Overview)'!Y110</f>
        <v/>
      </c>
      <c r="AF32" s="672">
        <f>IF(AD32=AE32,"/")</f>
        <v/>
      </c>
      <c r="AG32" s="56">
        <f>SUM(B32,E32,H32,K32,N32,Q32,W32,AA32,AD32,Z32)</f>
        <v/>
      </c>
      <c r="AH32" s="56">
        <f>SUM(B32,E32,H32,K32,N32,Q32,W32,AA32,AD32)</f>
        <v/>
      </c>
      <c r="AI32" s="56">
        <f>SUM(C32,F32,I32,L32,O32,R32,U32,X32,AB32, AE32)</f>
        <v/>
      </c>
      <c r="AJ32" s="672">
        <f>IF(AH32=AI32,"/")</f>
        <v/>
      </c>
      <c r="AK32" s="56">
        <f>AH32-AI32</f>
        <v/>
      </c>
    </row>
    <row r="33" ht="17" customHeight="1">
      <c r="A33" s="320" t="n">
        <v>44958</v>
      </c>
      <c r="B33" s="56">
        <f>'Monthly Electricity (Overview)'!B111-'Monthly Electricity (Overview)'!E111-SUM('Monthly Electricity (Overview)'!I111:N111)-SUM('Monthly Electricity (Overview)'!X111:Y111)+'Monthly Electricity (Overview)'!AD111</f>
        <v/>
      </c>
      <c r="C33" s="56">
        <f>'Monthly Electricity (Overview)'!B111-'Monthly Electricity (Overview)'!E111-SUM('Monthly Electricity (Overview)'!I111:N111)-SUM('Monthly Electricity (Overview)'!T111:Y111)</f>
        <v/>
      </c>
      <c r="D33" s="672">
        <f>IF(B33=C33,"/")</f>
        <v/>
      </c>
      <c r="E33" s="56">
        <f>'Monthly Electricity (Overview)'!I111</f>
        <v/>
      </c>
      <c r="F33" s="56">
        <f>'Monthly Electricity (Overview)'!I111</f>
        <v/>
      </c>
      <c r="G33" s="672">
        <f>IF(E33=F33,"/")</f>
        <v/>
      </c>
      <c r="H33" s="56">
        <f>'Monthly Electricity (Overview)'!N111</f>
        <v/>
      </c>
      <c r="I33" s="56">
        <f>'Monthly Electricity (Overview)'!N111</f>
        <v/>
      </c>
      <c r="J33" s="672">
        <f>IF(H33=I33,"/")</f>
        <v/>
      </c>
      <c r="K33" s="56">
        <f>'Monthly Electricity (Overview)'!E111</f>
        <v/>
      </c>
      <c r="L33" s="56">
        <f>'Monthly Electricity (Overview)'!E111</f>
        <v/>
      </c>
      <c r="M33" s="672">
        <f>IF(K33=L33,"/")</f>
        <v/>
      </c>
      <c r="N33" s="56">
        <f>'Monthly Electricity (Overview)'!J111</f>
        <v/>
      </c>
      <c r="O33" s="56">
        <f>'Monthly Electricity (Overview)'!J111</f>
        <v/>
      </c>
      <c r="P33" s="672">
        <f>IF(N33=O33,"/")</f>
        <v/>
      </c>
      <c r="Q33" s="56">
        <f>'Monthly Electricity (Overview)'!K111</f>
        <v/>
      </c>
      <c r="R33" s="56">
        <f>'Monthly Electricity (Overview)'!K111</f>
        <v/>
      </c>
      <c r="S33" s="672">
        <f>IF(Q33=R33,"/")</f>
        <v/>
      </c>
      <c r="T33" s="56" t="n"/>
      <c r="U33" s="56" t="n"/>
      <c r="V33" s="672">
        <f>IF(T33=U33,"/")</f>
        <v/>
      </c>
      <c r="W33" s="56">
        <f>'Monthly Electricity (Overview)'!L111</f>
        <v/>
      </c>
      <c r="X33" s="56">
        <f>'Monthly Electricity (Overview)'!L111</f>
        <v/>
      </c>
      <c r="Y33" s="672">
        <f>IF(W33=X33,"/")</f>
        <v/>
      </c>
      <c r="Z33" s="14" t="n">
        <v>46017</v>
      </c>
      <c r="AA33" s="56">
        <f>'Monthly Electricity (Overview)'!X111+'Monthly Electricity (Overview)'!W111+'Monthly Electricity (Overview)'!AC111</f>
        <v/>
      </c>
      <c r="AB33" s="56">
        <f>SUM('Monthly Electricity (Overview)'!U111:X111)+'Monthly Electricity (Overview)'!AC111</f>
        <v/>
      </c>
      <c r="AC33" s="672">
        <f>IF(AA33=AB33,"/")</f>
        <v/>
      </c>
      <c r="AD33" s="56">
        <f>'Monthly Electricity (Overview)'!Y111</f>
        <v/>
      </c>
      <c r="AE33" s="56">
        <f>'Monthly Electricity (Overview)'!Y111</f>
        <v/>
      </c>
      <c r="AF33" s="672">
        <f>IF(AD33=AE33,"/")</f>
        <v/>
      </c>
      <c r="AG33" s="56">
        <f>SUM(B33,E33,H33,K33,N33,Q33,W33,AA33,AD33,Z33)</f>
        <v/>
      </c>
      <c r="AH33" s="56">
        <f>SUM(B33,E33,H33,K33,N33,Q33,W33,AA33,AD33)</f>
        <v/>
      </c>
      <c r="AI33" s="56">
        <f>SUM(C33,F33,I33,L33,O33,R33,U33,X33,AB33, AE33)</f>
        <v/>
      </c>
      <c r="AJ33" s="672">
        <f>IF(AH33=AI33,"/")</f>
        <v/>
      </c>
      <c r="AK33" s="56">
        <f>AH33-AI33</f>
        <v/>
      </c>
    </row>
    <row r="34" ht="17" customHeight="1">
      <c r="A34" s="320" t="n">
        <v>44986</v>
      </c>
      <c r="B34" s="56">
        <f>'Monthly Electricity (Overview)'!B112-'Monthly Electricity (Overview)'!E112-SUM('Monthly Electricity (Overview)'!I112:N112)-SUM('Monthly Electricity (Overview)'!X112:Y112)+'Monthly Electricity (Overview)'!AD112</f>
        <v/>
      </c>
      <c r="C34" s="56">
        <f>'Monthly Electricity (Overview)'!B112-'Monthly Electricity (Overview)'!E112-SUM('Monthly Electricity (Overview)'!I112:N112)-SUM('Monthly Electricity (Overview)'!T112:Y112)</f>
        <v/>
      </c>
      <c r="D34" s="672">
        <f>IF(B34=C34,"/")</f>
        <v/>
      </c>
      <c r="E34" s="56">
        <f>'Monthly Electricity (Overview)'!I112</f>
        <v/>
      </c>
      <c r="F34" s="56">
        <f>'Monthly Electricity (Overview)'!I112</f>
        <v/>
      </c>
      <c r="G34" s="672">
        <f>IF(E34=F34,"/")</f>
        <v/>
      </c>
      <c r="H34" s="56">
        <f>'Monthly Electricity (Overview)'!N112</f>
        <v/>
      </c>
      <c r="I34" s="56">
        <f>'Monthly Electricity (Overview)'!N112</f>
        <v/>
      </c>
      <c r="J34" s="672">
        <f>IF(H34=I34,"/")</f>
        <v/>
      </c>
      <c r="K34" s="56">
        <f>'Monthly Electricity (Overview)'!E112</f>
        <v/>
      </c>
      <c r="L34" s="56">
        <f>'Monthly Electricity (Overview)'!E112</f>
        <v/>
      </c>
      <c r="M34" s="672">
        <f>IF(K34=L34,"/")</f>
        <v/>
      </c>
      <c r="N34" s="56">
        <f>'Monthly Electricity (Overview)'!J112</f>
        <v/>
      </c>
      <c r="O34" s="56">
        <f>'Monthly Electricity (Overview)'!J112</f>
        <v/>
      </c>
      <c r="P34" s="672">
        <f>IF(N34=O34,"/")</f>
        <v/>
      </c>
      <c r="Q34" s="56">
        <f>'Monthly Electricity (Overview)'!K112</f>
        <v/>
      </c>
      <c r="R34" s="56">
        <f>'Monthly Electricity (Overview)'!K112</f>
        <v/>
      </c>
      <c r="S34" s="672">
        <f>IF(Q34=R34,"/")</f>
        <v/>
      </c>
      <c r="T34" s="56" t="n"/>
      <c r="U34" s="56" t="n"/>
      <c r="V34" s="672">
        <f>IF(T34=U34,"/")</f>
        <v/>
      </c>
      <c r="W34" s="56">
        <f>'Monthly Electricity (Overview)'!L112</f>
        <v/>
      </c>
      <c r="X34" s="56">
        <f>'Monthly Electricity (Overview)'!L112</f>
        <v/>
      </c>
      <c r="Y34" s="672">
        <f>IF(W34=X34,"/")</f>
        <v/>
      </c>
      <c r="Z34" s="14" t="n">
        <v>52879</v>
      </c>
      <c r="AA34" s="56">
        <f>'Monthly Electricity (Overview)'!X112+'Monthly Electricity (Overview)'!W112+'Monthly Electricity (Overview)'!AC112</f>
        <v/>
      </c>
      <c r="AB34" s="56">
        <f>SUM('Monthly Electricity (Overview)'!U112:X112)+'Monthly Electricity (Overview)'!AC112</f>
        <v/>
      </c>
      <c r="AC34" s="672">
        <f>IF(AA34=AB34,"/")</f>
        <v/>
      </c>
      <c r="AD34" s="56">
        <f>'Monthly Electricity (Overview)'!Y112</f>
        <v/>
      </c>
      <c r="AE34" s="56">
        <f>'Monthly Electricity (Overview)'!Y112</f>
        <v/>
      </c>
      <c r="AF34" s="672">
        <f>IF(AD34=AE34,"/")</f>
        <v/>
      </c>
      <c r="AG34" s="56">
        <f>SUM(B34,E34,H34,K34,N34,Q34,W34,AA34,AD34,Z34)</f>
        <v/>
      </c>
      <c r="AH34" s="56">
        <f>SUM(B34,E34,H34,K34,N34,Q34,W34,AA34,AD34)</f>
        <v/>
      </c>
      <c r="AI34" s="56">
        <f>SUM(C34,F34,I34,L34,O34,R34,U34,X34,AB34, AE34)</f>
        <v/>
      </c>
      <c r="AJ34" s="672">
        <f>IF(AH34=AI34,"/")</f>
        <v/>
      </c>
      <c r="AK34" s="56">
        <f>AH34-AI34</f>
        <v/>
      </c>
    </row>
    <row r="35" ht="17" customHeight="1">
      <c r="A35" s="320" t="n">
        <v>45017</v>
      </c>
      <c r="B35" s="56">
        <f>'Monthly Electricity (Overview)'!B113-'Monthly Electricity (Overview)'!E113-SUM('Monthly Electricity (Overview)'!I113:N113)-SUM('Monthly Electricity (Overview)'!X113:Y113)+'Monthly Electricity (Overview)'!AD113</f>
        <v/>
      </c>
      <c r="C35" s="56">
        <f>'Monthly Electricity (Overview)'!B113-'Monthly Electricity (Overview)'!E113-SUM('Monthly Electricity (Overview)'!I113:N113)-SUM('Monthly Electricity (Overview)'!T113:Y113)</f>
        <v/>
      </c>
      <c r="D35" s="672">
        <f>IF(B35=C35,"/")</f>
        <v/>
      </c>
      <c r="E35" s="56">
        <f>'Monthly Electricity (Overview)'!I113</f>
        <v/>
      </c>
      <c r="F35" s="56">
        <f>'Monthly Electricity (Overview)'!I113</f>
        <v/>
      </c>
      <c r="G35" s="672">
        <f>IF(E35=F35,"/")</f>
        <v/>
      </c>
      <c r="H35" s="56">
        <f>'Monthly Electricity (Overview)'!N113</f>
        <v/>
      </c>
      <c r="I35" s="56">
        <f>'Monthly Electricity (Overview)'!N113</f>
        <v/>
      </c>
      <c r="J35" s="672">
        <f>IF(H35=I35,"/")</f>
        <v/>
      </c>
      <c r="K35" s="56">
        <f>'Monthly Electricity (Overview)'!E113</f>
        <v/>
      </c>
      <c r="L35" s="56">
        <f>'Monthly Electricity (Overview)'!E113</f>
        <v/>
      </c>
      <c r="M35" s="672">
        <f>IF(K35=L35,"/")</f>
        <v/>
      </c>
      <c r="N35" s="56">
        <f>'Monthly Electricity (Overview)'!J113</f>
        <v/>
      </c>
      <c r="O35" s="56">
        <f>'Monthly Electricity (Overview)'!J113</f>
        <v/>
      </c>
      <c r="P35" s="672">
        <f>IF(N35=O35,"/")</f>
        <v/>
      </c>
      <c r="Q35" s="56">
        <f>'Monthly Electricity (Overview)'!K113</f>
        <v/>
      </c>
      <c r="R35" s="56">
        <f>'Monthly Electricity (Overview)'!K113</f>
        <v/>
      </c>
      <c r="S35" s="672">
        <f>IF(Q35=R35,"/")</f>
        <v/>
      </c>
      <c r="T35" s="56" t="n"/>
      <c r="U35" s="56" t="n"/>
      <c r="V35" s="672">
        <f>IF(T35=U35,"/")</f>
        <v/>
      </c>
      <c r="W35" s="56">
        <f>'Monthly Electricity (Overview)'!L113</f>
        <v/>
      </c>
      <c r="X35" s="56">
        <f>'Monthly Electricity (Overview)'!L113</f>
        <v/>
      </c>
      <c r="Y35" s="672">
        <f>IF(W35=X35,"/")</f>
        <v/>
      </c>
      <c r="Z35" s="14" t="n">
        <v>77768</v>
      </c>
      <c r="AA35" s="56">
        <f>'Monthly Electricity (Overview)'!X113+'Monthly Electricity (Overview)'!W113+'Monthly Electricity (Overview)'!AC113</f>
        <v/>
      </c>
      <c r="AB35" s="56">
        <f>SUM('Monthly Electricity (Overview)'!U113:X113)+'Monthly Electricity (Overview)'!AC113</f>
        <v/>
      </c>
      <c r="AC35" s="672">
        <f>IF(AA35=AB35,"/")</f>
        <v/>
      </c>
      <c r="AD35" s="56">
        <f>'Monthly Electricity (Overview)'!Y113</f>
        <v/>
      </c>
      <c r="AE35" s="56">
        <f>'Monthly Electricity (Overview)'!Y113</f>
        <v/>
      </c>
      <c r="AF35" s="672">
        <f>IF(AD35=AE35,"/")</f>
        <v/>
      </c>
      <c r="AG35" s="56">
        <f>SUM(B35,E35,H35,K35,N35,Q35,W35,AA35,AD35,Z35)</f>
        <v/>
      </c>
      <c r="AH35" s="56">
        <f>SUM(B35,E35,H35,K35,N35,Q35,W35,AA35,AD35)</f>
        <v/>
      </c>
      <c r="AI35" s="56">
        <f>SUM(C35,F35,I35,L35,O35,R35,U35,X35,AB35, AE35)</f>
        <v/>
      </c>
      <c r="AJ35" s="672">
        <f>IF(AH35=AI35,"/")</f>
        <v/>
      </c>
      <c r="AK35" s="56">
        <f>AH35-AI35</f>
        <v/>
      </c>
    </row>
    <row r="36" ht="17" customHeight="1">
      <c r="A36" s="320" t="n">
        <v>45047</v>
      </c>
      <c r="B36" s="56">
        <f>'Monthly Electricity (Overview)'!B114-'Monthly Electricity (Overview)'!E114-SUM('Monthly Electricity (Overview)'!I114:N114)-SUM('Monthly Electricity (Overview)'!X114:Y114)+'Monthly Electricity (Overview)'!AD114</f>
        <v/>
      </c>
      <c r="C36" s="56">
        <f>'Monthly Electricity (Overview)'!B114-'Monthly Electricity (Overview)'!E114-SUM('Monthly Electricity (Overview)'!I114:N114)-SUM('Monthly Electricity (Overview)'!T114:Y114)</f>
        <v/>
      </c>
      <c r="D36" s="672">
        <f>IF(B36=C36,"/")</f>
        <v/>
      </c>
      <c r="E36" s="56">
        <f>'Monthly Electricity (Overview)'!I114</f>
        <v/>
      </c>
      <c r="F36" s="56">
        <f>'Monthly Electricity (Overview)'!I114</f>
        <v/>
      </c>
      <c r="G36" s="672">
        <f>IF(E36=F36,"/")</f>
        <v/>
      </c>
      <c r="H36" s="56">
        <f>'Monthly Electricity (Overview)'!N114</f>
        <v/>
      </c>
      <c r="I36" s="56">
        <f>'Monthly Electricity (Overview)'!N114</f>
        <v/>
      </c>
      <c r="J36" s="672">
        <f>IF(H36=I36,"/")</f>
        <v/>
      </c>
      <c r="K36" s="56">
        <f>'Monthly Electricity (Overview)'!E114</f>
        <v/>
      </c>
      <c r="L36" s="56">
        <f>'Monthly Electricity (Overview)'!E114</f>
        <v/>
      </c>
      <c r="M36" s="672">
        <f>IF(K36=L36,"/")</f>
        <v/>
      </c>
      <c r="N36" s="56">
        <f>'Monthly Electricity (Overview)'!J114</f>
        <v/>
      </c>
      <c r="O36" s="56">
        <f>'Monthly Electricity (Overview)'!J114</f>
        <v/>
      </c>
      <c r="P36" s="672">
        <f>IF(N36=O36,"/")</f>
        <v/>
      </c>
      <c r="Q36" s="56">
        <f>'Monthly Electricity (Overview)'!K114</f>
        <v/>
      </c>
      <c r="R36" s="56">
        <f>'Monthly Electricity (Overview)'!K114</f>
        <v/>
      </c>
      <c r="S36" s="672">
        <f>IF(Q36=R36,"/")</f>
        <v/>
      </c>
      <c r="T36" s="56" t="n"/>
      <c r="U36" s="56" t="n"/>
      <c r="V36" s="672">
        <f>IF(T36=U36,"/")</f>
        <v/>
      </c>
      <c r="W36" s="56">
        <f>'Monthly Electricity (Overview)'!L114</f>
        <v/>
      </c>
      <c r="X36" s="56">
        <f>'Monthly Electricity (Overview)'!L114</f>
        <v/>
      </c>
      <c r="Y36" s="672">
        <f>IF(W36=X36,"/")</f>
        <v/>
      </c>
      <c r="Z36" s="14" t="n">
        <v>50981</v>
      </c>
      <c r="AA36" s="56">
        <f>'Monthly Electricity (Overview)'!X114+'Monthly Electricity (Overview)'!W114+'Monthly Electricity (Overview)'!AC114</f>
        <v/>
      </c>
      <c r="AB36" s="56">
        <f>SUM('Monthly Electricity (Overview)'!U114:X114)+'Monthly Electricity (Overview)'!AC114</f>
        <v/>
      </c>
      <c r="AC36" s="672">
        <f>IF(AA36=AB36,"/")</f>
        <v/>
      </c>
      <c r="AD36" s="56">
        <f>'Monthly Electricity (Overview)'!Y114</f>
        <v/>
      </c>
      <c r="AE36" s="56">
        <f>'Monthly Electricity (Overview)'!Y114</f>
        <v/>
      </c>
      <c r="AF36" s="672">
        <f>IF(AD36=AE36,"/")</f>
        <v/>
      </c>
      <c r="AG36" s="56">
        <f>SUM(B36,E36,H36,K36,N36,Q36,W36,AA36,AD36,Z36)</f>
        <v/>
      </c>
      <c r="AH36" s="56">
        <f>SUM(B36,E36,H36,K36,N36,Q36,W36,AA36,AD36)</f>
        <v/>
      </c>
      <c r="AI36" s="56">
        <f>SUM(C36,F36,I36,L36,O36,R36,U36,X36,AB36, AE36)</f>
        <v/>
      </c>
      <c r="AJ36" s="672">
        <f>IF(AH36=AI36,"/")</f>
        <v/>
      </c>
      <c r="AK36" s="56">
        <f>AH36-AI36</f>
        <v/>
      </c>
    </row>
    <row r="37" ht="17" customHeight="1">
      <c r="A37" s="320" t="n">
        <v>45078</v>
      </c>
      <c r="B37" s="56">
        <f>'Monthly Electricity (Overview)'!B115-'Monthly Electricity (Overview)'!E115-SUM('Monthly Electricity (Overview)'!I115:N115)-SUM('Monthly Electricity (Overview)'!X115:Y115)+'Monthly Electricity (Overview)'!AD115</f>
        <v/>
      </c>
      <c r="C37" s="56">
        <f>'Monthly Electricity (Overview)'!B115-'Monthly Electricity (Overview)'!E115-SUM('Monthly Electricity (Overview)'!I115:N115)-SUM('Monthly Electricity (Overview)'!T115:Y115)</f>
        <v/>
      </c>
      <c r="D37" s="672">
        <f>IF(B37=C37,"/")</f>
        <v/>
      </c>
      <c r="E37" s="56">
        <f>'Monthly Electricity (Overview)'!I115</f>
        <v/>
      </c>
      <c r="F37" s="56">
        <f>'Monthly Electricity (Overview)'!I115</f>
        <v/>
      </c>
      <c r="G37" s="672">
        <f>IF(E37=F37,"/")</f>
        <v/>
      </c>
      <c r="H37" s="56">
        <f>'Monthly Electricity (Overview)'!N115</f>
        <v/>
      </c>
      <c r="I37" s="56">
        <f>'Monthly Electricity (Overview)'!N115</f>
        <v/>
      </c>
      <c r="J37" s="672">
        <f>IF(H37=I37,"/")</f>
        <v/>
      </c>
      <c r="K37" s="56">
        <f>'Monthly Electricity (Overview)'!E115</f>
        <v/>
      </c>
      <c r="L37" s="56">
        <f>'Monthly Electricity (Overview)'!E115</f>
        <v/>
      </c>
      <c r="M37" s="672">
        <f>IF(K37=L37,"/")</f>
        <v/>
      </c>
      <c r="N37" s="56">
        <f>'Monthly Electricity (Overview)'!J115</f>
        <v/>
      </c>
      <c r="O37" s="56">
        <f>'Monthly Electricity (Overview)'!J115</f>
        <v/>
      </c>
      <c r="P37" s="672">
        <f>IF(N37=O37,"/")</f>
        <v/>
      </c>
      <c r="Q37" s="56">
        <f>'Monthly Electricity (Overview)'!K115</f>
        <v/>
      </c>
      <c r="R37" s="56">
        <f>'Monthly Electricity (Overview)'!K115</f>
        <v/>
      </c>
      <c r="S37" s="672">
        <f>IF(Q37=R37,"/")</f>
        <v/>
      </c>
      <c r="T37" s="56" t="n"/>
      <c r="U37" s="56" t="n"/>
      <c r="V37" s="672">
        <f>IF(T37=U37,"/")</f>
        <v/>
      </c>
      <c r="W37" s="56">
        <f>'Monthly Electricity (Overview)'!L115</f>
        <v/>
      </c>
      <c r="X37" s="56">
        <f>'Monthly Electricity (Overview)'!L115</f>
        <v/>
      </c>
      <c r="Y37" s="672">
        <f>IF(W37=X37,"/")</f>
        <v/>
      </c>
      <c r="Z37" s="14" t="n">
        <v>99770</v>
      </c>
      <c r="AA37" s="56">
        <f>'Monthly Electricity (Overview)'!X115+'Monthly Electricity (Overview)'!W115+'Monthly Electricity (Overview)'!AC115</f>
        <v/>
      </c>
      <c r="AB37" s="56">
        <f>SUM('Monthly Electricity (Overview)'!U115:X115)+'Monthly Electricity (Overview)'!AC115</f>
        <v/>
      </c>
      <c r="AC37" s="672">
        <f>IF(AA37=AB37,"/")</f>
        <v/>
      </c>
      <c r="AD37" s="56">
        <f>'Monthly Electricity (Overview)'!Y115</f>
        <v/>
      </c>
      <c r="AE37" s="56">
        <f>'Monthly Electricity (Overview)'!Y115</f>
        <v/>
      </c>
      <c r="AF37" s="672">
        <f>IF(AD37=AE37,"/")</f>
        <v/>
      </c>
      <c r="AG37" s="56">
        <f>SUM(B37,E37,H37,K37,N37,Q37,W37,AA37,AD37,Z37)</f>
        <v/>
      </c>
      <c r="AH37" s="56">
        <f>SUM(B37,E37,H37,K37,N37,Q37,W37,AA37,AD37)</f>
        <v/>
      </c>
      <c r="AI37" s="56">
        <f>SUM(C37,F37,I37,L37,O37,R37,U37,X37,AB37, AE37)</f>
        <v/>
      </c>
      <c r="AJ37" s="672">
        <f>IF(AH37=AI37,"/")</f>
        <v/>
      </c>
      <c r="AK37" s="56">
        <f>AH37-AI37</f>
        <v/>
      </c>
    </row>
    <row r="38" ht="17" customHeight="1">
      <c r="A38" s="320" t="n">
        <v>45108</v>
      </c>
      <c r="B38" s="56">
        <f>'Monthly Electricity (Overview)'!B116-'Monthly Electricity (Overview)'!E116-SUM('Monthly Electricity (Overview)'!I116:N116)-SUM('Monthly Electricity (Overview)'!X116:Y116)+'Monthly Electricity (Overview)'!AD116</f>
        <v/>
      </c>
      <c r="C38" s="56">
        <f>'Monthly Electricity (Overview)'!B116-'Monthly Electricity (Overview)'!E116-SUM('Monthly Electricity (Overview)'!I116:N116)-SUM('Monthly Electricity (Overview)'!T116:Y116)</f>
        <v/>
      </c>
      <c r="D38" s="672">
        <f>IF(B38=C38,"/")</f>
        <v/>
      </c>
      <c r="E38" s="56">
        <f>'Monthly Electricity (Overview)'!I116</f>
        <v/>
      </c>
      <c r="F38" s="56">
        <f>'Monthly Electricity (Overview)'!I116</f>
        <v/>
      </c>
      <c r="G38" s="672">
        <f>IF(E38=F38,"/")</f>
        <v/>
      </c>
      <c r="H38" s="56">
        <f>'Monthly Electricity (Overview)'!N116</f>
        <v/>
      </c>
      <c r="I38" s="56">
        <f>'Monthly Electricity (Overview)'!N116</f>
        <v/>
      </c>
      <c r="J38" s="672">
        <f>IF(H38=I38,"/")</f>
        <v/>
      </c>
      <c r="K38" s="56">
        <f>'Monthly Electricity (Overview)'!E116</f>
        <v/>
      </c>
      <c r="L38" s="56">
        <f>'Monthly Electricity (Overview)'!E116</f>
        <v/>
      </c>
      <c r="M38" s="672">
        <f>IF(K38=L38,"/")</f>
        <v/>
      </c>
      <c r="N38" s="56">
        <f>'Monthly Electricity (Overview)'!J116</f>
        <v/>
      </c>
      <c r="O38" s="56">
        <f>'Monthly Electricity (Overview)'!J116</f>
        <v/>
      </c>
      <c r="P38" s="672">
        <f>IF(N38=O38,"/")</f>
        <v/>
      </c>
      <c r="Q38" s="56">
        <f>'Monthly Electricity (Overview)'!K116</f>
        <v/>
      </c>
      <c r="R38" s="56">
        <f>'Monthly Electricity (Overview)'!K116</f>
        <v/>
      </c>
      <c r="S38" s="672">
        <f>IF(Q38=R38,"/")</f>
        <v/>
      </c>
      <c r="T38" s="56" t="n"/>
      <c r="U38" s="56" t="n"/>
      <c r="V38" s="672">
        <f>IF(T38=U38,"/")</f>
        <v/>
      </c>
      <c r="W38" s="56">
        <f>'Monthly Electricity (Overview)'!L116</f>
        <v/>
      </c>
      <c r="X38" s="56">
        <f>'Monthly Electricity (Overview)'!L116</f>
        <v/>
      </c>
      <c r="Y38" s="672">
        <f>IF(W38=X38,"/")</f>
        <v/>
      </c>
      <c r="Z38" s="14" t="n">
        <v>99933</v>
      </c>
      <c r="AA38" s="56">
        <f>'Monthly Electricity (Overview)'!X116+'Monthly Electricity (Overview)'!W116+'Monthly Electricity (Overview)'!AC116</f>
        <v/>
      </c>
      <c r="AB38" s="56">
        <f>SUM('Monthly Electricity (Overview)'!U116:X116)+'Monthly Electricity (Overview)'!AC116</f>
        <v/>
      </c>
      <c r="AC38" s="672">
        <f>IF(AA38=AB38,"/")</f>
        <v/>
      </c>
      <c r="AD38" s="56">
        <f>'Monthly Electricity (Overview)'!Y116</f>
        <v/>
      </c>
      <c r="AE38" s="56">
        <f>'Monthly Electricity (Overview)'!Y116</f>
        <v/>
      </c>
      <c r="AF38" s="672">
        <f>IF(AD38=AE38,"/")</f>
        <v/>
      </c>
      <c r="AG38" s="56">
        <f>SUM(B38,E38,H38,K38,N38,Q38,W38,AA38,AD38,Z38)</f>
        <v/>
      </c>
      <c r="AH38" s="56">
        <f>SUM(B38,E38,H38,K38,N38,Q38,W38,AA38,AD38)</f>
        <v/>
      </c>
      <c r="AI38" s="56">
        <f>SUM(C38,F38,I38,L38,O38,R38,U38,X38,AB38, AE38)</f>
        <v/>
      </c>
      <c r="AJ38" s="672">
        <f>IF(AH38=AI38,"/")</f>
        <v/>
      </c>
      <c r="AK38" s="56">
        <f>AH38-AI38</f>
        <v/>
      </c>
    </row>
    <row r="39" ht="17" customHeight="1">
      <c r="A39" s="320" t="n">
        <v>45139</v>
      </c>
      <c r="B39" s="56">
        <f>'Monthly Electricity (Overview)'!B117-'Monthly Electricity (Overview)'!E117-SUM('Monthly Electricity (Overview)'!I117:N117)-SUM('Monthly Electricity (Overview)'!X117:Y117)+'Monthly Electricity (Overview)'!AD117</f>
        <v/>
      </c>
      <c r="C39" s="56">
        <f>'Monthly Electricity (Overview)'!B117-'Monthly Electricity (Overview)'!E117-SUM('Monthly Electricity (Overview)'!I117:N117)-SUM('Monthly Electricity (Overview)'!T117:Y117)</f>
        <v/>
      </c>
      <c r="D39" s="672">
        <f>IF(B39=C39,"/")</f>
        <v/>
      </c>
      <c r="E39" s="56">
        <f>'Monthly Electricity (Overview)'!I117</f>
        <v/>
      </c>
      <c r="F39" s="56">
        <f>'Monthly Electricity (Overview)'!I117</f>
        <v/>
      </c>
      <c r="G39" s="672">
        <f>IF(E39=F39,"/")</f>
        <v/>
      </c>
      <c r="H39" s="56">
        <f>'Monthly Electricity (Overview)'!N117</f>
        <v/>
      </c>
      <c r="I39" s="56">
        <f>'Monthly Electricity (Overview)'!N117</f>
        <v/>
      </c>
      <c r="J39" s="672">
        <f>IF(H39=I39,"/")</f>
        <v/>
      </c>
      <c r="K39" s="56">
        <f>'Monthly Electricity (Overview)'!E117</f>
        <v/>
      </c>
      <c r="L39" s="56">
        <f>'Monthly Electricity (Overview)'!E117</f>
        <v/>
      </c>
      <c r="M39" s="672">
        <f>IF(K39=L39,"/")</f>
        <v/>
      </c>
      <c r="N39" s="56">
        <f>'Monthly Electricity (Overview)'!J117</f>
        <v/>
      </c>
      <c r="O39" s="56">
        <f>'Monthly Electricity (Overview)'!J117</f>
        <v/>
      </c>
      <c r="P39" s="672">
        <f>IF(N39=O39,"/")</f>
        <v/>
      </c>
      <c r="Q39" s="56">
        <f>'Monthly Electricity (Overview)'!K117</f>
        <v/>
      </c>
      <c r="R39" s="56">
        <f>'Monthly Electricity (Overview)'!K117</f>
        <v/>
      </c>
      <c r="S39" s="672">
        <f>IF(Q39=R39,"/")</f>
        <v/>
      </c>
      <c r="T39" s="56" t="n"/>
      <c r="U39" s="56" t="n"/>
      <c r="V39" s="672">
        <f>IF(T39=U39,"/")</f>
        <v/>
      </c>
      <c r="W39" s="56">
        <f>'Monthly Electricity (Overview)'!L117</f>
        <v/>
      </c>
      <c r="X39" s="56">
        <f>'Monthly Electricity (Overview)'!L117</f>
        <v/>
      </c>
      <c r="Y39" s="672">
        <f>IF(W39=X39,"/")</f>
        <v/>
      </c>
      <c r="Z39" s="14" t="n">
        <v>112757</v>
      </c>
      <c r="AA39" s="56">
        <f>'Monthly Electricity (Overview)'!X117+'Monthly Electricity (Overview)'!W117+'Monthly Electricity (Overview)'!AC117</f>
        <v/>
      </c>
      <c r="AB39" s="56">
        <f>SUM('Monthly Electricity (Overview)'!U117:X117)+'Monthly Electricity (Overview)'!AC117</f>
        <v/>
      </c>
      <c r="AC39" s="672">
        <f>IF(AA39=AB39,"/")</f>
        <v/>
      </c>
      <c r="AD39" s="56">
        <f>'Monthly Electricity (Overview)'!Y117</f>
        <v/>
      </c>
      <c r="AE39" s="56">
        <f>'Monthly Electricity (Overview)'!Y117</f>
        <v/>
      </c>
      <c r="AF39" s="672">
        <f>IF(AD39=AE39,"/")</f>
        <v/>
      </c>
      <c r="AG39" s="56">
        <f>SUM(B39,E39,H39,K39,N39,Q39,W39,AA39,AD39,Z39)</f>
        <v/>
      </c>
      <c r="AH39" s="56">
        <f>SUM(B39,E39,H39,K39,N39,Q39,W39,AA39,AD39)</f>
        <v/>
      </c>
      <c r="AI39" s="56">
        <f>SUM(C39,F39,I39,L39,O39,R39,U39,X39,AB39, AE39)</f>
        <v/>
      </c>
      <c r="AJ39" s="672">
        <f>IF(AH39=AI39,"/")</f>
        <v/>
      </c>
      <c r="AK39" s="56">
        <f>AH39-AI39</f>
        <v/>
      </c>
    </row>
    <row r="40" ht="17" customHeight="1">
      <c r="A40" s="320" t="n">
        <v>45170</v>
      </c>
      <c r="B40" s="56">
        <f>'Monthly Electricity (Overview)'!B118-'Monthly Electricity (Overview)'!E118-SUM('Monthly Electricity (Overview)'!I118:N118)-SUM('Monthly Electricity (Overview)'!X118:Y118)+'Monthly Electricity (Overview)'!AD118</f>
        <v/>
      </c>
      <c r="C40" s="56">
        <f>'Monthly Electricity (Overview)'!B118-'Monthly Electricity (Overview)'!E118-SUM('Monthly Electricity (Overview)'!I118:N118)-SUM('Monthly Electricity (Overview)'!T118:Y118)</f>
        <v/>
      </c>
      <c r="D40" s="672">
        <f>IF(B40=C40,"/")</f>
        <v/>
      </c>
      <c r="E40" s="56">
        <f>'Monthly Electricity (Overview)'!I118</f>
        <v/>
      </c>
      <c r="F40" s="56">
        <f>'Monthly Electricity (Overview)'!I118</f>
        <v/>
      </c>
      <c r="G40" s="672">
        <f>IF(E40=F40,"/")</f>
        <v/>
      </c>
      <c r="H40" s="56">
        <f>'Monthly Electricity (Overview)'!N118</f>
        <v/>
      </c>
      <c r="I40" s="56">
        <f>'Monthly Electricity (Overview)'!N118</f>
        <v/>
      </c>
      <c r="J40" s="672">
        <f>IF(H40=I40,"/")</f>
        <v/>
      </c>
      <c r="K40" s="56">
        <f>'Monthly Electricity (Overview)'!E118</f>
        <v/>
      </c>
      <c r="L40" s="56">
        <f>'Monthly Electricity (Overview)'!E118</f>
        <v/>
      </c>
      <c r="M40" s="672">
        <f>IF(K40=L40,"/")</f>
        <v/>
      </c>
      <c r="N40" s="56">
        <f>'Monthly Electricity (Overview)'!J118</f>
        <v/>
      </c>
      <c r="O40" s="56">
        <f>'Monthly Electricity (Overview)'!J118</f>
        <v/>
      </c>
      <c r="P40" s="672">
        <f>IF(N40=O40,"/")</f>
        <v/>
      </c>
      <c r="Q40" s="56">
        <f>'Monthly Electricity (Overview)'!K118</f>
        <v/>
      </c>
      <c r="R40" s="56">
        <f>'Monthly Electricity (Overview)'!K118</f>
        <v/>
      </c>
      <c r="S40" s="672">
        <f>IF(Q40=R40,"/")</f>
        <v/>
      </c>
      <c r="T40" s="56" t="n"/>
      <c r="U40" s="56" t="n"/>
      <c r="V40" s="672">
        <f>IF(T40=U40,"/")</f>
        <v/>
      </c>
      <c r="W40" s="56">
        <f>'Monthly Electricity (Overview)'!L118</f>
        <v/>
      </c>
      <c r="X40" s="56">
        <f>'Monthly Electricity (Overview)'!L118</f>
        <v/>
      </c>
      <c r="Y40" s="672">
        <f>IF(W40=X40,"/")</f>
        <v/>
      </c>
      <c r="Z40" s="14" t="n">
        <v>98239</v>
      </c>
      <c r="AA40" s="56">
        <f>'Monthly Electricity (Overview)'!X118+'Monthly Electricity (Overview)'!W118+'Monthly Electricity (Overview)'!AC118</f>
        <v/>
      </c>
      <c r="AB40" s="56">
        <f>SUM('Monthly Electricity (Overview)'!U118:X118)+'Monthly Electricity (Overview)'!AC118</f>
        <v/>
      </c>
      <c r="AC40" s="672">
        <f>IF(AA40=AB40,"/")</f>
        <v/>
      </c>
      <c r="AD40" s="56">
        <f>'Monthly Electricity (Overview)'!Y118</f>
        <v/>
      </c>
      <c r="AE40" s="56">
        <f>'Monthly Electricity (Overview)'!Y118</f>
        <v/>
      </c>
      <c r="AF40" s="672">
        <f>IF(AD40=AE40,"/")</f>
        <v/>
      </c>
      <c r="AG40" s="56">
        <f>SUM(B40,E40,H40,K40,N40,Q40,W40,AA40,AD40,Z40)</f>
        <v/>
      </c>
      <c r="AH40" s="56">
        <f>SUM(B40,E40,H40,K40,N40,Q40,W40,AA40,AD40)</f>
        <v/>
      </c>
      <c r="AI40" s="56">
        <f>SUM(C40,F40,I40,L40,O40,R40,U40,X40,AB40, AE40)</f>
        <v/>
      </c>
      <c r="AJ40" s="672">
        <f>IF(AH40=AI40,"/")</f>
        <v/>
      </c>
      <c r="AK40" s="56">
        <f>AH40-AI40</f>
        <v/>
      </c>
    </row>
    <row r="41" ht="17" customHeight="1">
      <c r="A41" s="320" t="n">
        <v>45200</v>
      </c>
      <c r="B41" s="56">
        <f>'Monthly Electricity (Overview)'!B119-'Monthly Electricity (Overview)'!E119-SUM('Monthly Electricity (Overview)'!I119:N119)-SUM('Monthly Electricity (Overview)'!X119:Y119)+'Monthly Electricity (Overview)'!AD119</f>
        <v/>
      </c>
      <c r="C41" s="56">
        <f>'Monthly Electricity (Overview)'!B119-'Monthly Electricity (Overview)'!E119-SUM('Monthly Electricity (Overview)'!I119:N119)-SUM('Monthly Electricity (Overview)'!T119:Y119)</f>
        <v/>
      </c>
      <c r="D41" s="672">
        <f>IF(B41=C41,"/")</f>
        <v/>
      </c>
      <c r="E41" s="56">
        <f>'Monthly Electricity (Overview)'!I119</f>
        <v/>
      </c>
      <c r="F41" s="56">
        <f>'Monthly Electricity (Overview)'!I119</f>
        <v/>
      </c>
      <c r="G41" s="672">
        <f>IF(E41=F41,"/")</f>
        <v/>
      </c>
      <c r="H41" s="56">
        <f>'Monthly Electricity (Overview)'!N119</f>
        <v/>
      </c>
      <c r="I41" s="56">
        <f>'Monthly Electricity (Overview)'!N119</f>
        <v/>
      </c>
      <c r="J41" s="672">
        <f>IF(H41=I41,"/")</f>
        <v/>
      </c>
      <c r="K41" s="56">
        <f>'Monthly Electricity (Overview)'!E119</f>
        <v/>
      </c>
      <c r="L41" s="56">
        <f>'Monthly Electricity (Overview)'!E119</f>
        <v/>
      </c>
      <c r="M41" s="672">
        <f>IF(K41=L41,"/")</f>
        <v/>
      </c>
      <c r="N41" s="56">
        <f>'Monthly Electricity (Overview)'!J119</f>
        <v/>
      </c>
      <c r="O41" s="56">
        <f>'Monthly Electricity (Overview)'!J119</f>
        <v/>
      </c>
      <c r="P41" s="672">
        <f>IF(N41=O41,"/")</f>
        <v/>
      </c>
      <c r="Q41" s="56">
        <f>'Monthly Electricity (Overview)'!K119</f>
        <v/>
      </c>
      <c r="R41" s="56">
        <f>'Monthly Electricity (Overview)'!K119</f>
        <v/>
      </c>
      <c r="S41" s="672">
        <f>IF(Q41=R41,"/")</f>
        <v/>
      </c>
      <c r="T41" s="56" t="n"/>
      <c r="U41" s="56" t="n"/>
      <c r="V41" s="672">
        <f>IF(T41=U41,"/")</f>
        <v/>
      </c>
      <c r="W41" s="56">
        <f>'Monthly Electricity (Overview)'!L119</f>
        <v/>
      </c>
      <c r="X41" s="56">
        <f>'Monthly Electricity (Overview)'!L119</f>
        <v/>
      </c>
      <c r="Y41" s="672">
        <f>IF(W41=X41,"/")</f>
        <v/>
      </c>
      <c r="Z41" s="14" t="n">
        <v>88064</v>
      </c>
      <c r="AA41" s="56">
        <f>'Monthly Electricity (Overview)'!X119+'Monthly Electricity (Overview)'!W119+'Monthly Electricity (Overview)'!AC119</f>
        <v/>
      </c>
      <c r="AB41" s="56">
        <f>SUM('Monthly Electricity (Overview)'!U119:X119)+'Monthly Electricity (Overview)'!AC119</f>
        <v/>
      </c>
      <c r="AC41" s="672">
        <f>IF(AA41=AB41,"/")</f>
        <v/>
      </c>
      <c r="AD41" s="56">
        <f>'Monthly Electricity (Overview)'!Y119</f>
        <v/>
      </c>
      <c r="AE41" s="56">
        <f>'Monthly Electricity (Overview)'!Y119</f>
        <v/>
      </c>
      <c r="AF41" s="672">
        <f>IF(AD41=AE41,"/")</f>
        <v/>
      </c>
      <c r="AG41" s="56">
        <f>SUM(B41,E41,H41,K41,N41,Q41,W41,AA41,AD41,Z41)</f>
        <v/>
      </c>
      <c r="AH41" s="56">
        <f>SUM(B41,E41,H41,K41,N41,Q41,W41,AA41,AD41)</f>
        <v/>
      </c>
      <c r="AI41" s="56">
        <f>SUM(C41,F41,I41,L41,O41,R41,U41,X41,AB41, AE41)</f>
        <v/>
      </c>
      <c r="AJ41" s="672">
        <f>IF(AH41=AI41,"/")</f>
        <v/>
      </c>
      <c r="AK41" s="56">
        <f>AH41-AI41</f>
        <v/>
      </c>
    </row>
    <row r="42" ht="17" customHeight="1">
      <c r="A42" s="320" t="n">
        <v>45231</v>
      </c>
      <c r="B42" s="56">
        <f>'Monthly Electricity (Overview)'!B120-'Monthly Electricity (Overview)'!E120-SUM('Monthly Electricity (Overview)'!I120:N120)-SUM('Monthly Electricity (Overview)'!X120:Y120)+'Monthly Electricity (Overview)'!AD120</f>
        <v/>
      </c>
      <c r="C42" s="56">
        <f>'Monthly Electricity (Overview)'!B120-'Monthly Electricity (Overview)'!E120-SUM('Monthly Electricity (Overview)'!I120:N120)-SUM('Monthly Electricity (Overview)'!T120:Y120)</f>
        <v/>
      </c>
      <c r="D42" s="672">
        <f>IF(B42=C42,"/")</f>
        <v/>
      </c>
      <c r="E42" s="56">
        <f>'Monthly Electricity (Overview)'!I120</f>
        <v/>
      </c>
      <c r="F42" s="56">
        <f>'Monthly Electricity (Overview)'!I120</f>
        <v/>
      </c>
      <c r="G42" s="672">
        <f>IF(E42=F42,"/")</f>
        <v/>
      </c>
      <c r="H42" s="56">
        <f>'Monthly Electricity (Overview)'!N120</f>
        <v/>
      </c>
      <c r="I42" s="56">
        <f>'Monthly Electricity (Overview)'!N120</f>
        <v/>
      </c>
      <c r="J42" s="672">
        <f>IF(H42=I42,"/")</f>
        <v/>
      </c>
      <c r="K42" s="56">
        <f>'Monthly Electricity (Overview)'!E120</f>
        <v/>
      </c>
      <c r="L42" s="56">
        <f>'Monthly Electricity (Overview)'!E120</f>
        <v/>
      </c>
      <c r="M42" s="672">
        <f>IF(K42=L42,"/")</f>
        <v/>
      </c>
      <c r="N42" s="56">
        <f>'Monthly Electricity (Overview)'!J120</f>
        <v/>
      </c>
      <c r="O42" s="56">
        <f>'Monthly Electricity (Overview)'!J120</f>
        <v/>
      </c>
      <c r="P42" s="672">
        <f>IF(N42=O42,"/")</f>
        <v/>
      </c>
      <c r="Q42" s="56">
        <f>'Monthly Electricity (Overview)'!K120</f>
        <v/>
      </c>
      <c r="R42" s="56">
        <f>'Monthly Electricity (Overview)'!K120</f>
        <v/>
      </c>
      <c r="S42" s="672">
        <f>IF(Q42=R42,"/")</f>
        <v/>
      </c>
      <c r="T42" s="56" t="n"/>
      <c r="U42" s="56" t="n"/>
      <c r="V42" s="672">
        <f>IF(T42=U42,"/")</f>
        <v/>
      </c>
      <c r="W42" s="56">
        <f>'Monthly Electricity (Overview)'!L120</f>
        <v/>
      </c>
      <c r="X42" s="56">
        <f>'Monthly Electricity (Overview)'!L120</f>
        <v/>
      </c>
      <c r="Y42" s="672">
        <f>IF(W42=X42,"/")</f>
        <v/>
      </c>
      <c r="Z42" s="14" t="n">
        <v>64642</v>
      </c>
      <c r="AA42" s="56">
        <f>'Monthly Electricity (Overview)'!X120+'Monthly Electricity (Overview)'!W120+'Monthly Electricity (Overview)'!AC120</f>
        <v/>
      </c>
      <c r="AB42" s="56">
        <f>SUM('Monthly Electricity (Overview)'!U120:X120)+'Monthly Electricity (Overview)'!AC120</f>
        <v/>
      </c>
      <c r="AC42" s="672">
        <f>IF(AA42=AB42,"/")</f>
        <v/>
      </c>
      <c r="AD42" s="56">
        <f>'Monthly Electricity (Overview)'!Y120</f>
        <v/>
      </c>
      <c r="AE42" s="56">
        <f>'Monthly Electricity (Overview)'!Y120</f>
        <v/>
      </c>
      <c r="AF42" s="672">
        <f>IF(AD42=AE42,"/")</f>
        <v/>
      </c>
      <c r="AG42" s="56">
        <f>SUM(B42,E42,H42,K42,N42,Q42,W42,AA42,AD42,Z42)</f>
        <v/>
      </c>
      <c r="AH42" s="56">
        <f>SUM(B42,E42,H42,K42,N42,Q42,W42,AA42,AD42)</f>
        <v/>
      </c>
      <c r="AI42" s="56">
        <f>SUM(C42,F42,I42,L42,O42,R42,U42,X42,AB42, AE42)</f>
        <v/>
      </c>
      <c r="AJ42" s="672">
        <f>IF(AH42=AI42,"/")</f>
        <v/>
      </c>
      <c r="AK42" s="56">
        <f>AH42-AI42</f>
        <v/>
      </c>
    </row>
    <row r="43" ht="17" customHeight="1">
      <c r="A43" s="320" t="n">
        <v>45261</v>
      </c>
      <c r="B43" s="315">
        <f>'Monthly Electricity (Overview)'!B121-'Monthly Electricity (Overview)'!E121-SUM('Monthly Electricity (Overview)'!I121:N121)-SUM('Monthly Electricity (Overview)'!X121:Y121)+'Monthly Electricity (Overview)'!AD121</f>
        <v/>
      </c>
      <c r="C43" s="56">
        <f>'Monthly Electricity (Overview)'!B121-'Monthly Electricity (Overview)'!E121-SUM('Monthly Electricity (Overview)'!I121:N121)-SUM('Monthly Electricity (Overview)'!T121:Y121)</f>
        <v/>
      </c>
      <c r="D43" s="672">
        <f>IF(B43=C43,"/")</f>
        <v/>
      </c>
      <c r="E43" s="315">
        <f>'Monthly Electricity (Overview)'!I121</f>
        <v/>
      </c>
      <c r="F43" s="56">
        <f>'Monthly Electricity (Overview)'!I121</f>
        <v/>
      </c>
      <c r="G43" s="672">
        <f>IF(E43=F43,"/")</f>
        <v/>
      </c>
      <c r="H43" s="315">
        <f>'Monthly Electricity (Overview)'!N121</f>
        <v/>
      </c>
      <c r="I43" s="56">
        <f>'Monthly Electricity (Overview)'!N121</f>
        <v/>
      </c>
      <c r="J43" s="672">
        <f>IF(H43=I43,"/")</f>
        <v/>
      </c>
      <c r="K43" s="315">
        <f>'Monthly Electricity (Overview)'!E121</f>
        <v/>
      </c>
      <c r="L43" s="56">
        <f>'Monthly Electricity (Overview)'!E121</f>
        <v/>
      </c>
      <c r="M43" s="672">
        <f>IF(K43=L43,"/")</f>
        <v/>
      </c>
      <c r="N43" s="315">
        <f>'Monthly Electricity (Overview)'!J121</f>
        <v/>
      </c>
      <c r="O43" s="56">
        <f>'Monthly Electricity (Overview)'!J121</f>
        <v/>
      </c>
      <c r="P43" s="672">
        <f>IF(N43=O43,"/")</f>
        <v/>
      </c>
      <c r="Q43" s="315">
        <f>'Monthly Electricity (Overview)'!K121</f>
        <v/>
      </c>
      <c r="R43" s="56">
        <f>'Monthly Electricity (Overview)'!K121</f>
        <v/>
      </c>
      <c r="S43" s="672">
        <f>IF(Q43=R43,"/")</f>
        <v/>
      </c>
      <c r="T43" s="315" t="n"/>
      <c r="U43" s="315" t="n"/>
      <c r="V43" s="672">
        <f>IF(T43=U43,"/")</f>
        <v/>
      </c>
      <c r="W43" s="315">
        <f>'Monthly Electricity (Overview)'!L121</f>
        <v/>
      </c>
      <c r="X43" s="56">
        <f>'Monthly Electricity (Overview)'!L121</f>
        <v/>
      </c>
      <c r="Y43" s="672">
        <f>IF(W43=X43,"/")</f>
        <v/>
      </c>
      <c r="Z43" s="316" t="n">
        <v>58824</v>
      </c>
      <c r="AA43" s="315">
        <f>'Monthly Electricity (Overview)'!X121+'Monthly Electricity (Overview)'!W121+'Monthly Electricity (Overview)'!AC121</f>
        <v/>
      </c>
      <c r="AB43" s="56">
        <f>SUM('Monthly Electricity (Overview)'!U121:X121)+'Monthly Electricity (Overview)'!AC121</f>
        <v/>
      </c>
      <c r="AC43" s="672">
        <f>IF(AA43=AB43,"/")</f>
        <v/>
      </c>
      <c r="AD43" s="315">
        <f>'Monthly Electricity (Overview)'!Y121</f>
        <v/>
      </c>
      <c r="AE43" s="56">
        <f>'Monthly Electricity (Overview)'!Y121</f>
        <v/>
      </c>
      <c r="AF43" s="672">
        <f>IF(AD43=AE43,"/")</f>
        <v/>
      </c>
      <c r="AG43" s="56">
        <f>SUM(B43,E43,H43,K43,N43,Q43,W43,AA43,AD43,Z43)</f>
        <v/>
      </c>
      <c r="AH43" s="56">
        <f>SUM(B43,E43,H43,K43,N43,Q43,W43,AA43,AD43)</f>
        <v/>
      </c>
      <c r="AI43" s="56">
        <f>SUM(C43,F43,I43,L43,O43,R43,U43,X43,AB43, AE43)</f>
        <v/>
      </c>
      <c r="AJ43" s="672">
        <f>IF(AH43=AI43,"/")</f>
        <v/>
      </c>
      <c r="AK43" s="56">
        <f>AH43-AI43</f>
        <v/>
      </c>
    </row>
    <row r="44" ht="17" customHeight="1">
      <c r="A44" s="321" t="n">
        <v>45292</v>
      </c>
      <c r="B44" s="56">
        <f>'Monthly Electricity (Overview)'!B122-'Monthly Electricity (Overview)'!E122-SUM('Monthly Electricity (Overview)'!I122:N122)-SUM('Monthly Electricity (Overview)'!X122:Y122)+'Monthly Electricity (Overview)'!AD122</f>
        <v/>
      </c>
      <c r="C44" s="56">
        <f>'Monthly Electricity (Overview)'!B122-'Monthly Electricity (Overview)'!E122-SUM('Monthly Electricity (Overview)'!I122:N122)-SUM('Monthly Electricity (Overview)'!T122:Y122)</f>
        <v/>
      </c>
      <c r="D44" s="672">
        <f>IF(B44=C44,"/")</f>
        <v/>
      </c>
      <c r="E44" s="56">
        <f>'Monthly Electricity (Overview)'!I122</f>
        <v/>
      </c>
      <c r="F44" s="56">
        <f>'Monthly Electricity (Overview)'!I122</f>
        <v/>
      </c>
      <c r="G44" s="672">
        <f>IF(E44=F44,"/")</f>
        <v/>
      </c>
      <c r="H44" s="56">
        <f>'Monthly Electricity (Overview)'!N122</f>
        <v/>
      </c>
      <c r="I44" s="56">
        <f>'Monthly Electricity (Overview)'!N122</f>
        <v/>
      </c>
      <c r="J44" s="672">
        <f>IF(H44=I44,"/")</f>
        <v/>
      </c>
      <c r="K44" s="56">
        <f>'Monthly Electricity (Overview)'!E122</f>
        <v/>
      </c>
      <c r="L44" s="56">
        <f>'Monthly Electricity (Overview)'!E122</f>
        <v/>
      </c>
      <c r="M44" s="672">
        <f>IF(K44=L44,"/")</f>
        <v/>
      </c>
      <c r="N44" s="56">
        <f>'Monthly Electricity (Overview)'!J122</f>
        <v/>
      </c>
      <c r="O44" s="56">
        <f>'Monthly Electricity (Overview)'!J122</f>
        <v/>
      </c>
      <c r="P44" s="672">
        <f>IF(N44=O44,"/")</f>
        <v/>
      </c>
      <c r="Q44" s="56">
        <f>'Monthly Electricity (Overview)'!K122</f>
        <v/>
      </c>
      <c r="R44" s="56">
        <f>'Monthly Electricity (Overview)'!K122</f>
        <v/>
      </c>
      <c r="S44" s="672">
        <f>IF(Q44=R44,"/")</f>
        <v/>
      </c>
      <c r="T44" s="56" t="n"/>
      <c r="U44" s="56" t="n"/>
      <c r="V44" s="672">
        <f>IF(T44=U44,"/")</f>
        <v/>
      </c>
      <c r="W44" s="56">
        <f>'Monthly Electricity (Overview)'!L122</f>
        <v/>
      </c>
      <c r="X44" s="56">
        <f>'Monthly Electricity (Overview)'!L122</f>
        <v/>
      </c>
      <c r="Y44" s="672">
        <f>IF(W44=X44,"/")</f>
        <v/>
      </c>
      <c r="Z44" s="14" t="n">
        <v>50823</v>
      </c>
      <c r="AA44" s="56">
        <f>'Monthly Electricity (Overview)'!X122+'Monthly Electricity (Overview)'!W122+'Monthly Electricity (Overview)'!AC122</f>
        <v/>
      </c>
      <c r="AB44" s="56">
        <f>SUM('Monthly Electricity (Overview)'!U122:X122)+'Monthly Electricity (Overview)'!AC122</f>
        <v/>
      </c>
      <c r="AC44" s="672">
        <f>IF(AA44=AB44,"/")</f>
        <v/>
      </c>
      <c r="AD44" s="56">
        <f>'Monthly Electricity (Overview)'!Y122</f>
        <v/>
      </c>
      <c r="AE44" s="56">
        <f>'Monthly Electricity (Overview)'!Y122</f>
        <v/>
      </c>
      <c r="AF44" s="672">
        <f>IF(AD44=AE44,"/")</f>
        <v/>
      </c>
      <c r="AG44" s="56">
        <f>SUM(B44,E44,H44,K44,N44,Q44,W44,AA44,AD44,Z44)</f>
        <v/>
      </c>
      <c r="AH44" s="56">
        <f>SUM(B44,E44,H44,K44,N44,Q44,W44,AA44,AD44)</f>
        <v/>
      </c>
      <c r="AI44" s="56">
        <f>SUM(C44,F44,I44,L44,O44,R44,U44,X44,AB44, AE44)</f>
        <v/>
      </c>
      <c r="AJ44" s="672">
        <f>IF(AH44=AI44,"/")</f>
        <v/>
      </c>
      <c r="AK44" s="56">
        <f>AH44-AI44</f>
        <v/>
      </c>
    </row>
    <row r="45" ht="17" customHeight="1">
      <c r="A45" s="322" t="n">
        <v>45323</v>
      </c>
      <c r="B45" s="56">
        <f>'Monthly Electricity (Overview)'!B123-'Monthly Electricity (Overview)'!E123-SUM('Monthly Electricity (Overview)'!I123:N123)-SUM('Monthly Electricity (Overview)'!X123:Y123)+'Monthly Electricity (Overview)'!AD123</f>
        <v/>
      </c>
      <c r="C45" s="56">
        <f>'Monthly Electricity (Overview)'!B123-'Monthly Electricity (Overview)'!E123-SUM('Monthly Electricity (Overview)'!I123:N123)-SUM('Monthly Electricity (Overview)'!T123:Y123)</f>
        <v/>
      </c>
      <c r="D45" s="672">
        <f>IF(B45=C45,"/")</f>
        <v/>
      </c>
      <c r="E45" s="56">
        <f>'Monthly Electricity (Overview)'!I123</f>
        <v/>
      </c>
      <c r="F45" s="56">
        <f>'Monthly Electricity (Overview)'!I123</f>
        <v/>
      </c>
      <c r="G45" s="672">
        <f>IF(E45=F45,"/")</f>
        <v/>
      </c>
      <c r="H45" s="56">
        <f>'Monthly Electricity (Overview)'!N123</f>
        <v/>
      </c>
      <c r="I45" s="56">
        <f>'Monthly Electricity (Overview)'!N123</f>
        <v/>
      </c>
      <c r="J45" s="672">
        <f>IF(H45=I45,"/")</f>
        <v/>
      </c>
      <c r="K45" s="56">
        <f>'Monthly Electricity (Overview)'!E123</f>
        <v/>
      </c>
      <c r="L45" s="56">
        <f>'Monthly Electricity (Overview)'!E123</f>
        <v/>
      </c>
      <c r="M45" s="672">
        <f>IF(K45=L45,"/")</f>
        <v/>
      </c>
      <c r="N45" s="56">
        <f>'Monthly Electricity (Overview)'!J123</f>
        <v/>
      </c>
      <c r="O45" s="56">
        <f>'Monthly Electricity (Overview)'!J123</f>
        <v/>
      </c>
      <c r="P45" s="672">
        <f>IF(N45=O45,"/")</f>
        <v/>
      </c>
      <c r="Q45" s="56">
        <f>'Monthly Electricity (Overview)'!K123</f>
        <v/>
      </c>
      <c r="R45" s="56">
        <f>'Monthly Electricity (Overview)'!K123</f>
        <v/>
      </c>
      <c r="S45" s="672">
        <f>IF(Q45=R45,"/")</f>
        <v/>
      </c>
      <c r="T45" s="56" t="n"/>
      <c r="U45" s="56" t="n"/>
      <c r="V45" s="672">
        <f>IF(T45=U45,"/")</f>
        <v/>
      </c>
      <c r="W45" s="56">
        <f>'Monthly Electricity (Overview)'!L123</f>
        <v/>
      </c>
      <c r="X45" s="56">
        <f>'Monthly Electricity (Overview)'!L123</f>
        <v/>
      </c>
      <c r="Y45" s="672">
        <f>IF(W45=X45,"/")</f>
        <v/>
      </c>
      <c r="Z45" s="14" t="n">
        <v>54165</v>
      </c>
      <c r="AA45" s="56">
        <f>'Monthly Electricity (Overview)'!X123+'Monthly Electricity (Overview)'!W123+'Monthly Electricity (Overview)'!AC123</f>
        <v/>
      </c>
      <c r="AB45" s="56">
        <f>SUM('Monthly Electricity (Overview)'!U123:X123)+'Monthly Electricity (Overview)'!AC123</f>
        <v/>
      </c>
      <c r="AC45" s="672">
        <f>IF(AA45=AB45,"/")</f>
        <v/>
      </c>
      <c r="AD45" s="56">
        <f>'Monthly Electricity (Overview)'!Y123</f>
        <v/>
      </c>
      <c r="AE45" s="56">
        <f>'Monthly Electricity (Overview)'!Y123</f>
        <v/>
      </c>
      <c r="AF45" s="672">
        <f>IF(AD45=AE45,"/")</f>
        <v/>
      </c>
      <c r="AG45" s="56">
        <f>SUM(B45,E45,H45,K45,N45,Q45,W45,AA45,AD45,Z45)</f>
        <v/>
      </c>
      <c r="AH45" s="56">
        <f>SUM(B45,E45,H45,K45,N45,Q45,W45,AA45,AD45)</f>
        <v/>
      </c>
      <c r="AI45" s="56">
        <f>SUM(C45,F45,I45,L45,O45,R45,U45,X45,AB45, AE45)</f>
        <v/>
      </c>
      <c r="AJ45" s="672">
        <f>IF(AH45=AI45,"/")</f>
        <v/>
      </c>
      <c r="AK45" s="56">
        <f>AH45-AI45</f>
        <v/>
      </c>
    </row>
    <row r="46" ht="17" customHeight="1">
      <c r="A46" s="322" t="n">
        <v>45352</v>
      </c>
      <c r="B46" s="56">
        <f>'Monthly Electricity (Overview)'!B124-'Monthly Electricity (Overview)'!E124-SUM('Monthly Electricity (Overview)'!I124:N124)-SUM('Monthly Electricity (Overview)'!X124:Y124)+'Monthly Electricity (Overview)'!AD124</f>
        <v/>
      </c>
      <c r="C46" s="56">
        <f>'Monthly Electricity (Overview)'!B124-'Monthly Electricity (Overview)'!E124-SUM('Monthly Electricity (Overview)'!I124:N124)-SUM('Monthly Electricity (Overview)'!T124:Y124)</f>
        <v/>
      </c>
      <c r="D46" s="672">
        <f>IF(B46=C46,"/")</f>
        <v/>
      </c>
      <c r="E46" s="56">
        <f>'Monthly Electricity (Overview)'!I124</f>
        <v/>
      </c>
      <c r="F46" s="56">
        <f>'Monthly Electricity (Overview)'!I124</f>
        <v/>
      </c>
      <c r="G46" s="672">
        <f>IF(E46=F46,"/")</f>
        <v/>
      </c>
      <c r="H46" s="56">
        <f>'Monthly Electricity (Overview)'!N124</f>
        <v/>
      </c>
      <c r="I46" s="56">
        <f>'Monthly Electricity (Overview)'!N124</f>
        <v/>
      </c>
      <c r="J46" s="672">
        <f>IF(H46=I46,"/")</f>
        <v/>
      </c>
      <c r="K46" s="56">
        <f>'Monthly Electricity (Overview)'!E124</f>
        <v/>
      </c>
      <c r="L46" s="56">
        <f>'Monthly Electricity (Overview)'!E124</f>
        <v/>
      </c>
      <c r="M46" s="672">
        <f>IF(K46=L46,"/")</f>
        <v/>
      </c>
      <c r="N46" s="56">
        <f>'Monthly Electricity (Overview)'!J124</f>
        <v/>
      </c>
      <c r="O46" s="56">
        <f>'Monthly Electricity (Overview)'!J124</f>
        <v/>
      </c>
      <c r="P46" s="672">
        <f>IF(N46=O46,"/")</f>
        <v/>
      </c>
      <c r="Q46" s="56">
        <f>'Monthly Electricity (Overview)'!K124</f>
        <v/>
      </c>
      <c r="R46" s="56">
        <f>'Monthly Electricity (Overview)'!K124</f>
        <v/>
      </c>
      <c r="S46" s="672">
        <f>IF(Q46=R46,"/")</f>
        <v/>
      </c>
      <c r="T46" s="56" t="n"/>
      <c r="U46" s="56" t="n"/>
      <c r="V46" s="672">
        <f>IF(T46=U46,"/")</f>
        <v/>
      </c>
      <c r="W46" s="56">
        <f>'Monthly Electricity (Overview)'!L124</f>
        <v/>
      </c>
      <c r="X46" s="56">
        <f>'Monthly Electricity (Overview)'!L124</f>
        <v/>
      </c>
      <c r="Y46" s="672">
        <f>IF(W46=X46,"/")</f>
        <v/>
      </c>
      <c r="Z46" s="14" t="n">
        <v>46664</v>
      </c>
      <c r="AA46" s="56">
        <f>'Monthly Electricity (Overview)'!X124+'Monthly Electricity (Overview)'!W124+'Monthly Electricity (Overview)'!AC124</f>
        <v/>
      </c>
      <c r="AB46" s="56">
        <f>SUM('Monthly Electricity (Overview)'!U124:X124)+'Monthly Electricity (Overview)'!AC124</f>
        <v/>
      </c>
      <c r="AC46" s="672">
        <f>IF(AA46=AB46,"/")</f>
        <v/>
      </c>
      <c r="AD46" s="56">
        <f>'Monthly Electricity (Overview)'!Y124</f>
        <v/>
      </c>
      <c r="AE46" s="56">
        <f>'Monthly Electricity (Overview)'!Y124</f>
        <v/>
      </c>
      <c r="AF46" s="672">
        <f>IF(AD46=AE46,"/")</f>
        <v/>
      </c>
      <c r="AG46" s="56">
        <f>SUM(B46,E46,H46,K46,N46,Q46,W46,AA46,AD46,Z46)</f>
        <v/>
      </c>
      <c r="AH46" s="56">
        <f>SUM(B46,E46,H46,K46,N46,Q46,W46,AA46,AD46)</f>
        <v/>
      </c>
      <c r="AI46" s="56">
        <f>SUM(C46,F46,I46,L46,O46,R46,U46,X46,AB46, AE46)</f>
        <v/>
      </c>
      <c r="AJ46" s="672">
        <f>IF(AH46=AI46,"/")</f>
        <v/>
      </c>
      <c r="AK46" s="56">
        <f>AH46-AI46</f>
        <v/>
      </c>
    </row>
    <row r="47" ht="17" customHeight="1">
      <c r="A47" s="322" t="n">
        <v>45383</v>
      </c>
      <c r="B47" s="56">
        <f>'Monthly Electricity (Overview)'!B125-'Monthly Electricity (Overview)'!E125-SUM('Monthly Electricity (Overview)'!I125:N125)-SUM('Monthly Electricity (Overview)'!X125:Y125)+'Monthly Electricity (Overview)'!AD125</f>
        <v/>
      </c>
      <c r="C47" s="56">
        <f>'Monthly Electricity (Overview)'!B125-'Monthly Electricity (Overview)'!E125-SUM('Monthly Electricity (Overview)'!I125:N125)-SUM('Monthly Electricity (Overview)'!T125:Y125)</f>
        <v/>
      </c>
      <c r="D47" s="672">
        <f>IF(B47=C47,"/")</f>
        <v/>
      </c>
      <c r="E47" s="56">
        <f>'Monthly Electricity (Overview)'!I125</f>
        <v/>
      </c>
      <c r="F47" s="56">
        <f>'Monthly Electricity (Overview)'!I125</f>
        <v/>
      </c>
      <c r="G47" s="672">
        <f>IF(E47=F47,"/")</f>
        <v/>
      </c>
      <c r="H47" s="56">
        <f>'Monthly Electricity (Overview)'!N125</f>
        <v/>
      </c>
      <c r="I47" s="56">
        <f>'Monthly Electricity (Overview)'!N125</f>
        <v/>
      </c>
      <c r="J47" s="672">
        <f>IF(H47=I47,"/")</f>
        <v/>
      </c>
      <c r="K47" s="56">
        <f>'Monthly Electricity (Overview)'!E125</f>
        <v/>
      </c>
      <c r="L47" s="56">
        <f>'Monthly Electricity (Overview)'!E125</f>
        <v/>
      </c>
      <c r="M47" s="672">
        <f>IF(K47=L47,"/")</f>
        <v/>
      </c>
      <c r="N47" s="56">
        <f>'Monthly Electricity (Overview)'!J125</f>
        <v/>
      </c>
      <c r="O47" s="56">
        <f>'Monthly Electricity (Overview)'!J125</f>
        <v/>
      </c>
      <c r="P47" s="672">
        <f>IF(N47=O47,"/")</f>
        <v/>
      </c>
      <c r="Q47" s="56">
        <f>'Monthly Electricity (Overview)'!K125</f>
        <v/>
      </c>
      <c r="R47" s="56">
        <f>'Monthly Electricity (Overview)'!K125</f>
        <v/>
      </c>
      <c r="S47" s="672">
        <f>IF(Q47=R47,"/")</f>
        <v/>
      </c>
      <c r="T47" s="56" t="n"/>
      <c r="U47" s="56" t="n"/>
      <c r="V47" s="672">
        <f>IF(T47=U47,"/")</f>
        <v/>
      </c>
      <c r="W47" s="56">
        <f>'Monthly Electricity (Overview)'!L125</f>
        <v/>
      </c>
      <c r="X47" s="56">
        <f>'Monthly Electricity (Overview)'!L125</f>
        <v/>
      </c>
      <c r="Y47" s="672">
        <f>IF(W47=X47,"/")</f>
        <v/>
      </c>
      <c r="Z47" s="14" t="n">
        <v>76596</v>
      </c>
      <c r="AA47" s="56">
        <f>'Monthly Electricity (Overview)'!X125+'Monthly Electricity (Overview)'!W125+'Monthly Electricity (Overview)'!AC125</f>
        <v/>
      </c>
      <c r="AB47" s="56">
        <f>SUM('Monthly Electricity (Overview)'!U125:X125)+'Monthly Electricity (Overview)'!AC125</f>
        <v/>
      </c>
      <c r="AC47" s="672">
        <f>IF(AA47=AB47,"/")</f>
        <v/>
      </c>
      <c r="AD47" s="56">
        <f>'Monthly Electricity (Overview)'!Y125</f>
        <v/>
      </c>
      <c r="AE47" s="56">
        <f>'Monthly Electricity (Overview)'!Y125</f>
        <v/>
      </c>
      <c r="AF47" s="672">
        <f>IF(AD47=AE47,"/")</f>
        <v/>
      </c>
      <c r="AG47" s="56">
        <f>SUM(B47,E47,H47,K47,N47,Q47,W47,AA47,AD47,Z47)</f>
        <v/>
      </c>
      <c r="AH47" s="56">
        <f>SUM(B47,E47,H47,K47,N47,Q47,W47,AA47,AD47)</f>
        <v/>
      </c>
      <c r="AI47" s="56">
        <f>SUM(C47,F47,I47,L47,O47,R47,U47,X47,AB47, AE47)</f>
        <v/>
      </c>
      <c r="AJ47" s="672">
        <f>IF(AH47=AI47,"/")</f>
        <v/>
      </c>
      <c r="AK47" s="56">
        <f>AH47-AI47</f>
        <v/>
      </c>
    </row>
    <row r="48" ht="17" customHeight="1">
      <c r="A48" s="322" t="n">
        <v>45413</v>
      </c>
      <c r="B48" s="56">
        <f>'Monthly Electricity (Overview)'!B126-'Monthly Electricity (Overview)'!E126-SUM('Monthly Electricity (Overview)'!I126:N126)-SUM('Monthly Electricity (Overview)'!X126:Y126)+'Monthly Electricity (Overview)'!AD126</f>
        <v/>
      </c>
      <c r="C48" s="56">
        <f>'Monthly Electricity (Overview)'!B126-'Monthly Electricity (Overview)'!E126-SUM('Monthly Electricity (Overview)'!I126:N126)-SUM('Monthly Electricity (Overview)'!T126:Y126)</f>
        <v/>
      </c>
      <c r="D48" s="672">
        <f>IF(B48=C48,"/")</f>
        <v/>
      </c>
      <c r="E48" s="56">
        <f>'Monthly Electricity (Overview)'!I126</f>
        <v/>
      </c>
      <c r="F48" s="56">
        <f>'Monthly Electricity (Overview)'!I126</f>
        <v/>
      </c>
      <c r="G48" s="672">
        <f>IF(E48=F48,"/")</f>
        <v/>
      </c>
      <c r="H48" s="56">
        <f>'Monthly Electricity (Overview)'!N126</f>
        <v/>
      </c>
      <c r="I48" s="56">
        <f>'Monthly Electricity (Overview)'!N126</f>
        <v/>
      </c>
      <c r="J48" s="672">
        <f>IF(H48=I48,"/")</f>
        <v/>
      </c>
      <c r="K48" s="56">
        <f>'Monthly Electricity (Overview)'!E126</f>
        <v/>
      </c>
      <c r="L48" s="56">
        <f>'Monthly Electricity (Overview)'!E126</f>
        <v/>
      </c>
      <c r="M48" s="672">
        <f>IF(K48=L48,"/")</f>
        <v/>
      </c>
      <c r="N48" s="56">
        <f>'Monthly Electricity (Overview)'!J126</f>
        <v/>
      </c>
      <c r="O48" s="56">
        <f>'Monthly Electricity (Overview)'!J126</f>
        <v/>
      </c>
      <c r="P48" s="672">
        <f>IF(N48=O48,"/")</f>
        <v/>
      </c>
      <c r="Q48" s="56">
        <f>'Monthly Electricity (Overview)'!K126</f>
        <v/>
      </c>
      <c r="R48" s="56">
        <f>'Monthly Electricity (Overview)'!K126</f>
        <v/>
      </c>
      <c r="S48" s="672">
        <f>IF(Q48=R48,"/")</f>
        <v/>
      </c>
      <c r="T48" s="56" t="n"/>
      <c r="U48" s="56" t="n"/>
      <c r="V48" s="672">
        <f>IF(T48=U48,"/")</f>
        <v/>
      </c>
      <c r="W48" s="56">
        <f>'Monthly Electricity (Overview)'!L126</f>
        <v/>
      </c>
      <c r="X48" s="56">
        <f>'Monthly Electricity (Overview)'!L126</f>
        <v/>
      </c>
      <c r="Y48" s="672">
        <f>IF(W48=X48,"/")</f>
        <v/>
      </c>
      <c r="Z48" s="14" t="n">
        <v>69174</v>
      </c>
      <c r="AA48" s="56">
        <f>'Monthly Electricity (Overview)'!X126+'Monthly Electricity (Overview)'!W126+'Monthly Electricity (Overview)'!AC126</f>
        <v/>
      </c>
      <c r="AB48" s="56">
        <f>SUM('Monthly Electricity (Overview)'!U126:X126)+'Monthly Electricity (Overview)'!AC126</f>
        <v/>
      </c>
      <c r="AC48" s="672">
        <f>IF(AA48=AB48,"/")</f>
        <v/>
      </c>
      <c r="AD48" s="56">
        <f>'Monthly Electricity (Overview)'!Y126</f>
        <v/>
      </c>
      <c r="AE48" s="56">
        <f>'Monthly Electricity (Overview)'!Y126</f>
        <v/>
      </c>
      <c r="AF48" s="672">
        <f>IF(AD48=AE48,"/")</f>
        <v/>
      </c>
      <c r="AG48" s="56">
        <f>SUM(B48,E48,H48,K48,N48,Q48,W48,AA48,AD48,Z48)</f>
        <v/>
      </c>
      <c r="AH48" s="56">
        <f>SUM(B48,E48,H48,K48,N48,Q48,W48,AA48,AD48)</f>
        <v/>
      </c>
      <c r="AI48" s="56">
        <f>SUM(C48,F48,I48,L48,O48,R48,U48,X48,AB48, AE48)</f>
        <v/>
      </c>
      <c r="AJ48" s="672">
        <f>IF(AH48=AI48,"/")</f>
        <v/>
      </c>
      <c r="AK48" s="56">
        <f>AH48-AI48</f>
        <v/>
      </c>
    </row>
    <row r="49" ht="17" customHeight="1">
      <c r="A49" s="322" t="n">
        <v>45444</v>
      </c>
      <c r="B49" s="56">
        <f>'Monthly Electricity (Overview)'!B127-'Monthly Electricity (Overview)'!E127-SUM('Monthly Electricity (Overview)'!I127:N127)-SUM('Monthly Electricity (Overview)'!X127:Y127)+'Monthly Electricity (Overview)'!AD127</f>
        <v/>
      </c>
      <c r="C49" s="56">
        <f>'Monthly Electricity (Overview)'!B127-'Monthly Electricity (Overview)'!E127-SUM('Monthly Electricity (Overview)'!I127:N127)-SUM('Monthly Electricity (Overview)'!T127:Y127)</f>
        <v/>
      </c>
      <c r="D49" s="672">
        <f>IF(B49=C49,"/")</f>
        <v/>
      </c>
      <c r="E49" s="56">
        <f>'Monthly Electricity (Overview)'!I127</f>
        <v/>
      </c>
      <c r="F49" s="56">
        <f>'Monthly Electricity (Overview)'!I127</f>
        <v/>
      </c>
      <c r="G49" s="672">
        <f>IF(E49=F49,"/")</f>
        <v/>
      </c>
      <c r="H49" s="56">
        <f>'Monthly Electricity (Overview)'!N127</f>
        <v/>
      </c>
      <c r="I49" s="56">
        <f>'Monthly Electricity (Overview)'!N127</f>
        <v/>
      </c>
      <c r="J49" s="672">
        <f>IF(H49=I49,"/")</f>
        <v/>
      </c>
      <c r="K49" s="56">
        <f>'Monthly Electricity (Overview)'!E127</f>
        <v/>
      </c>
      <c r="L49" s="56">
        <f>'Monthly Electricity (Overview)'!E127</f>
        <v/>
      </c>
      <c r="M49" s="672">
        <f>IF(K49=L49,"/")</f>
        <v/>
      </c>
      <c r="N49" s="56">
        <f>'Monthly Electricity (Overview)'!J127</f>
        <v/>
      </c>
      <c r="O49" s="56">
        <f>'Monthly Electricity (Overview)'!J127</f>
        <v/>
      </c>
      <c r="P49" s="672">
        <f>IF(N49=O49,"/")</f>
        <v/>
      </c>
      <c r="Q49" s="56">
        <f>'Monthly Electricity (Overview)'!K127</f>
        <v/>
      </c>
      <c r="R49" s="56">
        <f>'Monthly Electricity (Overview)'!K127</f>
        <v/>
      </c>
      <c r="S49" s="672">
        <f>IF(Q49=R49,"/")</f>
        <v/>
      </c>
      <c r="T49" s="56" t="n"/>
      <c r="U49" s="56" t="n"/>
      <c r="V49" s="672">
        <f>IF(T49=U49,"/")</f>
        <v/>
      </c>
      <c r="W49" s="56">
        <f>'Monthly Electricity (Overview)'!L127</f>
        <v/>
      </c>
      <c r="X49" s="56">
        <f>'Monthly Electricity (Overview)'!L127</f>
        <v/>
      </c>
      <c r="Y49" s="672">
        <f>IF(W49=X49,"/")</f>
        <v/>
      </c>
      <c r="Z49" s="14" t="n">
        <v>89300</v>
      </c>
      <c r="AA49" s="56">
        <f>'Monthly Electricity (Overview)'!X127+'Monthly Electricity (Overview)'!W127+'Monthly Electricity (Overview)'!AC127</f>
        <v/>
      </c>
      <c r="AB49" s="56">
        <f>SUM('Monthly Electricity (Overview)'!U127:X127)+'Monthly Electricity (Overview)'!AC127</f>
        <v/>
      </c>
      <c r="AC49" s="672">
        <f>IF(AA49=AB49,"/")</f>
        <v/>
      </c>
      <c r="AD49" s="56">
        <f>'Monthly Electricity (Overview)'!Y127</f>
        <v/>
      </c>
      <c r="AE49" s="56">
        <f>'Monthly Electricity (Overview)'!Y127</f>
        <v/>
      </c>
      <c r="AF49" s="672">
        <f>IF(AD49=AE49,"/")</f>
        <v/>
      </c>
      <c r="AG49" s="56">
        <f>SUM(B49,E49,H49,K49,N49,Q49,W49,AA49,AD49,Z49)</f>
        <v/>
      </c>
      <c r="AH49" s="56">
        <f>SUM(B49,E49,H49,K49,N49,Q49,W49,AA49,AD49)</f>
        <v/>
      </c>
      <c r="AI49" s="56">
        <f>SUM(C49,F49,I49,L49,O49,R49,U49,X49,AB49, AE49)</f>
        <v/>
      </c>
      <c r="AJ49" s="672">
        <f>IF(AH49=AI49,"/")</f>
        <v/>
      </c>
      <c r="AK49" s="56">
        <f>AH49-AI49</f>
        <v/>
      </c>
    </row>
    <row r="50" ht="17" customHeight="1">
      <c r="A50" s="323" t="n">
        <v>45474</v>
      </c>
      <c r="B50" s="56">
        <f>'Monthly Electricity (Overview)'!B128-'Monthly Electricity (Overview)'!E128-SUM('Monthly Electricity (Overview)'!I128:L128)-'Monthly Electricity (Overview)'!N128-SUM('Monthly Electricity (Overview)'!W128:Y128)</f>
        <v/>
      </c>
      <c r="C50" s="56">
        <f>'Monthly Electricity (Overview)'!B128-'Monthly Electricity (Overview)'!E128-SUM('Monthly Electricity (Overview)'!I128:N128)-SUM('Monthly Electricity (Overview)'!T128:Y128)</f>
        <v/>
      </c>
      <c r="D50" s="672">
        <f>IF(B50=C50,"/")</f>
        <v/>
      </c>
      <c r="E50" s="56">
        <f>'Monthly Electricity (Overview)'!I128</f>
        <v/>
      </c>
      <c r="F50" s="56">
        <f>'Monthly Electricity (Overview)'!I128</f>
        <v/>
      </c>
      <c r="G50" s="672">
        <f>IF(E50=F50,"/")</f>
        <v/>
      </c>
      <c r="H50" s="56">
        <f>'Monthly Electricity (Overview)'!N128</f>
        <v/>
      </c>
      <c r="I50" s="56">
        <f>'Monthly Electricity (Overview)'!N128</f>
        <v/>
      </c>
      <c r="J50" s="672">
        <f>IF(H50=I50,"/")</f>
        <v/>
      </c>
      <c r="K50" s="56">
        <f>'Monthly Electricity (Overview)'!E128</f>
        <v/>
      </c>
      <c r="L50" s="56">
        <f>'Monthly Electricity (Overview)'!E128</f>
        <v/>
      </c>
      <c r="M50" s="672">
        <f>IF(K50=L50,"/")</f>
        <v/>
      </c>
      <c r="N50" s="56">
        <f>'Monthly Electricity (Overview)'!J128</f>
        <v/>
      </c>
      <c r="O50" s="56">
        <f>'Monthly Electricity (Overview)'!J128</f>
        <v/>
      </c>
      <c r="P50" s="672">
        <f>IF(N50=O50,"/")</f>
        <v/>
      </c>
      <c r="Q50" s="56">
        <f>'Monthly Electricity (Overview)'!K128</f>
        <v/>
      </c>
      <c r="R50" s="56">
        <f>'Monthly Electricity (Overview)'!K128</f>
        <v/>
      </c>
      <c r="S50" s="672">
        <f>IF(Q50=R50,"/")</f>
        <v/>
      </c>
      <c r="T50" s="56" t="n"/>
      <c r="U50" s="56" t="n"/>
      <c r="V50" s="672">
        <f>IF(T50=U50,"/")</f>
        <v/>
      </c>
      <c r="W50" s="56">
        <f>'Monthly Electricity (Overview)'!L128</f>
        <v/>
      </c>
      <c r="X50" s="56">
        <f>'Monthly Electricity (Overview)'!L128</f>
        <v/>
      </c>
      <c r="Y50" s="672">
        <f>IF(W50=X50,"/")</f>
        <v/>
      </c>
      <c r="Z50" s="56" t="n">
        <v>96675</v>
      </c>
      <c r="AA50" s="56">
        <f>'Monthly Electricity (Overview)'!X128+'Monthly Electricity (Overview)'!W128+'Monthly Electricity (Overview)'!AC128</f>
        <v/>
      </c>
      <c r="AB50" s="56">
        <f>SUM('Monthly Electricity (Overview)'!U128:X128)+'Monthly Electricity (Overview)'!AC128</f>
        <v/>
      </c>
      <c r="AC50" s="672">
        <f>IF(AA50=AB50,"/")</f>
        <v/>
      </c>
      <c r="AD50" s="56">
        <f>'Monthly Electricity (Overview)'!Y128</f>
        <v/>
      </c>
      <c r="AE50" s="56">
        <f>'Monthly Electricity (Overview)'!Y128</f>
        <v/>
      </c>
      <c r="AF50" s="672">
        <f>IF(AD50=AE50,"/")</f>
        <v/>
      </c>
      <c r="AG50" s="56">
        <f>SUM(B50,E50,H50,K50,N50,Q50,W50,AA50,AD50,Z50)</f>
        <v/>
      </c>
      <c r="AH50" s="56">
        <f>SUM(B50,E50,H50,K50,N50,Q50,W50,AA50,AD50)</f>
        <v/>
      </c>
      <c r="AI50" s="56">
        <f>SUM(C50,F50,I50,L50,O50,R50,U50,X50,AB50, AE50)</f>
        <v/>
      </c>
      <c r="AJ50" s="672">
        <f>IF(AH50=AI50,"/")</f>
        <v/>
      </c>
      <c r="AK50" s="56">
        <f>AH50-AI50</f>
        <v/>
      </c>
      <c r="AL50" s="56" t="n"/>
    </row>
    <row r="51" ht="17" customHeight="1">
      <c r="A51" s="323" t="n">
        <v>45505</v>
      </c>
      <c r="B51" s="56">
        <f>'Monthly Electricity (Overview)'!B129-'Monthly Electricity (Overview)'!E129-SUM('Monthly Electricity (Overview)'!I129:L129)-'Monthly Electricity (Overview)'!N129-SUM('Monthly Electricity (Overview)'!W129:Y129)</f>
        <v/>
      </c>
      <c r="C51" s="56">
        <f>'Monthly Electricity (Overview)'!B129-'Monthly Electricity (Overview)'!E129-SUM('Monthly Electricity (Overview)'!I129:N129)-SUM('Monthly Electricity (Overview)'!T129:Y129)</f>
        <v/>
      </c>
      <c r="D51" s="672">
        <f>IF(B51=C51,"/")</f>
        <v/>
      </c>
      <c r="E51" s="56">
        <f>'Monthly Electricity (Overview)'!I129</f>
        <v/>
      </c>
      <c r="F51" s="56">
        <f>'Monthly Electricity (Overview)'!I129</f>
        <v/>
      </c>
      <c r="G51" s="672">
        <f>IF(E51=F51,"/")</f>
        <v/>
      </c>
      <c r="H51" s="56">
        <f>'Monthly Electricity (Overview)'!N129</f>
        <v/>
      </c>
      <c r="I51" s="56">
        <f>'Monthly Electricity (Overview)'!N129</f>
        <v/>
      </c>
      <c r="J51" s="672">
        <f>IF(H51=I51,"/")</f>
        <v/>
      </c>
      <c r="K51" s="56">
        <f>'Monthly Electricity (Overview)'!E129</f>
        <v/>
      </c>
      <c r="L51" s="56">
        <f>'Monthly Electricity (Overview)'!E129</f>
        <v/>
      </c>
      <c r="M51" s="672">
        <f>IF(K51=L51,"/")</f>
        <v/>
      </c>
      <c r="N51" s="56">
        <f>'Monthly Electricity (Overview)'!J129</f>
        <v/>
      </c>
      <c r="O51" s="56">
        <f>'Monthly Electricity (Overview)'!J129</f>
        <v/>
      </c>
      <c r="P51" s="672">
        <f>IF(N51=O51,"/")</f>
        <v/>
      </c>
      <c r="Q51" s="56">
        <f>'Monthly Electricity (Overview)'!K129</f>
        <v/>
      </c>
      <c r="R51" s="56">
        <f>'Monthly Electricity (Overview)'!K129</f>
        <v/>
      </c>
      <c r="S51" s="672">
        <f>IF(Q51=R51,"/")</f>
        <v/>
      </c>
      <c r="T51" s="56" t="n"/>
      <c r="U51" s="56" t="n"/>
      <c r="V51" s="672">
        <f>IF(T51=U51,"/")</f>
        <v/>
      </c>
      <c r="W51" s="56">
        <f>'Monthly Electricity (Overview)'!L129</f>
        <v/>
      </c>
      <c r="X51" s="56">
        <f>'Monthly Electricity (Overview)'!L129</f>
        <v/>
      </c>
      <c r="Y51" s="672">
        <f>IF(W51=X51,"/")</f>
        <v/>
      </c>
      <c r="Z51" s="56" t="n">
        <v>102262</v>
      </c>
      <c r="AA51" s="56">
        <f>'Monthly Electricity (Overview)'!X129+'Monthly Electricity (Overview)'!W129+'Monthly Electricity (Overview)'!AC129</f>
        <v/>
      </c>
      <c r="AB51" s="56">
        <f>SUM('Monthly Electricity (Overview)'!U129:X129)+'Monthly Electricity (Overview)'!AC129</f>
        <v/>
      </c>
      <c r="AC51" s="672">
        <f>IF(AA51=AB51,"/")</f>
        <v/>
      </c>
      <c r="AD51" s="56">
        <f>'Monthly Electricity (Overview)'!Y129</f>
        <v/>
      </c>
      <c r="AE51" s="56">
        <f>'Monthly Electricity (Overview)'!Y129</f>
        <v/>
      </c>
      <c r="AF51" s="672">
        <f>IF(AD51=AE51,"/")</f>
        <v/>
      </c>
      <c r="AG51" s="56">
        <f>SUM(B51,E51,H51,K51,N51,Q51,W51,AA51,AD51,Z51)</f>
        <v/>
      </c>
      <c r="AH51" s="56">
        <f>SUM(B51,E51,H51,K51,N51,Q51,W51,AA51,AD51)</f>
        <v/>
      </c>
      <c r="AI51" s="56">
        <f>SUM(C51,F51,I51,L51,O51,R51,U51,X51,AB51, AE51)</f>
        <v/>
      </c>
      <c r="AJ51" s="672">
        <f>IF(AH51=AI51,"/")</f>
        <v/>
      </c>
      <c r="AK51" s="56">
        <f>AH51-AI51</f>
        <v/>
      </c>
    </row>
    <row r="52" ht="17" customHeight="1">
      <c r="A52" s="323" t="n">
        <v>45536</v>
      </c>
      <c r="B52" s="56">
        <f>'Monthly Electricity (Overview)'!B130-'Monthly Electricity (Overview)'!E130-SUM('Monthly Electricity (Overview)'!I130:L130)-'Monthly Electricity (Overview)'!N130-SUM('Monthly Electricity (Overview)'!W130:Y130)</f>
        <v/>
      </c>
      <c r="C52" s="56">
        <f>'Monthly Electricity (Overview)'!B130-'Monthly Electricity (Overview)'!E130-SUM('Monthly Electricity (Overview)'!I130:N130)-SUM('Monthly Electricity (Overview)'!T130:Y130)</f>
        <v/>
      </c>
      <c r="D52" s="672">
        <f>IF(B52=C52,"/")</f>
        <v/>
      </c>
      <c r="E52" s="56">
        <f>'Monthly Electricity (Overview)'!I130</f>
        <v/>
      </c>
      <c r="F52" s="56">
        <f>'Monthly Electricity (Overview)'!I130</f>
        <v/>
      </c>
      <c r="G52" s="672">
        <f>IF(E52=F52,"/")</f>
        <v/>
      </c>
      <c r="H52" s="56">
        <f>'Monthly Electricity (Overview)'!N130</f>
        <v/>
      </c>
      <c r="I52" s="56">
        <f>'Monthly Electricity (Overview)'!N130</f>
        <v/>
      </c>
      <c r="J52" s="672">
        <f>IF(H52=I52,"/")</f>
        <v/>
      </c>
      <c r="K52" s="56">
        <f>'Monthly Electricity (Overview)'!E130</f>
        <v/>
      </c>
      <c r="L52" s="56">
        <f>'Monthly Electricity (Overview)'!E130</f>
        <v/>
      </c>
      <c r="M52" s="672">
        <f>IF(K52=L52,"/")</f>
        <v/>
      </c>
      <c r="N52" s="56">
        <f>'Monthly Electricity (Overview)'!J130</f>
        <v/>
      </c>
      <c r="O52" s="56">
        <f>'Monthly Electricity (Overview)'!J130</f>
        <v/>
      </c>
      <c r="P52" s="672">
        <f>IF(N52=O52,"/")</f>
        <v/>
      </c>
      <c r="Q52" s="56">
        <f>'Monthly Electricity (Overview)'!K130</f>
        <v/>
      </c>
      <c r="R52" s="56">
        <f>'Monthly Electricity (Overview)'!K130</f>
        <v/>
      </c>
      <c r="S52" s="672">
        <f>IF(Q52=R52,"/")</f>
        <v/>
      </c>
      <c r="T52" s="56" t="n"/>
      <c r="U52" s="56" t="n"/>
      <c r="V52" s="672">
        <f>IF(T52=U52,"/")</f>
        <v/>
      </c>
      <c r="W52" s="56">
        <f>'Monthly Electricity (Overview)'!L130</f>
        <v/>
      </c>
      <c r="X52" s="56">
        <f>'Monthly Electricity (Overview)'!L130</f>
        <v/>
      </c>
      <c r="Y52" s="672">
        <f>IF(W52=X52,"/")</f>
        <v/>
      </c>
      <c r="Z52" s="56" t="n">
        <v>94188</v>
      </c>
      <c r="AA52" s="56">
        <f>'Monthly Electricity (Overview)'!X130+'Monthly Electricity (Overview)'!W130+'Monthly Electricity (Overview)'!AC130</f>
        <v/>
      </c>
      <c r="AB52" s="56">
        <f>SUM('Monthly Electricity (Overview)'!U130:X130)+'Monthly Electricity (Overview)'!AC130</f>
        <v/>
      </c>
      <c r="AC52" s="672">
        <f>IF(AA52=AB52,"/")</f>
        <v/>
      </c>
      <c r="AD52" s="56">
        <f>'Monthly Electricity (Overview)'!Y130</f>
        <v/>
      </c>
      <c r="AE52" s="56">
        <f>'Monthly Electricity (Overview)'!Y130</f>
        <v/>
      </c>
      <c r="AF52" s="672">
        <f>IF(AD52=AE52,"/")</f>
        <v/>
      </c>
      <c r="AG52" s="56">
        <f>SUM(B52,E52,H52,K52,N52,Q52,W52,AA52,AD52,Z52)</f>
        <v/>
      </c>
      <c r="AH52" s="56">
        <f>SUM(B52,E52,H52,K52,N52,Q52,W52,AA52,AD52)</f>
        <v/>
      </c>
      <c r="AI52" s="56">
        <f>SUM(C52,F52,I52,L52,O52,R52,U52,X52,AB52, AE52)</f>
        <v/>
      </c>
      <c r="AJ52" s="672">
        <f>IF(AH52=AI52,"/")</f>
        <v/>
      </c>
      <c r="AK52" s="56">
        <f>AH52-AI52</f>
        <v/>
      </c>
    </row>
    <row r="53" ht="17" customHeight="1">
      <c r="A53" s="323" t="n">
        <v>45566</v>
      </c>
      <c r="B53" s="56">
        <f>'Monthly Electricity (Overview)'!B131-'Monthly Electricity (Overview)'!E131-SUM('Monthly Electricity (Overview)'!I131:L131)-'Monthly Electricity (Overview)'!N131-SUM('Monthly Electricity (Overview)'!W131:Y131)</f>
        <v/>
      </c>
      <c r="C53" s="56">
        <f>'Monthly Electricity (Overview)'!B131-'Monthly Electricity (Overview)'!E131-SUM('Monthly Electricity (Overview)'!I131:N131)-SUM('Monthly Electricity (Overview)'!T131:Y131)</f>
        <v/>
      </c>
      <c r="D53" s="672">
        <f>IF(B53=C53,"/")</f>
        <v/>
      </c>
      <c r="E53" s="56">
        <f>'Monthly Electricity (Overview)'!I131</f>
        <v/>
      </c>
      <c r="F53" s="56">
        <f>'Monthly Electricity (Overview)'!I131</f>
        <v/>
      </c>
      <c r="G53" s="672">
        <f>IF(E53=F53,"/")</f>
        <v/>
      </c>
      <c r="H53" s="56">
        <f>'Monthly Electricity (Overview)'!N131</f>
        <v/>
      </c>
      <c r="I53" s="56">
        <f>'Monthly Electricity (Overview)'!N131</f>
        <v/>
      </c>
      <c r="J53" s="672">
        <f>IF(H53=I53,"/")</f>
        <v/>
      </c>
      <c r="K53" s="56">
        <f>'Monthly Electricity (Overview)'!E131</f>
        <v/>
      </c>
      <c r="L53" s="56">
        <f>'Monthly Electricity (Overview)'!E131</f>
        <v/>
      </c>
      <c r="M53" s="672">
        <f>IF(K53=L53,"/")</f>
        <v/>
      </c>
      <c r="N53" s="56">
        <f>'Monthly Electricity (Overview)'!J131</f>
        <v/>
      </c>
      <c r="O53" s="56">
        <f>'Monthly Electricity (Overview)'!J131</f>
        <v/>
      </c>
      <c r="P53" s="672">
        <f>IF(N53=O53,"/")</f>
        <v/>
      </c>
      <c r="Q53" s="56">
        <f>'Monthly Electricity (Overview)'!K131</f>
        <v/>
      </c>
      <c r="R53" s="56">
        <f>'Monthly Electricity (Overview)'!K131</f>
        <v/>
      </c>
      <c r="S53" s="672">
        <f>IF(Q53=R53,"/")</f>
        <v/>
      </c>
      <c r="T53" s="56" t="n"/>
      <c r="U53" s="56" t="n"/>
      <c r="V53" s="672">
        <f>IF(T53=U53,"/")</f>
        <v/>
      </c>
      <c r="W53" s="56">
        <f>'Monthly Electricity (Overview)'!L131</f>
        <v/>
      </c>
      <c r="X53" s="56">
        <f>'Monthly Electricity (Overview)'!L131</f>
        <v/>
      </c>
      <c r="Y53" s="672">
        <f>IF(W53=X53,"/")</f>
        <v/>
      </c>
      <c r="Z53" s="56" t="n">
        <v>74174</v>
      </c>
      <c r="AA53" s="56">
        <f>'Monthly Electricity (Overview)'!X131+'Monthly Electricity (Overview)'!W131+'Monthly Electricity (Overview)'!AC131</f>
        <v/>
      </c>
      <c r="AB53" s="56">
        <f>SUM('Monthly Electricity (Overview)'!U131:X131)+'Monthly Electricity (Overview)'!AC131</f>
        <v/>
      </c>
      <c r="AC53" s="672">
        <f>IF(AA53=AB53,"/")</f>
        <v/>
      </c>
      <c r="AD53" s="56">
        <f>'Monthly Electricity (Overview)'!Y131</f>
        <v/>
      </c>
      <c r="AE53" s="56">
        <f>'Monthly Electricity (Overview)'!Y131</f>
        <v/>
      </c>
      <c r="AF53" s="672">
        <f>IF(AD53=AE53,"/")</f>
        <v/>
      </c>
      <c r="AG53" s="56">
        <f>SUM(B53,E53,H53,K53,N53,Q53,W53,AA53,AD53,Z53)</f>
        <v/>
      </c>
      <c r="AH53" s="56">
        <f>SUM(B53,E53,H53,K53,N53,Q53,W53,AA53,AD53)</f>
        <v/>
      </c>
      <c r="AI53" s="56">
        <f>SUM(C53,F53,I53,L53,O53,R53,U53,X53,AB53, AE53)</f>
        <v/>
      </c>
      <c r="AJ53" s="672">
        <f>IF(AH53=AI53,"/")</f>
        <v/>
      </c>
      <c r="AK53" s="56">
        <f>AH53-AI53</f>
        <v/>
      </c>
    </row>
    <row r="54" ht="17" customHeight="1">
      <c r="A54" s="323" t="n">
        <v>45597</v>
      </c>
      <c r="B54" s="56">
        <f>'Monthly Electricity (Overview)'!B132-'Monthly Electricity (Overview)'!E132-SUM('Monthly Electricity (Overview)'!I132:L132)-'Monthly Electricity (Overview)'!N132-SUM('Monthly Electricity (Overview)'!W132:Y132)</f>
        <v/>
      </c>
      <c r="C54" s="56">
        <f>'Monthly Electricity (Overview)'!B132-'Monthly Electricity (Overview)'!E132-SUM('Monthly Electricity (Overview)'!I132:N132)-SUM('Monthly Electricity (Overview)'!T132:Y132)</f>
        <v/>
      </c>
      <c r="D54" s="672">
        <f>IF(B54=C54,"/")</f>
        <v/>
      </c>
      <c r="E54" s="56">
        <f>'Monthly Electricity (Overview)'!I132</f>
        <v/>
      </c>
      <c r="F54" s="56">
        <f>'Monthly Electricity (Overview)'!I132</f>
        <v/>
      </c>
      <c r="G54" s="672">
        <f>IF(E54=F54,"/")</f>
        <v/>
      </c>
      <c r="H54" s="56">
        <f>'Monthly Electricity (Overview)'!N132</f>
        <v/>
      </c>
      <c r="I54" s="56">
        <f>'Monthly Electricity (Overview)'!N132</f>
        <v/>
      </c>
      <c r="J54" s="672">
        <f>IF(H54=I54,"/")</f>
        <v/>
      </c>
      <c r="K54" s="56">
        <f>'Monthly Electricity (Overview)'!E132</f>
        <v/>
      </c>
      <c r="L54" s="56">
        <f>'Monthly Electricity (Overview)'!E132</f>
        <v/>
      </c>
      <c r="M54" s="672">
        <f>IF(K54=L54,"/")</f>
        <v/>
      </c>
      <c r="N54" s="56">
        <f>'Monthly Electricity (Overview)'!J132</f>
        <v/>
      </c>
      <c r="O54" s="56">
        <f>'Monthly Electricity (Overview)'!J132</f>
        <v/>
      </c>
      <c r="P54" s="672">
        <f>IF(N54=O54,"/")</f>
        <v/>
      </c>
      <c r="Q54" s="56">
        <f>'Monthly Electricity (Overview)'!K132</f>
        <v/>
      </c>
      <c r="R54" s="56">
        <f>'Monthly Electricity (Overview)'!K132</f>
        <v/>
      </c>
      <c r="S54" s="672">
        <f>IF(Q54=R54,"/")</f>
        <v/>
      </c>
      <c r="T54" s="56" t="n"/>
      <c r="U54" s="56" t="n"/>
      <c r="V54" s="672">
        <f>IF(T54=U54,"/")</f>
        <v/>
      </c>
      <c r="W54" s="56">
        <f>'Monthly Electricity (Overview)'!L132</f>
        <v/>
      </c>
      <c r="X54" s="56">
        <f>'Monthly Electricity (Overview)'!L132</f>
        <v/>
      </c>
      <c r="Y54" s="672">
        <f>IF(W54=X54,"/")</f>
        <v/>
      </c>
      <c r="Z54" s="56" t="n">
        <v>69509</v>
      </c>
      <c r="AA54" s="56">
        <f>'Monthly Electricity (Overview)'!X132+'Monthly Electricity (Overview)'!W132+'Monthly Electricity (Overview)'!AC132</f>
        <v/>
      </c>
      <c r="AB54" s="56">
        <f>SUM('Monthly Electricity (Overview)'!U132:X132)+'Monthly Electricity (Overview)'!AC132</f>
        <v/>
      </c>
      <c r="AC54" s="672">
        <f>IF(AA54=AB54,"/")</f>
        <v/>
      </c>
      <c r="AD54" s="56">
        <f>'Monthly Electricity (Overview)'!Y132</f>
        <v/>
      </c>
      <c r="AE54" s="56">
        <f>'Monthly Electricity (Overview)'!Y132</f>
        <v/>
      </c>
      <c r="AF54" s="672">
        <f>IF(AD54=AE54,"/")</f>
        <v/>
      </c>
      <c r="AG54" s="56">
        <f>SUM(B54,E54,H54,K54,N54,Q54,W54,AA54,AD54,Z54)</f>
        <v/>
      </c>
      <c r="AH54" s="56">
        <f>SUM(B54,E54,H54,K54,N54,Q54,W54,AA54,AD54)</f>
        <v/>
      </c>
      <c r="AI54" s="56">
        <f>SUM(C54,F54,I54,L54,O54,R54,U54,X54,AB54, AE54)</f>
        <v/>
      </c>
      <c r="AJ54" s="672">
        <f>IF(AH54=AI54,"/")</f>
        <v/>
      </c>
      <c r="AK54" s="56">
        <f>AH54-AI54</f>
        <v/>
      </c>
    </row>
    <row r="55" ht="17" customHeight="1">
      <c r="A55" s="323" t="n">
        <v>45627</v>
      </c>
      <c r="B55" s="486">
        <f>'Monthly Electricity (Overview)'!B133-'Monthly Electricity (Overview)'!E133-SUM('Monthly Electricity (Overview)'!I133:L133)-'Monthly Electricity (Overview)'!N133-SUM('Monthly Electricity (Overview)'!W133:Y133)</f>
        <v/>
      </c>
      <c r="C55" s="56">
        <f>'Monthly Electricity (Overview)'!B133-'Monthly Electricity (Overview)'!E133-SUM('Monthly Electricity (Overview)'!I133:N133)-SUM('Monthly Electricity (Overview)'!T133:Y133)</f>
        <v/>
      </c>
      <c r="D55" s="672">
        <f>IF(B55=C55,"/")</f>
        <v/>
      </c>
      <c r="E55" s="315">
        <f>'Monthly Electricity (Overview)'!I133</f>
        <v/>
      </c>
      <c r="F55" s="56">
        <f>'Monthly Electricity (Overview)'!I133</f>
        <v/>
      </c>
      <c r="G55" s="672">
        <f>IF(E55=F55,"/")</f>
        <v/>
      </c>
      <c r="H55" s="315">
        <f>'Monthly Electricity (Overview)'!N133</f>
        <v/>
      </c>
      <c r="I55" s="56">
        <f>'Monthly Electricity (Overview)'!N133</f>
        <v/>
      </c>
      <c r="J55" s="672">
        <f>IF(H55=I55,"/")</f>
        <v/>
      </c>
      <c r="K55" s="315">
        <f>'Monthly Electricity (Overview)'!E133</f>
        <v/>
      </c>
      <c r="L55" s="56">
        <f>'Monthly Electricity (Overview)'!E133</f>
        <v/>
      </c>
      <c r="M55" s="672">
        <f>IF(K55=L55,"/")</f>
        <v/>
      </c>
      <c r="N55" s="315">
        <f>'Monthly Electricity (Overview)'!J133</f>
        <v/>
      </c>
      <c r="O55" s="56">
        <f>'Monthly Electricity (Overview)'!J133</f>
        <v/>
      </c>
      <c r="P55" s="672">
        <f>IF(N55=O55,"/")</f>
        <v/>
      </c>
      <c r="Q55" s="315">
        <f>'Monthly Electricity (Overview)'!K133</f>
        <v/>
      </c>
      <c r="R55" s="56">
        <f>'Monthly Electricity (Overview)'!K133</f>
        <v/>
      </c>
      <c r="S55" s="672">
        <f>IF(Q55=R55,"/")</f>
        <v/>
      </c>
      <c r="T55" s="315" t="n"/>
      <c r="U55" s="315" t="n"/>
      <c r="V55" s="672">
        <f>IF(T55=U55,"/")</f>
        <v/>
      </c>
      <c r="W55" s="315">
        <f>'Monthly Electricity (Overview)'!L133</f>
        <v/>
      </c>
      <c r="X55" s="56">
        <f>'Monthly Electricity (Overview)'!L133</f>
        <v/>
      </c>
      <c r="Y55" s="672">
        <f>IF(W55=X55,"/")</f>
        <v/>
      </c>
      <c r="Z55" s="315" t="n">
        <v>42277</v>
      </c>
      <c r="AA55" s="315">
        <f>'Monthly Electricity (Overview)'!X133+'Monthly Electricity (Overview)'!W133+'Monthly Electricity (Overview)'!AC133</f>
        <v/>
      </c>
      <c r="AB55" s="56">
        <f>SUM('Monthly Electricity (Overview)'!U133:X133)+'Monthly Electricity (Overview)'!AC133</f>
        <v/>
      </c>
      <c r="AC55" s="672">
        <f>IF(AA55=AB55,"/")</f>
        <v/>
      </c>
      <c r="AD55" s="315">
        <f>'Monthly Electricity (Overview)'!Y133</f>
        <v/>
      </c>
      <c r="AE55" s="56">
        <f>'Monthly Electricity (Overview)'!Y133</f>
        <v/>
      </c>
      <c r="AF55" s="672">
        <f>IF(AD55=AE55,"/")</f>
        <v/>
      </c>
      <c r="AG55" s="56">
        <f>SUM(B55,E55,H55,K55,N55,Q55,W55,AA55,AD55,Z55)</f>
        <v/>
      </c>
      <c r="AH55" s="56">
        <f>SUM(B55,E55,H55,K55,N55,Q55,W55,AA55,AD55)</f>
        <v/>
      </c>
      <c r="AI55" s="56">
        <f>SUM(C55,F55,I55,L55,O55,R55,U55,X55,AB55, AE55)</f>
        <v/>
      </c>
      <c r="AJ55" s="672">
        <f>IF(AH55=AI55,"/")</f>
        <v/>
      </c>
      <c r="AK55" s="56">
        <f>AH55-AI55</f>
        <v/>
      </c>
    </row>
    <row r="56" ht="17" customHeight="1">
      <c r="A56" s="481" t="n">
        <v>45658</v>
      </c>
      <c r="B56" s="56">
        <f>'Monthly Electricity (Overview)'!B134-'Monthly Electricity (Overview)'!E134-SUM('Monthly Electricity (Overview)'!I134:L134)-'Monthly Electricity (Overview)'!N134-SUM('Monthly Electricity (Overview)'!W134:Y134)</f>
        <v/>
      </c>
      <c r="C56" s="56">
        <f>'Monthly Electricity (Overview)'!B134-'Monthly Electricity (Overview)'!E134-SUM('Monthly Electricity (Overview)'!I134:N134)-SUM('Monthly Electricity (Overview)'!T134:Y134)</f>
        <v/>
      </c>
      <c r="D56" s="672">
        <f>IF(B56=C56,"/")</f>
        <v/>
      </c>
      <c r="E56" s="56">
        <f>'Monthly Electricity (Overview)'!I134</f>
        <v/>
      </c>
      <c r="F56" s="56">
        <f>'Monthly Electricity (Overview)'!I134</f>
        <v/>
      </c>
      <c r="G56" s="672">
        <f>IF(E56=F56,"/")</f>
        <v/>
      </c>
      <c r="H56" s="56">
        <f>'Monthly Electricity (Overview)'!N134</f>
        <v/>
      </c>
      <c r="I56" s="56">
        <f>'Monthly Electricity (Overview)'!N134</f>
        <v/>
      </c>
      <c r="J56" s="672">
        <f>IF(H56=I56,"/")</f>
        <v/>
      </c>
      <c r="K56" s="56">
        <f>'Monthly Electricity (Overview)'!E134</f>
        <v/>
      </c>
      <c r="L56" s="56">
        <f>'Monthly Electricity (Overview)'!E134</f>
        <v/>
      </c>
      <c r="M56" s="672">
        <f>IF(K56=L56,"/")</f>
        <v/>
      </c>
      <c r="N56" s="56">
        <f>'Monthly Electricity (Overview)'!J134</f>
        <v/>
      </c>
      <c r="O56" s="56">
        <f>'Monthly Electricity (Overview)'!J134</f>
        <v/>
      </c>
      <c r="P56" s="672">
        <f>IF(N56=O56,"/")</f>
        <v/>
      </c>
      <c r="Q56" s="56">
        <f>'Monthly Electricity (Overview)'!K134</f>
        <v/>
      </c>
      <c r="R56" s="56">
        <f>'Monthly Electricity (Overview)'!K134</f>
        <v/>
      </c>
      <c r="S56" s="672">
        <f>IF(Q56=R56,"/")</f>
        <v/>
      </c>
      <c r="T56" s="56" t="n"/>
      <c r="U56" s="56" t="n"/>
      <c r="V56" s="672">
        <f>IF(T56=U56,"/")</f>
        <v/>
      </c>
      <c r="W56" s="56">
        <f>'Monthly Electricity (Overview)'!L134</f>
        <v/>
      </c>
      <c r="X56" s="56">
        <f>'Monthly Electricity (Overview)'!L134</f>
        <v/>
      </c>
      <c r="Y56" s="672">
        <f>IF(W56=X56,"/")</f>
        <v/>
      </c>
      <c r="Z56" s="56" t="n">
        <v>42652</v>
      </c>
      <c r="AA56" s="56">
        <f>'Monthly Electricity (Overview)'!X134+'Monthly Electricity (Overview)'!W134+'Monthly Electricity (Overview)'!AC134</f>
        <v/>
      </c>
      <c r="AB56" s="56">
        <f>SUM('Monthly Electricity (Overview)'!U134:X134)+'Monthly Electricity (Overview)'!AC134</f>
        <v/>
      </c>
      <c r="AC56" s="672">
        <f>IF(AA56=AB56,"/")</f>
        <v/>
      </c>
      <c r="AD56" s="56">
        <f>'Monthly Electricity (Overview)'!Y134</f>
        <v/>
      </c>
      <c r="AE56" s="56">
        <f>'Monthly Electricity (Overview)'!Y134</f>
        <v/>
      </c>
      <c r="AF56" s="672">
        <f>IF(AD56=AE56,"/")</f>
        <v/>
      </c>
      <c r="AG56" s="56">
        <f>SUM(B56,E56,H56,K56,N56,Q56,W56,AA56,AD56,Z56)</f>
        <v/>
      </c>
      <c r="AH56" s="56">
        <f>SUM(B56,E56,H56,K56,N56,Q56,W56,AA56,AD56)</f>
        <v/>
      </c>
      <c r="AI56" s="56">
        <f>SUM(C56,F56,I56,L56,O56,R56,U56,X56,AB56, AE56)</f>
        <v/>
      </c>
      <c r="AJ56" s="672">
        <f>IF(AH56=AI56,"/")</f>
        <v/>
      </c>
      <c r="AK56" s="56">
        <f>AH56-AI56</f>
        <v/>
      </c>
    </row>
    <row r="57" ht="17" customHeight="1">
      <c r="A57" s="481" t="n">
        <v>45689</v>
      </c>
      <c r="B57" s="56">
        <f>'Monthly Electricity (Overview)'!B135-'Monthly Electricity (Overview)'!E135-SUM('Monthly Electricity (Overview)'!I135:L135)-'Monthly Electricity (Overview)'!N135-SUM('Monthly Electricity (Overview)'!W135:Y135)</f>
        <v/>
      </c>
      <c r="C57" s="56">
        <f>'Monthly Electricity (Overview)'!B135-'Monthly Electricity (Overview)'!E135-SUM('Monthly Electricity (Overview)'!I135:N135)-SUM('Monthly Electricity (Overview)'!T135:Y135)</f>
        <v/>
      </c>
      <c r="D57" s="672">
        <f>IF(B57=C57,"/")</f>
        <v/>
      </c>
      <c r="E57" s="56">
        <f>'Monthly Electricity (Overview)'!I135</f>
        <v/>
      </c>
      <c r="F57" s="56">
        <f>'Monthly Electricity (Overview)'!I135</f>
        <v/>
      </c>
      <c r="G57" s="672">
        <f>IF(E57=F57,"/")</f>
        <v/>
      </c>
      <c r="H57" s="56">
        <f>'Monthly Electricity (Overview)'!N135</f>
        <v/>
      </c>
      <c r="I57" s="56">
        <f>'Monthly Electricity (Overview)'!N135</f>
        <v/>
      </c>
      <c r="J57" s="672">
        <f>IF(H57=I57,"/")</f>
        <v/>
      </c>
      <c r="K57" s="56">
        <f>'Monthly Electricity (Overview)'!E135</f>
        <v/>
      </c>
      <c r="L57" s="56">
        <f>'Monthly Electricity (Overview)'!E135</f>
        <v/>
      </c>
      <c r="M57" s="672">
        <f>IF(K57=L57,"/")</f>
        <v/>
      </c>
      <c r="N57" s="56">
        <f>'Monthly Electricity (Overview)'!J135</f>
        <v/>
      </c>
      <c r="O57" s="56">
        <f>'Monthly Electricity (Overview)'!J135</f>
        <v/>
      </c>
      <c r="P57" s="672">
        <f>IF(N57=O57,"/")</f>
        <v/>
      </c>
      <c r="Q57" s="56">
        <f>'Monthly Electricity (Overview)'!K135</f>
        <v/>
      </c>
      <c r="R57" s="56">
        <f>'Monthly Electricity (Overview)'!K135</f>
        <v/>
      </c>
      <c r="S57" s="672">
        <f>IF(Q57=R57,"/")</f>
        <v/>
      </c>
      <c r="T57" s="56" t="n"/>
      <c r="U57" s="56" t="n"/>
      <c r="V57" s="672">
        <f>IF(T57=U57,"/")</f>
        <v/>
      </c>
      <c r="W57" s="56">
        <f>'Monthly Electricity (Overview)'!L135</f>
        <v/>
      </c>
      <c r="X57" s="56">
        <f>'Monthly Electricity (Overview)'!L135</f>
        <v/>
      </c>
      <c r="Y57" s="672">
        <f>IF(W57=X57,"/")</f>
        <v/>
      </c>
      <c r="Z57" s="56" t="n">
        <v>46317</v>
      </c>
      <c r="AA57" s="56">
        <f>'Monthly Electricity (Overview)'!X135+'Monthly Electricity (Overview)'!W135+'Monthly Electricity (Overview)'!AC135</f>
        <v/>
      </c>
      <c r="AB57" s="56">
        <f>SUM('Monthly Electricity (Overview)'!U135:X135)+'Monthly Electricity (Overview)'!AC135</f>
        <v/>
      </c>
      <c r="AC57" s="672">
        <f>IF(AA57=AB57,"/")</f>
        <v/>
      </c>
      <c r="AD57" s="56">
        <f>'Monthly Electricity (Overview)'!Y135</f>
        <v/>
      </c>
      <c r="AE57" s="56">
        <f>'Monthly Electricity (Overview)'!Y135</f>
        <v/>
      </c>
      <c r="AF57" s="672">
        <f>IF(AD57=AE57,"/")</f>
        <v/>
      </c>
      <c r="AG57" s="56">
        <f>SUM(B57,E57,H57,K57,N57,Q57,W57,AA57,AD57,Z57)</f>
        <v/>
      </c>
      <c r="AH57" s="56">
        <f>SUM(B57,E57,H57,K57,N57,Q57,W57,AA57,AD57)</f>
        <v/>
      </c>
      <c r="AI57" s="56">
        <f>SUM(C57,F57,I57,L57,O57,R57,U57,X57,AB57, AE57)</f>
        <v/>
      </c>
      <c r="AJ57" s="672">
        <f>IF(AH57=AI57,"/")</f>
        <v/>
      </c>
      <c r="AK57" s="56">
        <f>AH57-AI57</f>
        <v/>
      </c>
    </row>
    <row r="58" ht="17" customHeight="1">
      <c r="A58" s="481" t="n">
        <v>45717</v>
      </c>
      <c r="B58" s="56">
        <f>'Monthly Electricity (Overview)'!B136-'Monthly Electricity (Overview)'!E136-SUM('Monthly Electricity (Overview)'!I136:L136)-'Monthly Electricity (Overview)'!N136-SUM('Monthly Electricity (Overview)'!W136:Y136)</f>
        <v/>
      </c>
      <c r="C58" s="56">
        <f>'Monthly Electricity (Overview)'!B136-'Monthly Electricity (Overview)'!E136-SUM('Monthly Electricity (Overview)'!I136:N136)-SUM('Monthly Electricity (Overview)'!T136:Y136)</f>
        <v/>
      </c>
      <c r="D58" s="672">
        <f>IF(B58=C58,"/")</f>
        <v/>
      </c>
      <c r="E58" s="56">
        <f>'Monthly Electricity (Overview)'!I136</f>
        <v/>
      </c>
      <c r="F58" s="56">
        <f>'Monthly Electricity (Overview)'!I136</f>
        <v/>
      </c>
      <c r="G58" s="672">
        <f>IF(E58=F58,"/")</f>
        <v/>
      </c>
      <c r="H58" s="56">
        <f>'Monthly Electricity (Overview)'!N136</f>
        <v/>
      </c>
      <c r="I58" s="56">
        <f>'Monthly Electricity (Overview)'!N136</f>
        <v/>
      </c>
      <c r="J58" s="672">
        <f>IF(H58=I58,"/")</f>
        <v/>
      </c>
      <c r="K58" s="56">
        <f>'Monthly Electricity (Overview)'!E136</f>
        <v/>
      </c>
      <c r="L58" s="56">
        <f>'Monthly Electricity (Overview)'!E136</f>
        <v/>
      </c>
      <c r="M58" s="672">
        <f>IF(K58=L58,"/")</f>
        <v/>
      </c>
      <c r="N58" s="56">
        <f>'Monthly Electricity (Overview)'!J136</f>
        <v/>
      </c>
      <c r="O58" s="56">
        <f>'Monthly Electricity (Overview)'!J136</f>
        <v/>
      </c>
      <c r="P58" s="672">
        <f>IF(N58=O58,"/")</f>
        <v/>
      </c>
      <c r="Q58" s="56">
        <f>'Monthly Electricity (Overview)'!K136</f>
        <v/>
      </c>
      <c r="R58" s="56">
        <f>'Monthly Electricity (Overview)'!K136</f>
        <v/>
      </c>
      <c r="S58" s="672">
        <f>IF(Q58=R58,"/")</f>
        <v/>
      </c>
      <c r="T58" s="56" t="n"/>
      <c r="U58" s="56" t="n"/>
      <c r="V58" s="672">
        <f>IF(T58=U58,"/")</f>
        <v/>
      </c>
      <c r="W58" s="56">
        <f>'Monthly Electricity (Overview)'!L136</f>
        <v/>
      </c>
      <c r="X58" s="56">
        <f>'Monthly Electricity (Overview)'!L136</f>
        <v/>
      </c>
      <c r="Y58" s="672">
        <f>IF(W58=X58,"/")</f>
        <v/>
      </c>
      <c r="Z58" s="56" t="n">
        <v>40747</v>
      </c>
      <c r="AA58" s="56">
        <f>'Monthly Electricity (Overview)'!X136+'Monthly Electricity (Overview)'!W136+'Monthly Electricity (Overview)'!AC136</f>
        <v/>
      </c>
      <c r="AB58" s="56">
        <f>SUM('Monthly Electricity (Overview)'!U136:X136)+'Monthly Electricity (Overview)'!AC136</f>
        <v/>
      </c>
      <c r="AC58" s="672">
        <f>IF(AA58=AB58,"/")</f>
        <v/>
      </c>
      <c r="AD58" s="56">
        <f>'Monthly Electricity (Overview)'!Y136</f>
        <v/>
      </c>
      <c r="AE58" s="56">
        <f>'Monthly Electricity (Overview)'!Y136</f>
        <v/>
      </c>
      <c r="AF58" s="672">
        <f>IF(AD58=AE58,"/")</f>
        <v/>
      </c>
      <c r="AG58" s="56">
        <f>SUM(B58,E58,H58,K58,N58,Q58,W58,AA58,AD58,Z58)</f>
        <v/>
      </c>
      <c r="AH58" s="56">
        <f>SUM(B58,E58,H58,K58,N58,Q58,W58,AA58,AD58)</f>
        <v/>
      </c>
      <c r="AI58" s="56">
        <f>SUM(C58,F58,I58,L58,O58,R58,U58,X58,AB58, AE58)</f>
        <v/>
      </c>
      <c r="AJ58" s="672">
        <f>IF(AH58=AI58,"/")</f>
        <v/>
      </c>
      <c r="AK58" s="56">
        <f>AH58-AI58</f>
        <v/>
      </c>
    </row>
    <row r="59" ht="17" customHeight="1">
      <c r="A59" s="481" t="n">
        <v>45748</v>
      </c>
      <c r="B59" s="56">
        <f>'Monthly Electricity (Overview)'!B137-'Monthly Electricity (Overview)'!E137-SUM('Monthly Electricity (Overview)'!I137:L137)-'Monthly Electricity (Overview)'!N137-SUM('Monthly Electricity (Overview)'!W137:Y137)</f>
        <v/>
      </c>
      <c r="C59" s="56">
        <f>'Monthly Electricity (Overview)'!B137-'Monthly Electricity (Overview)'!E137-SUM('Monthly Electricity (Overview)'!I137:N137)-SUM('Monthly Electricity (Overview)'!T137:Y137)</f>
        <v/>
      </c>
      <c r="D59" s="672">
        <f>IF(B59=C59,"/")</f>
        <v/>
      </c>
      <c r="E59" s="56">
        <f>'Monthly Electricity (Overview)'!I137</f>
        <v/>
      </c>
      <c r="F59" s="56">
        <f>'Monthly Electricity (Overview)'!I137</f>
        <v/>
      </c>
      <c r="G59" s="672">
        <f>IF(E59=F59,"/")</f>
        <v/>
      </c>
      <c r="H59" s="56">
        <f>'Monthly Electricity (Overview)'!N137</f>
        <v/>
      </c>
      <c r="I59" s="56">
        <f>'Monthly Electricity (Overview)'!N137</f>
        <v/>
      </c>
      <c r="J59" s="672">
        <f>IF(H59=I59,"/")</f>
        <v/>
      </c>
      <c r="K59" s="56">
        <f>'Monthly Electricity (Overview)'!E137</f>
        <v/>
      </c>
      <c r="L59" s="56">
        <f>'Monthly Electricity (Overview)'!E137</f>
        <v/>
      </c>
      <c r="M59" s="672">
        <f>IF(K59=L59,"/")</f>
        <v/>
      </c>
      <c r="N59" s="56">
        <f>'Monthly Electricity (Overview)'!J137</f>
        <v/>
      </c>
      <c r="O59" s="56">
        <f>'Monthly Electricity (Overview)'!J137</f>
        <v/>
      </c>
      <c r="P59" s="672">
        <f>IF(N59=O59,"/")</f>
        <v/>
      </c>
      <c r="Q59" s="56">
        <f>'Monthly Electricity (Overview)'!K137</f>
        <v/>
      </c>
      <c r="R59" s="56">
        <f>'Monthly Electricity (Overview)'!K137</f>
        <v/>
      </c>
      <c r="S59" s="672">
        <f>IF(Q59=R59,"/")</f>
        <v/>
      </c>
      <c r="T59" s="56" t="n"/>
      <c r="U59" s="56" t="n"/>
      <c r="V59" s="672">
        <f>IF(T59=U59,"/")</f>
        <v/>
      </c>
      <c r="W59" s="56">
        <f>'Monthly Electricity (Overview)'!L137</f>
        <v/>
      </c>
      <c r="X59" s="56">
        <f>'Monthly Electricity (Overview)'!L137</f>
        <v/>
      </c>
      <c r="Y59" s="672">
        <f>IF(W59=X59,"/")</f>
        <v/>
      </c>
      <c r="Z59" s="56" t="n">
        <v>59308</v>
      </c>
      <c r="AA59" s="56">
        <f>'Monthly Electricity (Overview)'!X137+'Monthly Electricity (Overview)'!W137+'Monthly Electricity (Overview)'!AC137</f>
        <v/>
      </c>
      <c r="AB59" s="56">
        <f>SUM('Monthly Electricity (Overview)'!U137:X137)+'Monthly Electricity (Overview)'!AC137</f>
        <v/>
      </c>
      <c r="AC59" s="672">
        <f>IF(AA59=AB59,"/")</f>
        <v/>
      </c>
      <c r="AD59" s="56">
        <f>'Monthly Electricity (Overview)'!Y137</f>
        <v/>
      </c>
      <c r="AE59" s="56">
        <f>'Monthly Electricity (Overview)'!Y137</f>
        <v/>
      </c>
      <c r="AF59" s="672">
        <f>IF(AD59=AE59,"/")</f>
        <v/>
      </c>
      <c r="AG59" s="56">
        <f>SUM(B59,E59,H59,K59,N59,Q59,W59,AA59,AD59,Z59)</f>
        <v/>
      </c>
      <c r="AH59" s="56">
        <f>SUM(B59,E59,H59,K59,N59,Q59,W59,AA59,AD59)</f>
        <v/>
      </c>
      <c r="AI59" s="56">
        <f>SUM(C59,F59,I59,L59,O59,R59,U59,X59,AB59, AE59)</f>
        <v/>
      </c>
      <c r="AJ59" s="672">
        <f>IF(AH59=AI59,"/")</f>
        <v/>
      </c>
      <c r="AK59" s="56">
        <f>AH59-AI59</f>
        <v/>
      </c>
    </row>
    <row r="60" ht="17" customHeight="1">
      <c r="A60" s="481" t="n">
        <v>45778</v>
      </c>
      <c r="B60" s="56">
        <f>'Monthly Electricity (Overview)'!B138-'Monthly Electricity (Overview)'!E138-SUM('Monthly Electricity (Overview)'!I138:L138)-'Monthly Electricity (Overview)'!N138-SUM('Monthly Electricity (Overview)'!W138:Y138)</f>
        <v/>
      </c>
      <c r="C60" s="56">
        <f>'Monthly Electricity (Overview)'!B138-'Monthly Electricity (Overview)'!E138-SUM('Monthly Electricity (Overview)'!I138:N138)-SUM('Monthly Electricity (Overview)'!T138:Y138)</f>
        <v/>
      </c>
      <c r="D60" s="672">
        <f>IF(B60=C60,"/")</f>
        <v/>
      </c>
      <c r="E60" s="56">
        <f>'Monthly Electricity (Overview)'!I138</f>
        <v/>
      </c>
      <c r="F60" s="56">
        <f>'Monthly Electricity (Overview)'!I138</f>
        <v/>
      </c>
      <c r="G60" s="672">
        <f>IF(E60=F60,"/")</f>
        <v/>
      </c>
      <c r="H60" s="56">
        <f>'Monthly Electricity (Overview)'!N138</f>
        <v/>
      </c>
      <c r="I60" s="56">
        <f>'Monthly Electricity (Overview)'!N138</f>
        <v/>
      </c>
      <c r="J60" s="672">
        <f>IF(H60=I60,"/")</f>
        <v/>
      </c>
      <c r="K60" s="56">
        <f>'Monthly Electricity (Overview)'!E138</f>
        <v/>
      </c>
      <c r="L60" s="56">
        <f>'Monthly Electricity (Overview)'!E138</f>
        <v/>
      </c>
      <c r="M60" s="672">
        <f>IF(K60=L60,"/")</f>
        <v/>
      </c>
      <c r="N60" s="56">
        <f>'Monthly Electricity (Overview)'!J138</f>
        <v/>
      </c>
      <c r="O60" s="56">
        <f>'Monthly Electricity (Overview)'!J138</f>
        <v/>
      </c>
      <c r="P60" s="672">
        <f>IF(N60=O60,"/")</f>
        <v/>
      </c>
      <c r="Q60" s="56">
        <f>'Monthly Electricity (Overview)'!K138</f>
        <v/>
      </c>
      <c r="R60" s="56">
        <f>'Monthly Electricity (Overview)'!K138</f>
        <v/>
      </c>
      <c r="S60" s="672">
        <f>IF(Q60=R60,"/")</f>
        <v/>
      </c>
      <c r="T60" s="56" t="n"/>
      <c r="U60" s="56" t="n"/>
      <c r="V60" s="672">
        <f>IF(T60=U60,"/")</f>
        <v/>
      </c>
      <c r="W60" s="56">
        <f>'Monthly Electricity (Overview)'!L138</f>
        <v/>
      </c>
      <c r="X60" s="56">
        <f>'Monthly Electricity (Overview)'!L138</f>
        <v/>
      </c>
      <c r="Y60" s="672">
        <f>IF(W60=X60,"/")</f>
        <v/>
      </c>
      <c r="Z60" s="56" t="n">
        <v>69996</v>
      </c>
      <c r="AA60" s="56">
        <f>'Monthly Electricity (Overview)'!X138+'Monthly Electricity (Overview)'!W138+'Monthly Electricity (Overview)'!AC138</f>
        <v/>
      </c>
      <c r="AB60" s="56">
        <f>SUM('Monthly Electricity (Overview)'!U138:X138)+'Monthly Electricity (Overview)'!AC138</f>
        <v/>
      </c>
      <c r="AC60" s="672">
        <f>IF(AA60=AB60,"/")</f>
        <v/>
      </c>
      <c r="AD60" s="56">
        <f>'Monthly Electricity (Overview)'!Y138</f>
        <v/>
      </c>
      <c r="AE60" s="56">
        <f>'Monthly Electricity (Overview)'!Y138</f>
        <v/>
      </c>
      <c r="AF60" s="672">
        <f>IF(AD60=AE60,"/")</f>
        <v/>
      </c>
      <c r="AG60" s="56">
        <f>SUM(B60,E60,H60,K60,N60,Q60,W60,AA60,AD60,Z60)</f>
        <v/>
      </c>
      <c r="AH60" s="56">
        <f>SUM(B60,E60,H60,K60,N60,Q60,W60,AA60,AD60)</f>
        <v/>
      </c>
      <c r="AI60" s="56">
        <f>SUM(C60,F60,I60,L60,O60,R60,U60,X60,AB60, AE60)</f>
        <v/>
      </c>
      <c r="AJ60" s="672">
        <f>IF(AH60=AI60,"/")</f>
        <v/>
      </c>
      <c r="AK60" s="56">
        <f>AH60-AI60</f>
        <v/>
      </c>
    </row>
    <row r="61" ht="17" customHeight="1">
      <c r="A61" s="481" t="n">
        <v>45809</v>
      </c>
      <c r="B61" s="56">
        <f>'Monthly Electricity (Overview)'!C139+'Monthly Electricity (Overview)'!D139+'Monthly Electricity (Overview)'!F139+'Monthly Electricity (Overview)'!G139+'Monthly Electricity (Overview)'!H139+'Monthly Electricity (Overview)'!O139+'Monthly Electricity (Overview)'!P139+'Monthly Electricity (Overview)'!Q139</f>
        <v/>
      </c>
      <c r="C61" s="56">
        <f>'Monthly Electricity (Overview)'!B139-'Monthly Electricity (Overview)'!E139-SUM('Monthly Electricity (Overview)'!I139:N139)-SUM('Monthly Electricity (Overview)'!T139:Y139)</f>
        <v/>
      </c>
      <c r="D61" s="672">
        <f>IF(B61=C61,"/")</f>
        <v/>
      </c>
      <c r="E61" s="56">
        <f>'Monthly Electricity (Overview)'!I139</f>
        <v/>
      </c>
      <c r="F61" s="56">
        <f>'Monthly Electricity (Overview)'!I139</f>
        <v/>
      </c>
      <c r="G61" s="672">
        <f>IF(E61=F61,"/")</f>
        <v/>
      </c>
      <c r="H61" s="56">
        <f>'Monthly Electricity (Overview)'!N139</f>
        <v/>
      </c>
      <c r="I61" s="56">
        <f>'Monthly Electricity (Overview)'!N139</f>
        <v/>
      </c>
      <c r="J61" s="672">
        <f>IF(H61=I61,"/")</f>
        <v/>
      </c>
      <c r="K61" s="56">
        <f>'Monthly Electricity (Overview)'!E139</f>
        <v/>
      </c>
      <c r="L61" s="56">
        <f>'Monthly Electricity (Overview)'!E139</f>
        <v/>
      </c>
      <c r="M61" s="672">
        <f>IF(K61=L61,"/")</f>
        <v/>
      </c>
      <c r="N61" s="56">
        <f>'Monthly Electricity (Overview)'!J139</f>
        <v/>
      </c>
      <c r="O61" s="56">
        <f>'Monthly Electricity (Overview)'!J139</f>
        <v/>
      </c>
      <c r="P61" s="672">
        <f>IF(N61=O61,"/")</f>
        <v/>
      </c>
      <c r="Q61" s="56">
        <f>'Monthly Electricity (Overview)'!K139</f>
        <v/>
      </c>
      <c r="R61" s="56">
        <f>'Monthly Electricity (Overview)'!K139</f>
        <v/>
      </c>
      <c r="S61" s="672">
        <f>IF(Q61=R61,"/")</f>
        <v/>
      </c>
      <c r="T61" s="56" t="n"/>
      <c r="U61" s="56" t="n"/>
      <c r="V61" s="672">
        <f>IF(T61=U61,"/")</f>
        <v/>
      </c>
      <c r="W61" s="56">
        <f>'Monthly Electricity (Overview)'!L139</f>
        <v/>
      </c>
      <c r="X61" s="56">
        <f>'Monthly Electricity (Overview)'!L139</f>
        <v/>
      </c>
      <c r="Y61" s="672">
        <f>IF(W61=X61,"/")</f>
        <v/>
      </c>
      <c r="Z61" s="56" t="n">
        <v>80365</v>
      </c>
      <c r="AA61" s="56">
        <f>'Monthly Electricity (Overview)'!X139+'Monthly Electricity (Overview)'!W139+'Monthly Electricity (Overview)'!AC139</f>
        <v/>
      </c>
      <c r="AB61" s="56">
        <f>SUM('Monthly Electricity (Overview)'!U139:X139)+'Monthly Electricity (Overview)'!AC139</f>
        <v/>
      </c>
      <c r="AC61" s="672">
        <f>IF(AA61=AB61,"/")</f>
        <v/>
      </c>
      <c r="AD61" s="56">
        <f>'Monthly Electricity (Overview)'!Y139</f>
        <v/>
      </c>
      <c r="AE61" s="56">
        <f>'Monthly Electricity (Overview)'!Y139</f>
        <v/>
      </c>
      <c r="AF61" s="672">
        <f>IF(AD61=AE61,"/")</f>
        <v/>
      </c>
      <c r="AG61" s="56">
        <f>SUM(B61,E61,H61,K61,N61,Q61,W61,AA61,AD61,Z61)</f>
        <v/>
      </c>
      <c r="AH61" s="56">
        <f>SUM(B61,E61,H61,K61,N61,Q61,W61,AA61,AD61)</f>
        <v/>
      </c>
      <c r="AI61" s="56">
        <f>SUM(C61,F61,I61,L61,O61,R61,U61,X61,AB61, AE61)</f>
        <v/>
      </c>
      <c r="AJ61" s="672">
        <f>IF(AH61=AI61,"/")</f>
        <v/>
      </c>
      <c r="AK61" s="56">
        <f>AH61-AI61</f>
        <v/>
      </c>
      <c r="AL61" s="56" t="n"/>
      <c r="AM61" s="56" t="n"/>
    </row>
    <row r="62" ht="15.75" customHeight="1">
      <c r="A62" s="481" t="n">
        <v>45839</v>
      </c>
      <c r="B62" s="56">
        <f>'Monthly Electricity (Overview)'!C140+'Monthly Electricity (Overview)'!D140+'Monthly Electricity (Overview)'!F140+'Monthly Electricity (Overview)'!G140+'Monthly Electricity (Overview)'!H140+'Monthly Electricity (Overview)'!O140+'Monthly Electricity (Overview)'!P140+'Monthly Electricity (Overview)'!Q140</f>
        <v/>
      </c>
      <c r="C62" s="56">
        <f>'Monthly Electricity (Overview)'!B140-'Monthly Electricity (Overview)'!E140-SUM('Monthly Electricity (Overview)'!I140:N140)-SUM('Monthly Electricity (Overview)'!T140:Y140)</f>
        <v/>
      </c>
      <c r="D62" s="672">
        <f>IF(B62=C62,"/")</f>
        <v/>
      </c>
      <c r="E62" s="56">
        <f>'Monthly Electricity (Overview)'!I140</f>
        <v/>
      </c>
      <c r="F62" s="56">
        <f>'Monthly Electricity (Overview)'!I140</f>
        <v/>
      </c>
      <c r="G62" s="672">
        <f>IF(E62=F62,"/")</f>
        <v/>
      </c>
      <c r="H62" s="56">
        <f>'Monthly Electricity (Overview)'!N140</f>
        <v/>
      </c>
      <c r="I62" s="56">
        <f>'Monthly Electricity (Overview)'!N140</f>
        <v/>
      </c>
      <c r="J62" s="672">
        <f>IF(H62=I62,"/")</f>
        <v/>
      </c>
      <c r="K62" s="56">
        <f>'Monthly Electricity (Overview)'!E140</f>
        <v/>
      </c>
      <c r="L62" s="56">
        <f>'Monthly Electricity (Overview)'!E140</f>
        <v/>
      </c>
      <c r="M62" s="672">
        <f>IF(K62=L62,"/")</f>
        <v/>
      </c>
      <c r="N62" s="56">
        <f>'Monthly Electricity (Overview)'!J140</f>
        <v/>
      </c>
      <c r="O62" s="56">
        <f>'Monthly Electricity (Overview)'!J140</f>
        <v/>
      </c>
      <c r="P62" s="672">
        <f>IF(N62=O62,"/")</f>
        <v/>
      </c>
      <c r="Q62" s="56">
        <f>'Monthly Electricity (Overview)'!K140</f>
        <v/>
      </c>
      <c r="R62" s="56">
        <f>'Monthly Electricity (Overview)'!K140</f>
        <v/>
      </c>
      <c r="S62" s="672">
        <f>IF(Q62=R62,"/")</f>
        <v/>
      </c>
      <c r="T62" s="56">
        <f>'Monthly Electricity (Overview)'!T140</f>
        <v/>
      </c>
      <c r="U62" s="56">
        <f>'Monthly Electricity (Overview)'!T140</f>
        <v/>
      </c>
      <c r="V62" s="672">
        <f>IF(T62=U62,"/")</f>
        <v/>
      </c>
      <c r="W62" s="56">
        <f>'Monthly Electricity (Overview)'!L140</f>
        <v/>
      </c>
      <c r="X62" s="56">
        <f>'Monthly Electricity (Overview)'!L140</f>
        <v/>
      </c>
      <c r="Y62" s="672">
        <f>IF(W62=X62,"/")</f>
        <v/>
      </c>
      <c r="Z62" s="56" t="n"/>
      <c r="AA62" s="56">
        <f>'Monthly Electricity (Overview)'!X140+'Monthly Electricity (Overview)'!W140+'Monthly Electricity (Overview)'!AC140</f>
        <v/>
      </c>
      <c r="AB62" s="56">
        <f>SUM('Monthly Electricity (Overview)'!U140:X140)+'Monthly Electricity (Overview)'!AC140</f>
        <v/>
      </c>
      <c r="AC62" s="672">
        <f>IF(AA62=AB62,"/")</f>
        <v/>
      </c>
      <c r="AD62" s="56">
        <f>'Monthly Electricity (Overview)'!Y140</f>
        <v/>
      </c>
      <c r="AE62" s="56">
        <f>'Monthly Electricity (Overview)'!Y140</f>
        <v/>
      </c>
      <c r="AF62" s="672">
        <f>IF(AD62=AE62,"/")</f>
        <v/>
      </c>
      <c r="AG62" s="56">
        <f>SUM(B62,E62,H62,K62,N62,Q62,W62,AA62,AD62,Z62)</f>
        <v/>
      </c>
      <c r="AH62" s="56">
        <f>SUM(B62,E62,H62,K62,N62,Q62,W62,AA62,AD62)</f>
        <v/>
      </c>
      <c r="AI62" s="56">
        <f>SUM(C62,F62,I62,L62,O62,R62,U62,X62,AB62, AE62)</f>
        <v/>
      </c>
      <c r="AJ62" s="672">
        <f>IF(AH62=AI62,"/")</f>
        <v/>
      </c>
      <c r="AK62" s="56">
        <f>AH62-AI62</f>
        <v/>
      </c>
    </row>
    <row r="63" ht="15.75" customHeight="1">
      <c r="A63" s="481" t="n">
        <v>45870</v>
      </c>
      <c r="B63" s="56">
        <f>'Monthly Electricity (Overview)'!C141+'Monthly Electricity (Overview)'!D141+'Monthly Electricity (Overview)'!F141+'Monthly Electricity (Overview)'!G141+'Monthly Electricity (Overview)'!H141+'Monthly Electricity (Overview)'!O141+'Monthly Electricity (Overview)'!P141+'Monthly Electricity (Overview)'!Q141</f>
        <v/>
      </c>
      <c r="C63" s="56">
        <f>'Monthly Electricity (Overview)'!B141-'Monthly Electricity (Overview)'!E141-SUM('Monthly Electricity (Overview)'!I141:N141)-SUM('Monthly Electricity (Overview)'!T141:Y141)</f>
        <v/>
      </c>
      <c r="D63" s="672">
        <f>IF(B63=C63,"/")</f>
        <v/>
      </c>
      <c r="E63" s="56">
        <f>'Monthly Electricity (Overview)'!I141</f>
        <v/>
      </c>
      <c r="F63" s="56">
        <f>'Monthly Electricity (Overview)'!I141</f>
        <v/>
      </c>
      <c r="G63" s="672">
        <f>IF(E63=F63,"/")</f>
        <v/>
      </c>
      <c r="H63" s="56">
        <f>'Monthly Electricity (Overview)'!N141</f>
        <v/>
      </c>
      <c r="I63" s="56">
        <f>'Monthly Electricity (Overview)'!N141</f>
        <v/>
      </c>
      <c r="J63" s="672">
        <f>IF(H63=I63,"/")</f>
        <v/>
      </c>
      <c r="K63" s="56">
        <f>'Monthly Electricity (Overview)'!E141</f>
        <v/>
      </c>
      <c r="L63" s="56">
        <f>'Monthly Electricity (Overview)'!E141</f>
        <v/>
      </c>
      <c r="M63" s="672">
        <f>IF(K63=L63,"/")</f>
        <v/>
      </c>
      <c r="N63" s="56">
        <f>'Monthly Electricity (Overview)'!J141</f>
        <v/>
      </c>
      <c r="O63" s="56">
        <f>'Monthly Electricity (Overview)'!J141</f>
        <v/>
      </c>
      <c r="P63" s="672">
        <f>IF(N63=O63,"/")</f>
        <v/>
      </c>
      <c r="Q63" s="56">
        <f>'Monthly Electricity (Overview)'!K141</f>
        <v/>
      </c>
      <c r="R63" s="56">
        <f>'Monthly Electricity (Overview)'!K141</f>
        <v/>
      </c>
      <c r="S63" s="672">
        <f>IF(Q63=R63,"/")</f>
        <v/>
      </c>
      <c r="T63" s="56">
        <f>'Monthly Electricity (Overview)'!T141</f>
        <v/>
      </c>
      <c r="U63" s="56">
        <f>'Monthly Electricity (Overview)'!T141</f>
        <v/>
      </c>
      <c r="V63" s="672">
        <f>IF(T63=U63,"/")</f>
        <v/>
      </c>
      <c r="W63" s="56">
        <f>'Monthly Electricity (Overview)'!L141</f>
        <v/>
      </c>
      <c r="X63" s="56">
        <f>'Monthly Electricity (Overview)'!L141</f>
        <v/>
      </c>
      <c r="Y63" s="672">
        <f>IF(W63=X63,"/")</f>
        <v/>
      </c>
      <c r="Z63" s="56" t="n"/>
      <c r="AA63" s="56">
        <f>'Monthly Electricity (Overview)'!X141+'Monthly Electricity (Overview)'!W141+'Monthly Electricity (Overview)'!AC141</f>
        <v/>
      </c>
      <c r="AB63" s="56">
        <f>SUM('Monthly Electricity (Overview)'!U141:X141)+'Monthly Electricity (Overview)'!AC141</f>
        <v/>
      </c>
      <c r="AC63" s="672">
        <f>IF(AA63=AB63,"/")</f>
        <v/>
      </c>
      <c r="AD63" s="56">
        <f>'Monthly Electricity (Overview)'!Y141</f>
        <v/>
      </c>
      <c r="AE63" s="56">
        <f>'Monthly Electricity (Overview)'!Y141</f>
        <v/>
      </c>
      <c r="AF63" s="672">
        <f>IF(AD63=AE63,"/")</f>
        <v/>
      </c>
      <c r="AG63" s="56">
        <f>SUM(B63,E63,H63,K63,N63,Q63,W63,AA63,AD63,Z63)</f>
        <v/>
      </c>
      <c r="AH63" s="56">
        <f>SUM(B63,E63,H63,K63,N63,Q63,W63,AA63,AD63)</f>
        <v/>
      </c>
      <c r="AI63" s="56">
        <f>SUM(C63,F63,I63,L63,O63,R63,U63,X63,AB63, AE63)</f>
        <v/>
      </c>
      <c r="AJ63" s="672">
        <f>IF(AH63=AI63,"/")</f>
        <v/>
      </c>
      <c r="AK63" s="56">
        <f>AH63-AI63</f>
        <v/>
      </c>
    </row>
    <row r="64" ht="15.75" customHeight="1">
      <c r="A64" s="481" t="n">
        <v>45901</v>
      </c>
      <c r="B64" s="56">
        <f>'Monthly Electricity (Overview)'!C142+'Monthly Electricity (Overview)'!D142+'Monthly Electricity (Overview)'!F142+'Monthly Electricity (Overview)'!G142+'Monthly Electricity (Overview)'!H142+'Monthly Electricity (Overview)'!O142+'Monthly Electricity (Overview)'!P142+'Monthly Electricity (Overview)'!Q142</f>
        <v/>
      </c>
      <c r="C64" s="56">
        <f>'Monthly Electricity (Overview)'!B142-'Monthly Electricity (Overview)'!E142-SUM('Monthly Electricity (Overview)'!I142:N142)-SUM('Monthly Electricity (Overview)'!T142:Y142)</f>
        <v/>
      </c>
      <c r="D64" s="672">
        <f>IF(B64=C64,"/")</f>
        <v/>
      </c>
      <c r="E64" s="56">
        <f>'Monthly Electricity (Overview)'!I142</f>
        <v/>
      </c>
      <c r="F64" s="56">
        <f>'Monthly Electricity (Overview)'!I142</f>
        <v/>
      </c>
      <c r="G64" s="672">
        <f>IF(E64=F64,"/")</f>
        <v/>
      </c>
      <c r="H64" s="56">
        <f>'Monthly Electricity (Overview)'!N142</f>
        <v/>
      </c>
      <c r="I64" s="56">
        <f>'Monthly Electricity (Overview)'!N142</f>
        <v/>
      </c>
      <c r="J64" s="672">
        <f>IF(H64=I64,"/")</f>
        <v/>
      </c>
      <c r="K64" s="56">
        <f>'Monthly Electricity (Overview)'!E142</f>
        <v/>
      </c>
      <c r="L64" s="56">
        <f>'Monthly Electricity (Overview)'!E142</f>
        <v/>
      </c>
      <c r="M64" s="672">
        <f>IF(K64=L64,"/")</f>
        <v/>
      </c>
      <c r="N64" s="56">
        <f>'Monthly Electricity (Overview)'!J142</f>
        <v/>
      </c>
      <c r="O64" s="56">
        <f>'Monthly Electricity (Overview)'!J142</f>
        <v/>
      </c>
      <c r="P64" s="672">
        <f>IF(N64=O64,"/")</f>
        <v/>
      </c>
      <c r="Q64" s="56">
        <f>'Monthly Electricity (Overview)'!K142</f>
        <v/>
      </c>
      <c r="R64" s="56">
        <f>'Monthly Electricity (Overview)'!K142</f>
        <v/>
      </c>
      <c r="S64" s="672">
        <f>IF(Q64=R64,"/")</f>
        <v/>
      </c>
      <c r="T64" s="56">
        <f>'Monthly Electricity (Overview)'!T142</f>
        <v/>
      </c>
      <c r="U64" s="56">
        <f>'Monthly Electricity (Overview)'!T142</f>
        <v/>
      </c>
      <c r="V64" s="672">
        <f>IF(T64=U64,"/")</f>
        <v/>
      </c>
      <c r="W64" s="56">
        <f>'Monthly Electricity (Overview)'!L142</f>
        <v/>
      </c>
      <c r="X64" s="56">
        <f>'Monthly Electricity (Overview)'!L142</f>
        <v/>
      </c>
      <c r="Y64" s="672">
        <f>IF(W64=X64,"/")</f>
        <v/>
      </c>
      <c r="Z64" s="56" t="n"/>
      <c r="AA64" s="56">
        <f>'Monthly Electricity (Overview)'!X142+'Monthly Electricity (Overview)'!W142+'Monthly Electricity (Overview)'!AC142</f>
        <v/>
      </c>
      <c r="AB64" s="56">
        <f>SUM('Monthly Electricity (Overview)'!U142:X142)+'Monthly Electricity (Overview)'!AC142</f>
        <v/>
      </c>
      <c r="AC64" s="672">
        <f>IF(AA64=AB64,"/")</f>
        <v/>
      </c>
      <c r="AD64" s="56">
        <f>'Monthly Electricity (Overview)'!Y142</f>
        <v/>
      </c>
      <c r="AE64" s="56">
        <f>'Monthly Electricity (Overview)'!Y142</f>
        <v/>
      </c>
      <c r="AF64" s="672">
        <f>IF(AD64=AE64,"/")</f>
        <v/>
      </c>
      <c r="AG64" s="56">
        <f>SUM(B64,E64,H64,K64,N64,Q64,W64,AA64,AD64,Z64)</f>
        <v/>
      </c>
      <c r="AH64" s="56">
        <f>SUM(B64,E64,H64,K64,N64,Q64,W64,AA64,AD64)</f>
        <v/>
      </c>
      <c r="AI64" s="56">
        <f>SUM(C64,F64,I64,L64,O64,R64,U64,X64,AB64, AE64)</f>
        <v/>
      </c>
      <c r="AJ64" s="672">
        <f>IF(AH64=AI64,"/")</f>
        <v/>
      </c>
      <c r="AK64" s="56">
        <f>AH64-AI64</f>
        <v/>
      </c>
    </row>
    <row r="65" ht="15.75" customHeight="1">
      <c r="A65" s="481" t="n">
        <v>45931</v>
      </c>
    </row>
    <row r="66" ht="15.75" customHeight="1">
      <c r="A66" s="481" t="n">
        <v>45962</v>
      </c>
      <c r="AB66" s="56" t="n"/>
    </row>
    <row r="67" ht="15.75" customHeight="1">
      <c r="A67" s="481" t="n">
        <v>45992</v>
      </c>
      <c r="AB67" s="56" t="n"/>
    </row>
    <row r="68" ht="15.75" customHeight="1">
      <c r="A68" s="518" t="n">
        <v>46023</v>
      </c>
      <c r="AB68" s="56" t="n"/>
    </row>
    <row r="69" ht="15.75" customHeight="1">
      <c r="A69" s="518" t="n">
        <v>46054</v>
      </c>
    </row>
    <row r="70" ht="15.75" customHeight="1">
      <c r="A70" s="518" t="n">
        <v>46082</v>
      </c>
    </row>
    <row r="71" ht="15.75" customHeight="1">
      <c r="A71" s="518" t="n">
        <v>46113</v>
      </c>
    </row>
    <row r="72" ht="15.75" customHeight="1">
      <c r="A72" s="518" t="n">
        <v>46143</v>
      </c>
    </row>
    <row r="73" ht="15.75" customHeight="1">
      <c r="A73" s="518" t="n">
        <v>46174</v>
      </c>
    </row>
  </sheetData>
  <conditionalFormatting sqref="D2:D64">
    <cfRule type="cellIs" priority="1" operator="equal" dxfId="0">
      <formula>"/"</formula>
    </cfRule>
  </conditionalFormatting>
  <conditionalFormatting sqref="G2:G64">
    <cfRule type="cellIs" priority="12" operator="equal" dxfId="0">
      <formula>"/"</formula>
    </cfRule>
  </conditionalFormatting>
  <conditionalFormatting sqref="J2:J64">
    <cfRule type="cellIs" priority="11" operator="equal" dxfId="0">
      <formula>"/"</formula>
    </cfRule>
  </conditionalFormatting>
  <conditionalFormatting sqref="M2:M64">
    <cfRule type="cellIs" priority="10" operator="equal" dxfId="0">
      <formula>"/"</formula>
    </cfRule>
  </conditionalFormatting>
  <conditionalFormatting sqref="P2:P64">
    <cfRule type="cellIs" priority="9" operator="equal" dxfId="0">
      <formula>"/"</formula>
    </cfRule>
  </conditionalFormatting>
  <conditionalFormatting sqref="S2:S64">
    <cfRule type="cellIs" priority="8" operator="equal" dxfId="0">
      <formula>"/"</formula>
    </cfRule>
  </conditionalFormatting>
  <conditionalFormatting sqref="V2:V64">
    <cfRule type="cellIs" priority="7" operator="equal" dxfId="0">
      <formula>"/"</formula>
    </cfRule>
  </conditionalFormatting>
  <conditionalFormatting sqref="Y2:Y64">
    <cfRule type="cellIs" priority="6" operator="equal" dxfId="0">
      <formula>"/"</formula>
    </cfRule>
  </conditionalFormatting>
  <conditionalFormatting sqref="AC2:AC64">
    <cfRule type="cellIs" priority="2" operator="equal" dxfId="3">
      <formula>FALSE</formula>
    </cfRule>
    <cfRule type="cellIs" priority="5" operator="equal" dxfId="0">
      <formula>"/"</formula>
    </cfRule>
  </conditionalFormatting>
  <conditionalFormatting sqref="AF2:AF64">
    <cfRule type="cellIs" priority="4" operator="equal" dxfId="0">
      <formula>"/"</formula>
    </cfRule>
  </conditionalFormatting>
  <conditionalFormatting sqref="AJ2:AJ64">
    <cfRule type="cellIs" priority="3" operator="equal" dxfId="0">
      <formula>"/"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Normal="100" workbookViewId="0">
      <pane xSplit="1" ySplit="1" topLeftCell="C16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baseColWidth="10" defaultColWidth="10.6640625" defaultRowHeight="16"/>
  <cols>
    <col width="13.33203125" customWidth="1" style="698" min="1" max="1"/>
    <col width="18.33203125" customWidth="1" style="8" min="2" max="2"/>
    <col width="20.6640625" customWidth="1" style="8" min="3" max="3"/>
    <col width="18.33203125" customWidth="1" style="8" min="4" max="6"/>
    <col width="18.33203125" customWidth="1" style="92" min="7" max="7"/>
    <col width="18.33203125" customWidth="1" style="8" min="8" max="8"/>
    <col width="13.1640625" bestFit="1" customWidth="1" style="8" min="9" max="9"/>
    <col width="10.6640625" customWidth="1" style="8" min="10" max="16384"/>
  </cols>
  <sheetData>
    <row r="1" ht="52" customFormat="1" customHeight="1" s="671" thickBot="1">
      <c r="A1" s="699" t="inlineStr">
        <is>
          <t>Date</t>
        </is>
      </c>
      <c r="B1" s="96" t="inlineStr">
        <is>
          <t>Academic Building + Public Facilities</t>
        </is>
      </c>
      <c r="C1" s="96" t="inlineStr">
        <is>
          <t>Canteens + Commercial Outlets</t>
        </is>
      </c>
      <c r="D1" s="96" t="inlineStr">
        <is>
          <t>Student Housing</t>
        </is>
      </c>
      <c r="E1" s="96" t="inlineStr">
        <is>
          <t>Staff Quarter</t>
        </is>
      </c>
      <c r="F1" s="96" t="inlineStr">
        <is>
          <t>NB TOTAL (TGU)</t>
        </is>
      </c>
      <c r="G1" s="96" t="inlineStr">
        <is>
          <t>MJ (x 48 towngas unit)</t>
        </is>
      </c>
      <c r="H1" s="97" t="inlineStr">
        <is>
          <t>kWh (MJ*0.2777778)</t>
        </is>
      </c>
    </row>
    <row r="2" ht="17" customHeight="1" thickBot="1">
      <c r="A2" s="700" t="n">
        <v>45108</v>
      </c>
      <c r="B2" s="9" t="n">
        <v>2940</v>
      </c>
      <c r="C2" s="9" t="n">
        <v>17466</v>
      </c>
      <c r="D2" s="9" t="n">
        <v>3771</v>
      </c>
      <c r="E2" s="237">
        <f>446*879/2715900*20833.33</f>
        <v/>
      </c>
      <c r="F2" s="9">
        <f>SUM(B2:E2)</f>
        <v/>
      </c>
      <c r="G2" s="9">
        <f>F2*48</f>
        <v/>
      </c>
      <c r="H2" s="62">
        <f>G2*0.2777778</f>
        <v/>
      </c>
    </row>
    <row r="3" ht="17" customHeight="1" thickBot="1">
      <c r="A3" s="698" t="n">
        <v>45139</v>
      </c>
      <c r="B3" s="9" t="n">
        <v>3509</v>
      </c>
      <c r="C3" s="9" t="n">
        <v>17722</v>
      </c>
      <c r="D3" s="9" t="n">
        <v>3740</v>
      </c>
      <c r="E3" s="238">
        <f>446*859/2715900*20833.33</f>
        <v/>
      </c>
      <c r="F3" s="9">
        <f>SUM(B3:E3)</f>
        <v/>
      </c>
      <c r="G3" s="9">
        <f>F3*48</f>
        <v/>
      </c>
      <c r="H3" s="62">
        <f>G3*0.2777778</f>
        <v/>
      </c>
    </row>
    <row r="4" ht="17" customHeight="1" thickBot="1">
      <c r="A4" s="698" t="n">
        <v>45170</v>
      </c>
      <c r="B4" s="9" t="n">
        <v>3140</v>
      </c>
      <c r="C4" s="9" t="n">
        <v>14723</v>
      </c>
      <c r="D4" s="9" t="n">
        <v>7447</v>
      </c>
      <c r="E4" s="238">
        <f>446*911/2715900*20833.33</f>
        <v/>
      </c>
      <c r="F4" s="9">
        <f>SUM(B4:E4)</f>
        <v/>
      </c>
      <c r="G4" s="9">
        <f>F4*48</f>
        <v/>
      </c>
      <c r="H4" s="62">
        <f>G4*0.2777778</f>
        <v/>
      </c>
    </row>
    <row r="5" ht="17" customHeight="1" thickBot="1">
      <c r="A5" s="698" t="n">
        <v>45200</v>
      </c>
      <c r="B5" s="9" t="n">
        <v>2274</v>
      </c>
      <c r="C5" s="9" t="n">
        <v>27563</v>
      </c>
      <c r="D5" s="9" t="n">
        <v>9859</v>
      </c>
      <c r="E5" s="238">
        <f>444*915/2714700*20833.33</f>
        <v/>
      </c>
      <c r="F5" s="9">
        <f>SUM(B5:E5)</f>
        <v/>
      </c>
      <c r="G5" s="9">
        <f>F5*48</f>
        <v/>
      </c>
      <c r="H5" s="62">
        <f>G5*0.2777778</f>
        <v/>
      </c>
    </row>
    <row r="6" ht="17" customHeight="1" thickBot="1">
      <c r="A6" s="698" t="n">
        <v>45231</v>
      </c>
      <c r="B6" s="9" t="n">
        <v>2909</v>
      </c>
      <c r="C6" s="9" t="n">
        <v>21260</v>
      </c>
      <c r="D6" s="9" t="n">
        <v>11907</v>
      </c>
      <c r="E6" s="238">
        <f>444*1166/2714700*20833.33</f>
        <v/>
      </c>
      <c r="F6" s="9">
        <f>SUM(B6:E6)</f>
        <v/>
      </c>
      <c r="G6" s="9">
        <f>F6*48</f>
        <v/>
      </c>
      <c r="H6" s="62">
        <f>G6*0.2777778</f>
        <v/>
      </c>
    </row>
    <row r="7" ht="17" customHeight="1" thickBot="1">
      <c r="A7" s="698" t="n">
        <v>45261</v>
      </c>
      <c r="B7" s="9" t="n">
        <v>2564</v>
      </c>
      <c r="C7" s="9" t="n">
        <v>23845</v>
      </c>
      <c r="D7" s="9" t="n">
        <v>12557</v>
      </c>
      <c r="E7" s="238">
        <f>444*1350/2714700*20833.33</f>
        <v/>
      </c>
      <c r="F7" s="9">
        <f>SUM(B7:E7)</f>
        <v/>
      </c>
      <c r="G7" s="9">
        <f>F7*48</f>
        <v/>
      </c>
      <c r="H7" s="62">
        <f>G7*0.2777778</f>
        <v/>
      </c>
    </row>
    <row r="8" ht="17" customHeight="1" thickBot="1">
      <c r="A8" s="698" t="n">
        <v>45292</v>
      </c>
      <c r="B8" s="9" t="n">
        <v>2862</v>
      </c>
      <c r="C8" s="9" t="n">
        <v>15798</v>
      </c>
      <c r="D8" s="9" t="n">
        <v>8292</v>
      </c>
      <c r="E8" s="238">
        <f>444*1665/2734600*20833.33</f>
        <v/>
      </c>
      <c r="F8" s="9">
        <f>SUM(B8:E8)</f>
        <v/>
      </c>
      <c r="G8" s="9">
        <f>F8*48</f>
        <v/>
      </c>
      <c r="H8" s="62">
        <f>G8*0.2777778</f>
        <v/>
      </c>
    </row>
    <row r="9" ht="17" customHeight="1" thickBot="1">
      <c r="A9" s="698" t="n">
        <v>45323</v>
      </c>
      <c r="B9" s="9" t="n">
        <v>2635</v>
      </c>
      <c r="C9" s="9" t="n">
        <v>18709</v>
      </c>
      <c r="D9" s="9" t="n">
        <v>13531</v>
      </c>
      <c r="E9" s="238">
        <f>444*1724/2734600*20833.33</f>
        <v/>
      </c>
      <c r="F9" s="9">
        <f>SUM(B9:E9)</f>
        <v/>
      </c>
      <c r="G9" s="9">
        <f>F9*48</f>
        <v/>
      </c>
      <c r="H9" s="62">
        <f>G9*0.2777778</f>
        <v/>
      </c>
    </row>
    <row r="10" ht="17" customHeight="1" thickBot="1">
      <c r="A10" s="698" t="n">
        <v>45352</v>
      </c>
      <c r="B10" s="9" t="n">
        <v>2946</v>
      </c>
      <c r="C10" s="9" t="n">
        <v>20862</v>
      </c>
      <c r="D10" s="9" t="n">
        <v>16132</v>
      </c>
      <c r="E10" s="238">
        <f>444*1433/2734600*20833.33</f>
        <v/>
      </c>
      <c r="F10" s="9">
        <f>SUM(B10:E10)</f>
        <v/>
      </c>
      <c r="G10" s="9">
        <f>F10*48</f>
        <v/>
      </c>
      <c r="H10" s="62">
        <f>G10*0.2777778</f>
        <v/>
      </c>
    </row>
    <row r="11" ht="17" customHeight="1" thickBot="1">
      <c r="A11" s="698" t="n">
        <v>45383</v>
      </c>
      <c r="B11" s="9" t="n">
        <v>2833</v>
      </c>
      <c r="C11" s="9" t="n">
        <v>21494</v>
      </c>
      <c r="D11" s="9" t="n">
        <v>12655</v>
      </c>
      <c r="E11" s="238">
        <f>442*1389/2748400*20833.33</f>
        <v/>
      </c>
      <c r="F11" s="9">
        <f>SUM(B11:E11)</f>
        <v/>
      </c>
      <c r="G11" s="9">
        <f>F11*48</f>
        <v/>
      </c>
      <c r="H11" s="62">
        <f>G11*0.2777778</f>
        <v/>
      </c>
    </row>
    <row r="12" ht="17" customHeight="1" thickBot="1">
      <c r="A12" s="698" t="n">
        <v>45413</v>
      </c>
      <c r="B12" s="9" t="n">
        <v>3158</v>
      </c>
      <c r="C12" s="9" t="n">
        <v>21182</v>
      </c>
      <c r="D12" s="9" t="n">
        <v>11619</v>
      </c>
      <c r="E12" s="238">
        <f>442*1088/2748400*20833.33</f>
        <v/>
      </c>
      <c r="F12" s="9">
        <f>SUM(B12:E12)</f>
        <v/>
      </c>
      <c r="G12" s="9">
        <f>F12*48</f>
        <v/>
      </c>
      <c r="H12" s="62">
        <f>G12*0.2777778</f>
        <v/>
      </c>
    </row>
    <row r="13" ht="17" customHeight="1" thickBot="1">
      <c r="A13" s="698" t="n">
        <v>45444</v>
      </c>
      <c r="B13" s="9" t="n">
        <v>2974</v>
      </c>
      <c r="C13" s="9" t="n">
        <v>15391</v>
      </c>
      <c r="D13" s="9" t="n">
        <v>5729</v>
      </c>
      <c r="E13" s="238">
        <f>442*1077/2748400*20833.33</f>
        <v/>
      </c>
      <c r="F13" s="9">
        <f>SUM(B13:E13)</f>
        <v/>
      </c>
      <c r="G13" s="9">
        <f>F13*48</f>
        <v/>
      </c>
      <c r="H13" s="62">
        <f>G13*0.2777778</f>
        <v/>
      </c>
      <c r="I13" s="62" t="n"/>
    </row>
    <row r="14">
      <c r="A14" s="698" t="n">
        <v>45474</v>
      </c>
      <c r="B14" s="14" t="n">
        <v>3131</v>
      </c>
      <c r="C14" s="14" t="n">
        <v>17540</v>
      </c>
      <c r="D14" s="14" t="n">
        <v>3916</v>
      </c>
      <c r="E14" s="364">
        <f>444*893/2764000*20833.33</f>
        <v/>
      </c>
      <c r="F14" s="9">
        <f>SUM(B14:E14)</f>
        <v/>
      </c>
      <c r="G14" s="9">
        <f>F14*48</f>
        <v/>
      </c>
      <c r="H14" s="62">
        <f>G14*0.2777778</f>
        <v/>
      </c>
    </row>
    <row r="15">
      <c r="A15" s="698" t="n">
        <v>45505</v>
      </c>
      <c r="B15" s="14" t="n">
        <v>3522</v>
      </c>
      <c r="C15" s="14" t="n">
        <v>16815</v>
      </c>
      <c r="D15" s="14" t="n">
        <v>4486</v>
      </c>
      <c r="E15" s="364">
        <f>444*875/2764000*20833.33</f>
        <v/>
      </c>
      <c r="F15" s="9">
        <f>SUM(B15:E15)</f>
        <v/>
      </c>
      <c r="G15" s="9">
        <f>F15*48</f>
        <v/>
      </c>
      <c r="H15" s="62">
        <f>G15*0.2777778</f>
        <v/>
      </c>
    </row>
    <row r="16">
      <c r="A16" s="698" t="n">
        <v>45536</v>
      </c>
      <c r="B16" s="9" t="n">
        <v>180</v>
      </c>
      <c r="C16" s="9" t="n">
        <v>21907</v>
      </c>
      <c r="D16" s="9" t="n">
        <v>6755</v>
      </c>
      <c r="E16" s="364">
        <f>444*873/2764000*20833.33</f>
        <v/>
      </c>
      <c r="F16" s="9">
        <f>SUM(B16:E16)</f>
        <v/>
      </c>
      <c r="G16" s="9">
        <f>F16*48</f>
        <v/>
      </c>
      <c r="H16" s="62">
        <f>G16*0.2777778</f>
        <v/>
      </c>
    </row>
    <row r="17">
      <c r="A17" s="698" t="n">
        <v>45566</v>
      </c>
      <c r="B17" s="9" t="n">
        <v>592</v>
      </c>
      <c r="C17" s="9" t="n">
        <v>20873</v>
      </c>
      <c r="D17" s="9" t="n">
        <v>8933</v>
      </c>
      <c r="E17" s="364">
        <f>440*893/2758400*20833.33</f>
        <v/>
      </c>
      <c r="F17" s="9">
        <f>SUM(B17:E17)</f>
        <v/>
      </c>
      <c r="G17" s="9">
        <f>F17*48</f>
        <v/>
      </c>
      <c r="H17" s="62">
        <f>G17*0.2777778</f>
        <v/>
      </c>
    </row>
    <row r="18">
      <c r="A18" s="698" t="n">
        <v>45597</v>
      </c>
      <c r="B18" s="9" t="n">
        <v>3037</v>
      </c>
      <c r="C18" s="9" t="n">
        <v>19854</v>
      </c>
      <c r="D18" s="9" t="n">
        <v>11374</v>
      </c>
      <c r="E18" s="364">
        <f>440*1126/2758400*20833.33</f>
        <v/>
      </c>
      <c r="F18" s="9">
        <f>SUM(B18:E18)</f>
        <v/>
      </c>
      <c r="G18" s="9">
        <f>F18*48</f>
        <v/>
      </c>
      <c r="H18" s="62">
        <f>G18*0.2777778</f>
        <v/>
      </c>
    </row>
    <row r="19">
      <c r="A19" s="698" t="n">
        <v>45627</v>
      </c>
      <c r="B19" s="9" t="n">
        <v>2867</v>
      </c>
      <c r="C19" s="9" t="n">
        <v>20265</v>
      </c>
      <c r="D19" s="9" t="n">
        <v>12848</v>
      </c>
      <c r="E19" s="364">
        <f>440*1401/2758400*20833.33</f>
        <v/>
      </c>
      <c r="F19" s="9">
        <f>SUM(B19:E19)</f>
        <v/>
      </c>
      <c r="G19" s="9">
        <f>F19*48</f>
        <v/>
      </c>
      <c r="H19" s="62">
        <f>G19*0.2777778</f>
        <v/>
      </c>
    </row>
    <row r="20">
      <c r="A20" s="698" t="n">
        <v>45658</v>
      </c>
      <c r="B20" s="9" t="n">
        <v>2722</v>
      </c>
      <c r="C20" s="9" t="n">
        <v>15492</v>
      </c>
      <c r="D20" s="9" t="n">
        <v>9966</v>
      </c>
      <c r="E20" s="364">
        <f>442*1698/2776500*20833.33</f>
        <v/>
      </c>
      <c r="F20" s="9">
        <f>SUM(B20:E20)</f>
        <v/>
      </c>
      <c r="G20" s="9">
        <f>F20*48</f>
        <v/>
      </c>
      <c r="H20" s="62">
        <f>G20*0.2777778</f>
        <v/>
      </c>
    </row>
    <row r="21">
      <c r="A21" s="698" t="n">
        <v>45689</v>
      </c>
      <c r="B21" s="9" t="n">
        <v>3139</v>
      </c>
      <c r="C21" s="9" t="n">
        <v>18410</v>
      </c>
      <c r="D21" s="9" t="n">
        <v>15013</v>
      </c>
      <c r="E21" s="364">
        <f>442*1719/2776500*20833.33</f>
        <v/>
      </c>
      <c r="F21" s="9">
        <f>SUM(B21:E21)</f>
        <v/>
      </c>
      <c r="G21" s="9">
        <f>F21*48</f>
        <v/>
      </c>
      <c r="H21" s="62">
        <f>G21*0.2777778</f>
        <v/>
      </c>
    </row>
    <row r="22">
      <c r="A22" s="698" t="n">
        <v>45717</v>
      </c>
      <c r="B22" s="9" t="n">
        <v>3719</v>
      </c>
      <c r="C22" s="9" t="n">
        <v>19737</v>
      </c>
      <c r="D22" s="9" t="n">
        <v>14786</v>
      </c>
      <c r="E22" s="364">
        <f>442*1372/2776500*20833.33</f>
        <v/>
      </c>
      <c r="F22" s="9">
        <f>SUM(B22:E22)</f>
        <v/>
      </c>
      <c r="G22" s="9">
        <f>F22*48</f>
        <v/>
      </c>
      <c r="H22" s="62">
        <f>G22*0.2777778</f>
        <v/>
      </c>
    </row>
    <row r="23">
      <c r="A23" s="698" t="n">
        <v>45748</v>
      </c>
      <c r="B23" s="9" t="n">
        <v>3321</v>
      </c>
      <c r="C23" s="9" t="n">
        <v>19176</v>
      </c>
      <c r="D23" s="9" t="n">
        <v>13420</v>
      </c>
      <c r="E23" s="364">
        <f>461*1580/2775300*20833.33</f>
        <v/>
      </c>
      <c r="F23" s="9">
        <f>SUM(B23:E23)</f>
        <v/>
      </c>
      <c r="G23" s="9">
        <f>F23*48</f>
        <v/>
      </c>
      <c r="H23" s="62">
        <f>G23*0.2777778</f>
        <v/>
      </c>
    </row>
    <row r="24">
      <c r="A24" s="698" t="n">
        <v>45778</v>
      </c>
      <c r="B24" s="9" t="n">
        <v>3063</v>
      </c>
      <c r="C24" s="9" t="n">
        <v>18040</v>
      </c>
      <c r="D24" s="9" t="n">
        <v>8810</v>
      </c>
      <c r="E24" s="364">
        <f>461*1104/2775300*20833.33</f>
        <v/>
      </c>
      <c r="F24" s="9">
        <f>SUM(B24:E24)</f>
        <v/>
      </c>
      <c r="G24" s="9">
        <f>F24*48</f>
        <v/>
      </c>
      <c r="H24" s="62">
        <f>G24*0.2777778</f>
        <v/>
      </c>
    </row>
    <row r="25">
      <c r="A25" s="698" t="n">
        <v>45809</v>
      </c>
      <c r="B25" s="9" t="n">
        <v>2669</v>
      </c>
      <c r="C25" s="9" t="n">
        <v>16400</v>
      </c>
      <c r="D25" s="9" t="n">
        <v>6523</v>
      </c>
      <c r="E25" s="364">
        <f>461*1114/2775300*20833.33</f>
        <v/>
      </c>
      <c r="F25" s="9">
        <f>SUM(B25:E25)</f>
        <v/>
      </c>
      <c r="G25" s="9">
        <f>F25*48</f>
        <v/>
      </c>
      <c r="H25" s="62">
        <f>G25*0.2777778</f>
        <v/>
      </c>
    </row>
    <row r="26">
      <c r="A26" s="698" t="n">
        <v>45839</v>
      </c>
      <c r="B26" s="9" t="n">
        <v>4607</v>
      </c>
      <c r="C26" s="9" t="n">
        <v>14853</v>
      </c>
      <c r="D26" s="9" t="n">
        <v>4536</v>
      </c>
      <c r="E26" s="9" t="n"/>
      <c r="F26" s="9">
        <f>SUM(B26:E26)</f>
        <v/>
      </c>
      <c r="G26" s="9">
        <f>F26*48</f>
        <v/>
      </c>
      <c r="H26" s="62">
        <f>G26*0.2777778</f>
        <v/>
      </c>
    </row>
    <row r="27">
      <c r="A27" s="698" t="n">
        <v>45870</v>
      </c>
      <c r="B27" s="9" t="n">
        <v>2819</v>
      </c>
      <c r="C27" s="9" t="n">
        <v>15132</v>
      </c>
      <c r="D27" s="9" t="n">
        <v>5787</v>
      </c>
      <c r="E27" s="9" t="n"/>
      <c r="F27" s="9">
        <f>SUM(B27:E27)</f>
        <v/>
      </c>
      <c r="G27" s="9">
        <f>F27*48</f>
        <v/>
      </c>
      <c r="H27" s="62">
        <f>G27*0.2777778</f>
        <v/>
      </c>
    </row>
    <row r="28">
      <c r="A28" s="698" t="n">
        <v>45901</v>
      </c>
      <c r="B28" s="9" t="n">
        <v>3115</v>
      </c>
      <c r="C28" s="9" t="n">
        <v>20778</v>
      </c>
      <c r="D28" s="9" t="n">
        <v>7399</v>
      </c>
      <c r="E28" s="9" t="n"/>
      <c r="F28" s="9">
        <f>SUM(B28:E28)</f>
        <v/>
      </c>
      <c r="G28" s="9">
        <f>F28*48</f>
        <v/>
      </c>
      <c r="H28" s="62">
        <f>G28*0.2777778</f>
        <v/>
      </c>
    </row>
    <row r="29">
      <c r="A29" s="698" t="n">
        <v>45931</v>
      </c>
      <c r="B29" s="9" t="n">
        <v>2848</v>
      </c>
      <c r="C29" s="9" t="n">
        <v>20231</v>
      </c>
      <c r="D29" s="9" t="n">
        <v>8987</v>
      </c>
      <c r="E29" s="9" t="n"/>
      <c r="F29" s="9">
        <f>SUM(B29:E29)</f>
        <v/>
      </c>
      <c r="G29" s="9">
        <f>F29*48</f>
        <v/>
      </c>
      <c r="H29" s="9">
        <f>G29*0.2777778</f>
        <v/>
      </c>
    </row>
    <row r="30">
      <c r="A30" s="698" t="n">
        <v>45962</v>
      </c>
      <c r="B30" s="9" t="n">
        <v>3729</v>
      </c>
      <c r="C30" s="9" t="n">
        <v>16673</v>
      </c>
      <c r="D30" s="9" t="n">
        <v>12354</v>
      </c>
      <c r="E30" s="9" t="n"/>
      <c r="F30" s="9">
        <f>SUM(B30:E30)</f>
        <v/>
      </c>
      <c r="G30" s="9">
        <f>F30*48</f>
        <v/>
      </c>
      <c r="H30" s="9">
        <f>G30*0.2777778</f>
        <v/>
      </c>
    </row>
    <row r="31">
      <c r="A31" s="698" t="n">
        <v>45992</v>
      </c>
      <c r="B31" s="9" t="n">
        <v>3649</v>
      </c>
      <c r="C31" s="9" t="n">
        <v>21817</v>
      </c>
      <c r="D31" s="9" t="n">
        <v>12248</v>
      </c>
      <c r="E31" s="9" t="n"/>
      <c r="F31" s="9">
        <f>SUM(B31:E31)</f>
        <v/>
      </c>
      <c r="G31" s="9">
        <f>F31*48</f>
        <v/>
      </c>
      <c r="H31" s="9">
        <f>G31*0.2777778</f>
        <v/>
      </c>
    </row>
    <row r="32">
      <c r="A32" s="698" t="n">
        <v>46023</v>
      </c>
      <c r="B32" s="9" t="n">
        <v>3849</v>
      </c>
      <c r="C32" s="9" t="n">
        <v>15383</v>
      </c>
      <c r="D32" s="9" t="n">
        <v>10270</v>
      </c>
      <c r="E32" s="9" t="n"/>
      <c r="F32" s="9">
        <f>SUM(B32:E32)</f>
        <v/>
      </c>
      <c r="G32" s="9">
        <f>F32*48</f>
        <v/>
      </c>
      <c r="H32" s="9">
        <f>G32*0.2777778</f>
        <v/>
      </c>
    </row>
    <row r="33">
      <c r="A33" s="698" t="n">
        <v>46054</v>
      </c>
      <c r="B33" s="9" t="n">
        <v>2908</v>
      </c>
      <c r="C33" s="9" t="n">
        <v>14845</v>
      </c>
      <c r="D33" s="9" t="n">
        <v>13059</v>
      </c>
      <c r="E33" s="9" t="n"/>
      <c r="F33" s="9">
        <f>SUM(B33:E33)</f>
        <v/>
      </c>
      <c r="G33" s="9">
        <f>F33*48</f>
        <v/>
      </c>
      <c r="H33" s="9">
        <f>G33*0.2777778</f>
        <v/>
      </c>
    </row>
    <row r="34">
      <c r="A34" s="698" t="n">
        <v>46082</v>
      </c>
      <c r="B34" s="9" t="n">
        <v>4414</v>
      </c>
      <c r="C34" s="9" t="n">
        <v>21952</v>
      </c>
      <c r="D34" s="9" t="n">
        <v>14712</v>
      </c>
      <c r="E34" s="9" t="n"/>
      <c r="F34" s="9">
        <f>SUM(B34:E34)</f>
        <v/>
      </c>
      <c r="G34" s="9">
        <f>F34*48</f>
        <v/>
      </c>
      <c r="H34" s="9">
        <f>G34*0.2777778</f>
        <v/>
      </c>
    </row>
    <row r="35">
      <c r="A35" s="698" t="n">
        <v>46113</v>
      </c>
      <c r="B35" s="9" t="n">
        <v>3465</v>
      </c>
      <c r="C35" s="9" t="n">
        <v>17677</v>
      </c>
      <c r="D35" s="9" t="n">
        <v>11376</v>
      </c>
      <c r="E35" s="9" t="n"/>
      <c r="F35" s="9">
        <f>SUM(B35:E35)</f>
        <v/>
      </c>
      <c r="G35" s="9">
        <f>F35*48</f>
        <v/>
      </c>
      <c r="H35" s="9">
        <f>G35*0.2777778</f>
        <v/>
      </c>
    </row>
    <row r="36">
      <c r="A36" s="698" t="n">
        <v>46143</v>
      </c>
      <c r="B36" s="9" t="n"/>
      <c r="C36" s="9" t="n"/>
      <c r="D36" s="9" t="n"/>
      <c r="E36" s="9" t="n"/>
      <c r="F36" s="9" t="n"/>
      <c r="G36" s="9" t="n"/>
      <c r="H36" s="9" t="n"/>
    </row>
    <row r="37">
      <c r="A37" s="698" t="n">
        <v>46174</v>
      </c>
      <c r="B37" s="9" t="n"/>
      <c r="C37" s="9" t="n"/>
      <c r="D37" s="9" t="n"/>
      <c r="E37" s="9" t="n"/>
      <c r="F37" s="9" t="n"/>
      <c r="G37" s="9" t="n"/>
      <c r="H37" s="9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I17" sqref="I17"/>
    </sheetView>
  </sheetViews>
  <sheetFormatPr baseColWidth="10" defaultColWidth="10.1640625" defaultRowHeight="16"/>
  <cols>
    <col width="10.1640625" customWidth="1" style="87" min="1" max="1"/>
    <col width="18.1640625" customWidth="1" style="8" min="2" max="4"/>
    <col width="15.33203125" customWidth="1" style="8" min="5" max="5"/>
    <col width="24" customWidth="1" style="8" min="6" max="6"/>
    <col width="27" customWidth="1" style="53" min="7" max="7"/>
    <col width="24.1640625" customWidth="1" style="53" min="8" max="8"/>
    <col width="24.1640625" customWidth="1" style="8" min="9" max="10"/>
    <col width="10.1640625" customWidth="1" style="8" min="11" max="16384"/>
  </cols>
  <sheetData>
    <row r="1" ht="34" customFormat="1" customHeight="1" s="90">
      <c r="A1" s="88" t="inlineStr">
        <is>
          <t>Date</t>
        </is>
      </c>
      <c r="B1" s="89" t="inlineStr">
        <is>
          <t>Main Academic Buildings</t>
        </is>
      </c>
      <c r="C1" s="88" t="inlineStr">
        <is>
          <t xml:space="preserve">Staff Quarters </t>
        </is>
      </c>
      <c r="D1" s="88" t="inlineStr">
        <is>
          <t>Student Housing</t>
        </is>
      </c>
      <c r="E1" s="88" t="inlineStr">
        <is>
          <t>Canteens</t>
        </is>
      </c>
      <c r="F1" s="89" t="inlineStr">
        <is>
          <t>UniLodge &amp; University Center</t>
        </is>
      </c>
      <c r="G1" s="89" t="inlineStr">
        <is>
          <t>NB TOTAL (TGU)</t>
        </is>
      </c>
      <c r="H1" s="89" t="inlineStr">
        <is>
          <t>MJ (x 48 towngas unit)</t>
        </is>
      </c>
      <c r="I1" s="89" t="inlineStr">
        <is>
          <t>HKSCC Report (kWh) (MJ*0.2777778)</t>
        </is>
      </c>
      <c r="J1" s="88" t="inlineStr">
        <is>
          <t>Conversion factor</t>
        </is>
      </c>
    </row>
    <row r="2">
      <c r="A2" s="86" t="inlineStr">
        <is>
          <t>2010/11</t>
        </is>
      </c>
      <c r="B2" s="78" t="n"/>
      <c r="C2" s="78" t="n"/>
      <c r="D2" s="78" t="n"/>
      <c r="E2" s="78" t="n"/>
      <c r="F2" s="78" t="n"/>
      <c r="G2" s="103" t="n"/>
      <c r="H2" s="166" t="n">
        <v>2892240</v>
      </c>
      <c r="I2" s="80" t="n">
        <v>803400</v>
      </c>
      <c r="J2" s="78" t="n"/>
    </row>
    <row r="3">
      <c r="A3" s="86" t="inlineStr">
        <is>
          <t>2011/12</t>
        </is>
      </c>
      <c r="B3" s="78" t="n"/>
      <c r="C3" s="78" t="n"/>
      <c r="D3" s="78" t="n"/>
      <c r="E3" s="78" t="n"/>
      <c r="F3" s="78" t="n"/>
      <c r="G3" s="103" t="n"/>
      <c r="H3" s="167" t="n">
        <v>2751506</v>
      </c>
      <c r="I3" s="80" t="n">
        <v>764307</v>
      </c>
      <c r="J3" s="78" t="n"/>
    </row>
    <row r="4">
      <c r="A4" s="86" t="inlineStr">
        <is>
          <t>2012/13</t>
        </is>
      </c>
      <c r="B4" s="78" t="n"/>
      <c r="C4" s="78" t="n"/>
      <c r="D4" s="78" t="n"/>
      <c r="E4" s="78" t="n"/>
      <c r="F4" s="78" t="n"/>
      <c r="G4" s="140" t="n"/>
      <c r="H4" s="167" t="n">
        <v>736176</v>
      </c>
      <c r="I4" s="80" t="n">
        <v>204493</v>
      </c>
      <c r="J4" s="78" t="n"/>
    </row>
    <row r="5">
      <c r="A5" s="86" t="inlineStr">
        <is>
          <t>2013/14</t>
        </is>
      </c>
      <c r="B5" s="80" t="n">
        <v>1314</v>
      </c>
      <c r="C5" s="81" t="n">
        <v>60067</v>
      </c>
      <c r="D5" s="78" t="n"/>
      <c r="E5" s="82" t="n">
        <v>251482</v>
      </c>
      <c r="F5" s="80" t="n">
        <v>3389</v>
      </c>
      <c r="G5" s="83" t="n">
        <v>316252</v>
      </c>
      <c r="H5" s="83" t="n">
        <v>15180103</v>
      </c>
      <c r="I5" s="80" t="n">
        <v>4216695</v>
      </c>
      <c r="J5" s="78" t="n"/>
    </row>
    <row r="6">
      <c r="A6" s="86" t="inlineStr">
        <is>
          <t>2014/15</t>
        </is>
      </c>
      <c r="B6" s="80" t="n">
        <v>1384</v>
      </c>
      <c r="C6" s="81" t="n">
        <v>57157</v>
      </c>
      <c r="D6" s="80" t="n">
        <v>123524</v>
      </c>
      <c r="E6" s="82" t="n">
        <v>256811</v>
      </c>
      <c r="F6" s="80" t="n">
        <v>3081</v>
      </c>
      <c r="G6" s="83" t="n">
        <v>440573</v>
      </c>
      <c r="H6" s="83" t="n">
        <v>21147510</v>
      </c>
      <c r="I6" s="80" t="n">
        <v>5874308</v>
      </c>
      <c r="J6" s="78" t="n"/>
    </row>
    <row r="7">
      <c r="A7" s="86" t="inlineStr">
        <is>
          <t>2015/16</t>
        </is>
      </c>
      <c r="B7" s="80" t="n">
        <v>2879</v>
      </c>
      <c r="C7" s="81" t="n">
        <v>62717</v>
      </c>
      <c r="D7" s="80" t="n">
        <v>169348</v>
      </c>
      <c r="E7" s="82" t="n">
        <v>306151</v>
      </c>
      <c r="F7" s="80" t="n">
        <v>1357</v>
      </c>
      <c r="G7" s="83" t="n">
        <v>542452</v>
      </c>
      <c r="H7" s="83" t="n">
        <v>26037712</v>
      </c>
      <c r="I7" s="80" t="n">
        <v>7232698</v>
      </c>
      <c r="J7" s="78" t="n"/>
    </row>
    <row r="8">
      <c r="A8" s="86" t="inlineStr">
        <is>
          <t>2016/17</t>
        </is>
      </c>
      <c r="B8" s="80" t="n">
        <v>1943</v>
      </c>
      <c r="C8" s="81" t="n">
        <v>64368</v>
      </c>
      <c r="D8" s="80" t="n">
        <v>153668</v>
      </c>
      <c r="E8" s="82" t="n">
        <v>273854</v>
      </c>
      <c r="F8" s="78" t="n">
        <v>0</v>
      </c>
      <c r="G8" s="83" t="n">
        <v>493833</v>
      </c>
      <c r="H8" s="83" t="n">
        <v>23703999</v>
      </c>
      <c r="I8" s="80" t="n">
        <v>6584444</v>
      </c>
      <c r="J8" s="78" t="n"/>
    </row>
    <row r="9">
      <c r="A9" s="86" t="inlineStr">
        <is>
          <t>2017/18</t>
        </is>
      </c>
      <c r="B9" s="80" t="n">
        <v>1849</v>
      </c>
      <c r="C9" s="81" t="n">
        <v>51068</v>
      </c>
      <c r="D9" s="80" t="n">
        <v>144642</v>
      </c>
      <c r="E9" s="82" t="n">
        <v>227386</v>
      </c>
      <c r="F9" s="78" t="n">
        <v>0</v>
      </c>
      <c r="G9" s="83" t="n">
        <v>424945</v>
      </c>
      <c r="H9" s="83" t="n">
        <v>20397358</v>
      </c>
      <c r="I9" s="80" t="n">
        <v>5665933</v>
      </c>
      <c r="J9" s="78" t="n"/>
    </row>
    <row r="10">
      <c r="A10" s="86" t="inlineStr">
        <is>
          <t>2018/19</t>
        </is>
      </c>
      <c r="B10" s="82" t="n">
        <v>1838</v>
      </c>
      <c r="C10" s="81" t="n">
        <v>48642</v>
      </c>
      <c r="D10" s="82" t="n">
        <v>134629</v>
      </c>
      <c r="E10" s="82" t="n">
        <v>274505</v>
      </c>
      <c r="F10" s="78" t="n">
        <v>0</v>
      </c>
      <c r="G10" s="83" t="n">
        <v>459614</v>
      </c>
      <c r="H10" s="83" t="n">
        <v>22061455</v>
      </c>
      <c r="I10" s="80" t="n">
        <v>6128182</v>
      </c>
      <c r="J10" s="78" t="n"/>
    </row>
    <row r="11">
      <c r="A11" s="86" t="inlineStr">
        <is>
          <t>2019/20</t>
        </is>
      </c>
      <c r="B11" s="82" t="n">
        <v>11443</v>
      </c>
      <c r="C11" s="81" t="n">
        <v>49313</v>
      </c>
      <c r="D11" s="82" t="n">
        <v>97681</v>
      </c>
      <c r="E11" s="82" t="n">
        <v>180594</v>
      </c>
      <c r="F11" s="78" t="n">
        <v>0</v>
      </c>
      <c r="G11" s="83" t="n">
        <v>339031</v>
      </c>
      <c r="H11" s="83" t="n">
        <v>16273494</v>
      </c>
      <c r="I11" s="80" t="n">
        <v>4520415</v>
      </c>
      <c r="J11" s="78" t="n"/>
    </row>
    <row r="12">
      <c r="A12" s="86" t="inlineStr">
        <is>
          <t>2020/21</t>
        </is>
      </c>
      <c r="B12" s="80" t="n">
        <v>14510</v>
      </c>
      <c r="C12" s="80" t="n">
        <v>52537.85</v>
      </c>
      <c r="D12" s="80" t="n">
        <v>98340</v>
      </c>
      <c r="E12" s="80" t="n">
        <v>187208</v>
      </c>
      <c r="F12" s="80" t="n">
        <v>0</v>
      </c>
      <c r="G12" s="84" t="n">
        <v>352596</v>
      </c>
      <c r="H12" s="83" t="n">
        <v>16924601</v>
      </c>
      <c r="I12" s="80" t="n">
        <v>4701278</v>
      </c>
      <c r="J12" s="78" t="n">
        <v>13.33333333</v>
      </c>
    </row>
    <row r="13">
      <c r="A13" s="86" t="inlineStr">
        <is>
          <t>2021/22</t>
        </is>
      </c>
      <c r="B13" s="80" t="n">
        <v>24970</v>
      </c>
      <c r="C13" s="80" t="n">
        <v>55678.58</v>
      </c>
      <c r="D13" s="80" t="n">
        <v>107914</v>
      </c>
      <c r="E13" s="80" t="n">
        <v>194913</v>
      </c>
      <c r="F13" s="80" t="n">
        <v>0</v>
      </c>
      <c r="G13" s="84" t="n">
        <v>383476</v>
      </c>
      <c r="H13" s="83" t="n">
        <v>18406828</v>
      </c>
      <c r="I13" s="80" t="n">
        <v>5113008</v>
      </c>
      <c r="J13" s="78" t="n">
        <v>13.33333333</v>
      </c>
    </row>
    <row r="14">
      <c r="A14" s="86" t="inlineStr">
        <is>
          <t>2022/23</t>
        </is>
      </c>
      <c r="B14" s="80" t="n">
        <v>36199</v>
      </c>
      <c r="C14" s="80" t="n">
        <v>49004.96</v>
      </c>
      <c r="D14" s="80" t="n">
        <v>95670</v>
      </c>
      <c r="E14" s="80" t="n">
        <v>230979</v>
      </c>
      <c r="F14" s="80" t="n">
        <v>0</v>
      </c>
      <c r="G14" s="84" t="n">
        <v>411853</v>
      </c>
      <c r="H14" s="83" t="n">
        <v>19768942</v>
      </c>
      <c r="I14" s="80" t="n">
        <v>5491373</v>
      </c>
      <c r="J14" s="78" t="n"/>
    </row>
    <row r="15">
      <c r="A15" s="87" t="inlineStr">
        <is>
          <t>2023/24</t>
        </is>
      </c>
      <c r="B15" s="9">
        <f>SUM('Monthly Towngas (TGU)'!B2:B13)</f>
        <v/>
      </c>
      <c r="C15" s="62">
        <f>SUM('Monthly Towngas (TGU)'!E2:E13)</f>
        <v/>
      </c>
      <c r="D15" s="9">
        <f>SUM('Monthly Towngas (TGU)'!D2:D13)</f>
        <v/>
      </c>
      <c r="E15" s="9">
        <f>SUM('Monthly Towngas (TGU)'!C2:C13)</f>
        <v/>
      </c>
      <c r="F15" s="9" t="n">
        <v>0</v>
      </c>
      <c r="G15" s="242">
        <f>SUM(B15:F15)</f>
        <v/>
      </c>
      <c r="H15" s="165">
        <f>G15*48</f>
        <v/>
      </c>
      <c r="I15" s="9">
        <f>H15*0.2777778</f>
        <v/>
      </c>
    </row>
    <row r="16">
      <c r="A16" s="87" t="inlineStr">
        <is>
          <t>2024/25</t>
        </is>
      </c>
      <c r="B16" s="9">
        <f>SUM('Monthly Towngas (TGU)'!B14:B25)</f>
        <v/>
      </c>
      <c r="C16" s="62">
        <f>SUM('Monthly Towngas (TGU)'!E14:E25)</f>
        <v/>
      </c>
      <c r="D16" s="9">
        <f>SUM('Monthly Towngas (TGU)'!D14:D25)</f>
        <v/>
      </c>
      <c r="E16" s="9">
        <f>SUM('Monthly Towngas (TGU)'!C14:C25)</f>
        <v/>
      </c>
      <c r="F16" s="9" t="n">
        <v>0</v>
      </c>
      <c r="G16" s="242">
        <f>SUM(B16:F16)</f>
        <v/>
      </c>
      <c r="H16" s="165">
        <f>G16*48</f>
        <v/>
      </c>
      <c r="I16" s="9">
        <f>H16*0.2777778</f>
        <v/>
      </c>
    </row>
    <row r="17">
      <c r="A17" s="87" t="inlineStr">
        <is>
          <t>2025/26</t>
        </is>
      </c>
      <c r="B17" s="364">
        <f>SUM('Monthly Towngas (TGU)'!B26:B37)</f>
        <v/>
      </c>
      <c r="C17" s="63">
        <f>SUM('Monthly Towngas (TGU)'!E26:E37)</f>
        <v/>
      </c>
      <c r="D17" s="364">
        <f>SUM('Monthly Towngas (TGU)'!D26:D37)</f>
        <v/>
      </c>
      <c r="E17" s="364">
        <f>SUM('Monthly Towngas (TGU)'!C26:C37)</f>
        <v/>
      </c>
      <c r="F17" s="364" t="n">
        <v>0</v>
      </c>
      <c r="G17" s="600">
        <f>SUM(B17:F17)</f>
        <v/>
      </c>
      <c r="H17" s="600">
        <f>G17*48</f>
        <v/>
      </c>
      <c r="I17" s="364">
        <f>H17*0.2777778</f>
        <v/>
      </c>
    </row>
    <row r="19">
      <c r="G19" s="8" t="n"/>
    </row>
    <row r="20">
      <c r="G20" s="8" t="n"/>
    </row>
    <row r="21">
      <c r="G21" s="601" t="inlineStr">
        <is>
          <t>https://www.towngas.com/en/About-Us/Hong-Kong-Gas-Business/Gas-Production</t>
        </is>
      </c>
    </row>
    <row r="23">
      <c r="G23" s="8" t="inlineStr">
        <is>
          <t>1MJ = 0.277778kWh</t>
        </is>
      </c>
    </row>
    <row r="25">
      <c r="B25" s="78" t="inlineStr">
        <is>
          <t>Reference for towngas unit: https://ocp.towngas.com/tools/eng/toolsgascalc.aspx</t>
        </is>
      </c>
      <c r="G25" s="53">
        <f>2.8317/100</f>
        <v/>
      </c>
    </row>
    <row r="26">
      <c r="B26" s="601" t="inlineStr">
        <is>
          <t>https://www.towngas.com/en/Household/Customer-Services/Tariff</t>
        </is>
      </c>
    </row>
    <row r="27">
      <c r="B27" s="78" t="n"/>
    </row>
    <row r="28">
      <c r="B28" s="85" t="inlineStr">
        <is>
          <t>https://www.towngas.com/en/About-Us/Hong-Kong-Gas-Business/Gas-Production#:~:text=Town%20gas%2C%20produced%20from%20naphtha,it%20can%20be%20detected%20easily.</t>
        </is>
      </c>
    </row>
  </sheetData>
  <hyperlinks>
    <hyperlink xmlns:r="http://schemas.openxmlformats.org/officeDocument/2006/relationships" ref="G21" r:id="rId1"/>
    <hyperlink xmlns:r="http://schemas.openxmlformats.org/officeDocument/2006/relationships" ref="B26" r:id="rId2"/>
    <hyperlink xmlns:r="http://schemas.openxmlformats.org/officeDocument/2006/relationships" ref="B28" location=":~:text=Town%20gas%2C%20produced%20from%20naphtha,it%20can%20be%20detected%20easily." r:id="rId3"/>
  </hyperlink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topLeftCell="B1" workbookViewId="0">
      <selection activeCell="E20" sqref="E20"/>
    </sheetView>
  </sheetViews>
  <sheetFormatPr baseColWidth="10" defaultColWidth="11.5" defaultRowHeight="16"/>
  <cols>
    <col width="11.5" customWidth="1" style="98" min="1" max="1"/>
    <col width="20.6640625" customWidth="1" style="442" min="2" max="6"/>
    <col hidden="1" width="20.6640625" customWidth="1" style="442" min="7" max="7"/>
    <col width="20.6640625" customWidth="1" style="442" min="8" max="11"/>
    <col width="11.5" customWidth="1" style="442" min="12" max="16384"/>
  </cols>
  <sheetData>
    <row r="1" ht="89" customHeight="1">
      <c r="A1" s="89" t="inlineStr">
        <is>
          <t>Date</t>
        </is>
      </c>
      <c r="B1" s="89" t="inlineStr">
        <is>
          <t>CSO Fuel - Petrol Consumption Cars (from Elsa CSO) (litres)</t>
        </is>
      </c>
      <c r="C1" s="89" t="inlineStr">
        <is>
          <t>Total Petrol (kWh)</t>
        </is>
      </c>
      <c r="D1" s="89" t="inlineStr">
        <is>
          <t>Fuel Oil Standby generator (from CMO Kam Tong Yuen)(litres)</t>
        </is>
      </c>
      <c r="E1" s="89" t="inlineStr">
        <is>
          <t>CMO CLS vehicle consumed fuel from DG truck (from Dana WONG)</t>
        </is>
      </c>
      <c r="F1" s="89" t="inlineStr">
        <is>
          <t>CMO Fuel - Light Good Vehicle - Diesel - litres (from Eric Kong)</t>
        </is>
      </c>
      <c r="G1" s="89" t="inlineStr">
        <is>
          <t>CMO Fuel - Lorry &amp; Pick Up - Diesel - litres (from Kenny Ho)</t>
        </is>
      </c>
      <c r="H1" s="89" t="inlineStr">
        <is>
          <t>Total Diesel Consumption (litres)</t>
        </is>
      </c>
      <c r="I1" s="89" t="inlineStr">
        <is>
          <t>Total Diesel (kWh)</t>
        </is>
      </c>
      <c r="J1" s="89" t="inlineStr">
        <is>
          <t>Total Petrol &amp; Diesel (kWh)</t>
        </is>
      </c>
      <c r="K1" s="89" t="inlineStr">
        <is>
          <t>HKSCC Report (kWh)</t>
        </is>
      </c>
    </row>
    <row r="2">
      <c r="A2" s="86" t="inlineStr">
        <is>
          <t>2010/11</t>
        </is>
      </c>
      <c r="B2" s="79" t="n">
        <v>15760</v>
      </c>
      <c r="C2" s="487" t="n">
        <v>139233.8301</v>
      </c>
      <c r="D2" s="78" t="n"/>
      <c r="E2" s="78" t="n"/>
      <c r="F2" s="78" t="n"/>
      <c r="G2" s="78" t="n"/>
      <c r="H2" s="79" t="n">
        <v>9547</v>
      </c>
      <c r="I2" s="487" t="n">
        <v>95761.83551</v>
      </c>
      <c r="J2" s="80" t="n">
        <v>234996</v>
      </c>
      <c r="K2" s="100" t="n">
        <v>234995.6656</v>
      </c>
    </row>
    <row r="3">
      <c r="A3" s="86" t="inlineStr">
        <is>
          <t>2011/12</t>
        </is>
      </c>
      <c r="B3" s="80" t="n">
        <v>23249</v>
      </c>
      <c r="C3" s="487" t="n">
        <v>205398.0034</v>
      </c>
      <c r="D3" s="78" t="n"/>
      <c r="E3" s="78" t="n"/>
      <c r="F3" s="78" t="n"/>
      <c r="G3" s="78" t="n"/>
      <c r="H3" s="79" t="n">
        <v>11284</v>
      </c>
      <c r="I3" s="487" t="n">
        <v>113181.9659</v>
      </c>
      <c r="J3" s="80" t="n">
        <v>318580</v>
      </c>
      <c r="K3" s="100" t="n">
        <v>318579.9693</v>
      </c>
    </row>
    <row r="4">
      <c r="A4" s="86" t="inlineStr">
        <is>
          <t>2012/13</t>
        </is>
      </c>
      <c r="B4" s="101" t="n">
        <v>28983</v>
      </c>
      <c r="C4" s="487" t="n">
        <v>256059.2102</v>
      </c>
      <c r="D4" s="78" t="n"/>
      <c r="E4" s="78" t="n"/>
      <c r="F4" s="78" t="n"/>
      <c r="G4" s="78" t="n"/>
      <c r="H4" s="80" t="n">
        <v>12204</v>
      </c>
      <c r="I4" s="487" t="n">
        <v>122407.2217</v>
      </c>
      <c r="J4" s="80" t="n">
        <v>378466</v>
      </c>
      <c r="K4" s="100" t="n">
        <v>378466.4318</v>
      </c>
    </row>
    <row r="5">
      <c r="A5" s="86" t="inlineStr">
        <is>
          <t>2013/14</t>
        </is>
      </c>
      <c r="B5" s="78" t="n"/>
      <c r="C5" s="78" t="n">
        <v>0</v>
      </c>
      <c r="D5" s="78" t="n"/>
      <c r="E5" s="78" t="n"/>
      <c r="F5" s="78" t="n"/>
      <c r="G5" s="78" t="n"/>
      <c r="H5" s="78" t="n"/>
      <c r="I5" s="78" t="n">
        <v>0</v>
      </c>
      <c r="J5" s="78" t="n">
        <v>0</v>
      </c>
      <c r="K5" s="100" t="n"/>
    </row>
    <row r="6">
      <c r="A6" s="86" t="inlineStr">
        <is>
          <t>2014/15</t>
        </is>
      </c>
      <c r="B6" s="100" t="n">
        <v>10679.44</v>
      </c>
      <c r="C6" s="102" t="n">
        <v>0</v>
      </c>
      <c r="D6" s="102" t="n"/>
      <c r="E6" s="102" t="n"/>
      <c r="F6" s="102" t="n"/>
      <c r="G6" s="102" t="n"/>
      <c r="H6" s="102" t="n"/>
      <c r="I6" s="102" t="n">
        <v>0</v>
      </c>
      <c r="J6" s="102" t="n">
        <v>0</v>
      </c>
      <c r="K6" s="63" t="n">
        <v>280000</v>
      </c>
    </row>
    <row r="7">
      <c r="A7" s="86" t="inlineStr">
        <is>
          <t>2015/16</t>
        </is>
      </c>
      <c r="B7" s="102" t="n"/>
      <c r="C7" s="102" t="n">
        <v>0</v>
      </c>
      <c r="D7" s="102" t="n"/>
      <c r="E7" s="102" t="n"/>
      <c r="F7" s="102" t="n"/>
      <c r="G7" s="102" t="n"/>
      <c r="H7" s="102" t="n"/>
      <c r="I7" s="102" t="n">
        <v>0</v>
      </c>
      <c r="J7" s="102" t="n">
        <v>0</v>
      </c>
      <c r="K7" s="63" t="n">
        <v>370000</v>
      </c>
    </row>
    <row r="8">
      <c r="A8" s="86" t="inlineStr">
        <is>
          <t>2016/17</t>
        </is>
      </c>
      <c r="B8" s="102" t="n"/>
      <c r="C8" s="102" t="n">
        <v>0</v>
      </c>
      <c r="D8" s="102" t="n"/>
      <c r="E8" s="102" t="n"/>
      <c r="F8" s="102" t="n"/>
      <c r="G8" s="102" t="n"/>
      <c r="H8" s="102" t="n"/>
      <c r="I8" s="102" t="n">
        <v>0</v>
      </c>
      <c r="J8" s="102" t="n">
        <v>0</v>
      </c>
      <c r="K8" s="62" t="n">
        <v>201980.5</v>
      </c>
    </row>
    <row r="9">
      <c r="A9" s="86" t="inlineStr">
        <is>
          <t>2017/18</t>
        </is>
      </c>
      <c r="B9" s="102" t="n"/>
      <c r="C9" s="102" t="n">
        <v>0</v>
      </c>
      <c r="D9" s="102" t="n"/>
      <c r="E9" s="102" t="n"/>
      <c r="F9" s="102" t="n"/>
      <c r="G9" s="102" t="n"/>
      <c r="H9" s="102" t="n"/>
      <c r="I9" s="102" t="n">
        <v>0</v>
      </c>
      <c r="J9" s="102" t="n">
        <v>0</v>
      </c>
      <c r="K9" s="62" t="n">
        <v>221452.21</v>
      </c>
    </row>
    <row r="10">
      <c r="A10" s="86" t="inlineStr">
        <is>
          <t>2018/19</t>
        </is>
      </c>
      <c r="B10" s="102" t="n"/>
      <c r="C10" s="102" t="n">
        <v>0</v>
      </c>
      <c r="D10" s="102" t="n"/>
      <c r="E10" s="102" t="n"/>
      <c r="F10" s="102" t="n"/>
      <c r="G10" s="102" t="n"/>
      <c r="H10" s="102" t="n"/>
      <c r="I10" s="102" t="n">
        <v>0</v>
      </c>
      <c r="J10" s="102" t="n">
        <v>0</v>
      </c>
      <c r="K10" s="62" t="n">
        <v>205172.45</v>
      </c>
    </row>
    <row r="11">
      <c r="A11" s="86" t="inlineStr">
        <is>
          <t>2019/20</t>
        </is>
      </c>
      <c r="B11" s="102" t="n"/>
      <c r="C11" s="102" t="n">
        <v>0</v>
      </c>
      <c r="D11" s="102" t="n"/>
      <c r="E11" s="102" t="n"/>
      <c r="F11" s="102" t="n"/>
      <c r="G11" s="102" t="n"/>
      <c r="H11" s="102" t="n"/>
      <c r="I11" s="102" t="n">
        <v>0</v>
      </c>
      <c r="J11" s="102" t="n">
        <v>0</v>
      </c>
      <c r="K11" s="62" t="n">
        <v>181092.19</v>
      </c>
    </row>
    <row r="12">
      <c r="A12" s="86" t="inlineStr">
        <is>
          <t>2020/21</t>
        </is>
      </c>
      <c r="B12" s="102" t="n"/>
      <c r="C12" s="102" t="n">
        <v>0</v>
      </c>
      <c r="D12" s="102" t="n"/>
      <c r="E12" s="102" t="n"/>
      <c r="F12" s="102" t="n"/>
      <c r="G12" s="102" t="n"/>
      <c r="H12" s="102" t="n"/>
      <c r="I12" s="102" t="n">
        <v>0</v>
      </c>
      <c r="J12" s="102" t="n">
        <v>0</v>
      </c>
      <c r="K12" s="62" t="n">
        <v>224833.4</v>
      </c>
    </row>
    <row r="13">
      <c r="A13" s="86" t="inlineStr">
        <is>
          <t>2021/22</t>
        </is>
      </c>
      <c r="B13" s="102" t="n"/>
      <c r="C13" s="102" t="n">
        <v>0</v>
      </c>
      <c r="D13" s="102" t="n"/>
      <c r="E13" s="102" t="n"/>
      <c r="F13" s="102" t="n"/>
      <c r="G13" s="102" t="n"/>
      <c r="H13" s="102" t="n"/>
      <c r="I13" s="102" t="n">
        <v>0</v>
      </c>
      <c r="J13" s="102" t="n">
        <v>0</v>
      </c>
      <c r="K13" s="100" t="n">
        <v>234812</v>
      </c>
    </row>
    <row r="14">
      <c r="A14" s="86" t="inlineStr">
        <is>
          <t>2022/23</t>
        </is>
      </c>
      <c r="B14" s="100">
        <f>'Scope 1'!K5</f>
        <v/>
      </c>
      <c r="C14" s="487">
        <f>B14 * 'Emission Factor'!$O$16</f>
        <v/>
      </c>
      <c r="D14" s="80">
        <f>'Scope 1'!B5</f>
        <v/>
      </c>
      <c r="E14" s="78">
        <f>'Scope 1'!M5</f>
        <v/>
      </c>
      <c r="F14" s="100">
        <f>'Scope 1'!O5</f>
        <v/>
      </c>
      <c r="G14" s="78" t="n">
        <v>3836.398</v>
      </c>
      <c r="H14" s="100">
        <f>SUM(D14:F14)</f>
        <v/>
      </c>
      <c r="I14" s="487">
        <f>H14 * 'Emission Factor'!$O$7</f>
        <v/>
      </c>
      <c r="J14" s="487">
        <f>I14+C14</f>
        <v/>
      </c>
      <c r="K14" s="100">
        <f>J14</f>
        <v/>
      </c>
    </row>
    <row r="15">
      <c r="A15" s="86" t="inlineStr">
        <is>
          <t>2023/24</t>
        </is>
      </c>
      <c r="B15" s="437" t="n">
        <v>15052.07</v>
      </c>
      <c r="C15" s="488" t="n">
        <v>132980.5637</v>
      </c>
      <c r="D15" s="489" t="n">
        <v>2570</v>
      </c>
      <c r="E15" s="438" t="n">
        <v>76.43000000000001</v>
      </c>
      <c r="F15" s="490" t="n">
        <v>8369.700000000001</v>
      </c>
      <c r="G15" s="439" t="n">
        <v>11016.13</v>
      </c>
      <c r="H15" s="100">
        <f>SUM(D15:F15)</f>
        <v/>
      </c>
      <c r="I15" s="487">
        <f>H15 * 'Emission Factor'!$O$7</f>
        <v/>
      </c>
      <c r="J15" s="487">
        <f>I15+C15</f>
        <v/>
      </c>
      <c r="K15" s="100" t="n">
        <v>243473.34</v>
      </c>
    </row>
    <row r="16">
      <c r="A16" s="86" t="inlineStr">
        <is>
          <t>2024/25</t>
        </is>
      </c>
      <c r="B16" s="15" t="n">
        <v>12974.05</v>
      </c>
      <c r="C16" s="154" t="n">
        <v>114621.8747</v>
      </c>
      <c r="D16" s="14" t="n">
        <v>2538</v>
      </c>
      <c r="E16" s="1" t="n">
        <v>143.275</v>
      </c>
      <c r="F16" s="15" t="n">
        <v>7503.07</v>
      </c>
      <c r="G16" s="1" t="n">
        <v>10184.345</v>
      </c>
      <c r="H16" s="15" t="n">
        <v>102149.8997</v>
      </c>
      <c r="I16" s="154" t="n">
        <v>216771.7744</v>
      </c>
      <c r="J16" s="154" t="n">
        <v>219309.77</v>
      </c>
      <c r="K16" s="15" t="n">
        <v>219309.77</v>
      </c>
    </row>
    <row r="17">
      <c r="A17" s="98" t="inlineStr">
        <is>
          <t>2025/26</t>
        </is>
      </c>
      <c r="K17" s="10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0"/>
  <sheetViews>
    <sheetView topLeftCell="D1" workbookViewId="0">
      <selection activeCell="C8" sqref="C8"/>
    </sheetView>
  </sheetViews>
  <sheetFormatPr baseColWidth="10" defaultColWidth="11.5" defaultRowHeight="14"/>
  <cols>
    <col width="13.6640625" bestFit="1" customWidth="1" style="442" min="1" max="1"/>
    <col width="11.6640625" bestFit="1" customWidth="1" style="442" min="2" max="3"/>
    <col width="15.6640625" bestFit="1" customWidth="1" style="442" min="4" max="4"/>
    <col width="12.1640625" bestFit="1" customWidth="1" style="442" min="5" max="5"/>
    <col width="17.6640625" customWidth="1" style="442" min="6" max="6"/>
    <col width="11.6640625" bestFit="1" customWidth="1" style="442" min="7" max="10"/>
    <col width="12.1640625" bestFit="1" customWidth="1" style="442" min="11" max="11"/>
    <col width="11.6640625" bestFit="1" customWidth="1" style="442" min="12" max="14"/>
    <col width="12.1640625" bestFit="1" customWidth="1" style="442" min="15" max="15"/>
    <col width="10.1640625" bestFit="1" customWidth="1" style="442" min="16" max="16"/>
    <col width="11.6640625" bestFit="1" customWidth="1" style="442" min="17" max="17"/>
    <col width="9.6640625" customWidth="1" style="442" min="18" max="18"/>
    <col width="17.33203125" customWidth="1" style="442" min="19" max="19"/>
    <col width="11.6640625" bestFit="1" customWidth="1" style="442" min="20" max="27"/>
    <col width="15.6640625" bestFit="1" customWidth="1" style="442" min="28" max="28"/>
    <col width="12.6640625" bestFit="1" customWidth="1" style="442" min="29" max="29"/>
    <col width="11.5" customWidth="1" style="442" min="30" max="16384"/>
  </cols>
  <sheetData>
    <row r="1" ht="16.25" customHeight="1">
      <c r="A1" s="443" t="n"/>
      <c r="B1" s="634" t="inlineStr">
        <is>
          <t>S1 Stationary Combustion</t>
        </is>
      </c>
      <c r="C1" s="701" t="n"/>
      <c r="D1" s="701" t="n"/>
      <c r="E1" s="701" t="n"/>
      <c r="F1" s="635" t="n"/>
      <c r="G1" s="702" t="inlineStr">
        <is>
          <t>S1 Mobile Combustion</t>
        </is>
      </c>
      <c r="H1" s="701" t="n"/>
      <c r="I1" s="701" t="n"/>
      <c r="J1" s="701" t="n"/>
      <c r="K1" s="701" t="n"/>
      <c r="L1" s="701" t="n"/>
      <c r="M1" s="701" t="n"/>
      <c r="N1" s="701" t="n"/>
      <c r="O1" s="701" t="n"/>
      <c r="P1" s="701" t="n"/>
      <c r="Q1" s="701" t="n"/>
      <c r="R1" s="701" t="n"/>
      <c r="S1" s="703" t="n"/>
      <c r="T1" s="704" t="inlineStr">
        <is>
          <t>S1 Refrigerant and others</t>
        </is>
      </c>
      <c r="U1" s="705" t="n"/>
      <c r="V1" s="705" t="n"/>
      <c r="W1" s="705" t="n"/>
      <c r="X1" s="705" t="n"/>
      <c r="Y1" s="705" t="n"/>
      <c r="Z1" s="705" t="n"/>
      <c r="AA1" s="706" t="n"/>
      <c r="AB1" s="445" t="n"/>
      <c r="AC1" s="416" t="inlineStr">
        <is>
          <t xml:space="preserve">S1 Total </t>
        </is>
      </c>
    </row>
    <row r="2" ht="15" customHeight="1">
      <c r="A2" s="620" t="n"/>
      <c r="B2" s="707" t="inlineStr">
        <is>
          <t>Standby Generator  (Diesel)</t>
        </is>
      </c>
      <c r="C2" s="708" t="n"/>
      <c r="D2" s="707" t="inlineStr">
        <is>
          <t>Towngas Combustion</t>
        </is>
      </c>
      <c r="E2" s="708" t="n"/>
      <c r="F2" s="709" t="inlineStr">
        <is>
          <t>S1 Stationary Combustion</t>
        </is>
      </c>
      <c r="G2" s="704" t="inlineStr">
        <is>
          <t>CSO PC (ULP)</t>
        </is>
      </c>
      <c r="H2" s="708" t="n"/>
      <c r="I2" s="707" t="inlineStr">
        <is>
          <t>CMO PV (ULP)</t>
        </is>
      </c>
      <c r="J2" s="708" t="n"/>
      <c r="K2" s="704" t="inlineStr">
        <is>
          <t>CSO PV (ULP)</t>
        </is>
      </c>
      <c r="L2" s="708" t="n"/>
      <c r="M2" s="707" t="inlineStr">
        <is>
          <t>CLS LGV (Diesel)</t>
        </is>
      </c>
      <c r="N2" s="708" t="n"/>
      <c r="O2" s="704" t="inlineStr">
        <is>
          <t>CMO LGV (Diesel)</t>
        </is>
      </c>
      <c r="P2" s="708" t="n"/>
      <c r="Q2" s="704" t="inlineStr">
        <is>
          <t>MAP LGV (ULP)</t>
        </is>
      </c>
      <c r="R2" s="708" t="n"/>
      <c r="S2" s="709" t="inlineStr">
        <is>
          <t>S1 Mobile Combustion</t>
        </is>
      </c>
      <c r="T2" s="707" t="inlineStr">
        <is>
          <t>R22 (HCFC-22)</t>
        </is>
      </c>
      <c r="U2" s="708" t="n"/>
      <c r="V2" s="704" t="inlineStr">
        <is>
          <t>R410A</t>
        </is>
      </c>
      <c r="W2" s="708" t="n"/>
      <c r="X2" s="704" t="inlineStr">
        <is>
          <t>R407C (R134a)</t>
        </is>
      </c>
      <c r="Y2" s="708" t="n"/>
      <c r="Z2" s="704" t="inlineStr">
        <is>
          <t>SF6</t>
        </is>
      </c>
      <c r="AA2" s="708" t="n"/>
      <c r="AB2" s="709" t="inlineStr">
        <is>
          <t>S1 Refrigerant and others</t>
        </is>
      </c>
      <c r="AC2" s="710" t="n"/>
    </row>
    <row r="3" ht="74" customHeight="1">
      <c r="A3" s="711" t="n"/>
      <c r="B3" s="712" t="n"/>
      <c r="C3" s="713" t="n"/>
      <c r="D3" s="712" t="n"/>
      <c r="E3" s="713" t="n"/>
      <c r="F3" s="714" t="n"/>
      <c r="G3" s="712" t="n"/>
      <c r="H3" s="713" t="n"/>
      <c r="I3" s="712" t="n"/>
      <c r="J3" s="713" t="n"/>
      <c r="K3" s="712" t="n"/>
      <c r="L3" s="713" t="n"/>
      <c r="M3" s="712" t="n"/>
      <c r="N3" s="713" t="n"/>
      <c r="O3" s="712" t="n"/>
      <c r="P3" s="713" t="n"/>
      <c r="Q3" s="712" t="n"/>
      <c r="R3" s="713" t="n"/>
      <c r="S3" s="714" t="n"/>
      <c r="T3" s="712" t="n"/>
      <c r="U3" s="713" t="n"/>
      <c r="V3" s="712" t="n"/>
      <c r="W3" s="713" t="n"/>
      <c r="X3" s="712" t="n"/>
      <c r="Y3" s="713" t="n"/>
      <c r="Z3" s="712" t="n"/>
      <c r="AA3" s="713" t="n"/>
      <c r="AB3" s="714" t="n"/>
      <c r="AC3" s="715" t="n"/>
    </row>
    <row r="4" ht="40" customHeight="1">
      <c r="A4" s="711" t="n"/>
      <c r="B4" s="419" t="inlineStr">
        <is>
          <t>Amount (L)</t>
        </is>
      </c>
      <c r="C4" s="419" t="inlineStr">
        <is>
          <t>CO2e  (tonne)</t>
        </is>
      </c>
      <c r="D4" s="419" t="inlineStr">
        <is>
          <t>Amount (Unit)</t>
        </is>
      </c>
      <c r="E4" s="419" t="inlineStr">
        <is>
          <t>CO2e  (tonne)</t>
        </is>
      </c>
      <c r="F4" s="420" t="n"/>
      <c r="G4" s="419" t="inlineStr">
        <is>
          <t>Amount (L)</t>
        </is>
      </c>
      <c r="H4" s="419" t="inlineStr">
        <is>
          <t>CO2e  (tonne)</t>
        </is>
      </c>
      <c r="I4" s="419" t="inlineStr">
        <is>
          <t>Amount (L)</t>
        </is>
      </c>
      <c r="J4" s="419" t="inlineStr">
        <is>
          <t>CO2e  (tonne)</t>
        </is>
      </c>
      <c r="K4" s="419" t="inlineStr">
        <is>
          <t>Amount (L)</t>
        </is>
      </c>
      <c r="L4" s="419" t="inlineStr">
        <is>
          <t>CO2e  (tonne)</t>
        </is>
      </c>
      <c r="M4" s="419" t="inlineStr">
        <is>
          <t>Amount (L)</t>
        </is>
      </c>
      <c r="N4" s="419" t="inlineStr">
        <is>
          <t>CO2e  (tonne)</t>
        </is>
      </c>
      <c r="O4" s="419" t="inlineStr">
        <is>
          <t>Amount (L)</t>
        </is>
      </c>
      <c r="P4" s="419" t="inlineStr">
        <is>
          <t>CO2e  (tonne)</t>
        </is>
      </c>
      <c r="Q4" s="419" t="inlineStr">
        <is>
          <t>Amount (L)</t>
        </is>
      </c>
      <c r="R4" s="419" t="inlineStr">
        <is>
          <t>CO2e  (tonne)</t>
        </is>
      </c>
      <c r="S4" s="420" t="n"/>
      <c r="T4" s="419" t="inlineStr">
        <is>
          <t>Leakage (kg)</t>
        </is>
      </c>
      <c r="U4" s="419" t="inlineStr">
        <is>
          <t>CO2e  (tonne)</t>
        </is>
      </c>
      <c r="V4" s="419" t="inlineStr">
        <is>
          <t>Leakage (kg)</t>
        </is>
      </c>
      <c r="W4" s="419" t="inlineStr">
        <is>
          <t>CO2e  (tonne)</t>
        </is>
      </c>
      <c r="X4" s="419" t="inlineStr">
        <is>
          <t>Leakage (kg)</t>
        </is>
      </c>
      <c r="Y4" s="419" t="inlineStr">
        <is>
          <t>CO2e  (tonne)</t>
        </is>
      </c>
      <c r="Z4" s="419" t="inlineStr">
        <is>
          <t>Usage (kg)</t>
        </is>
      </c>
      <c r="AA4" s="419" t="inlineStr">
        <is>
          <t>CO2e  (tonne)</t>
        </is>
      </c>
      <c r="AB4" s="419" t="n"/>
      <c r="AC4" s="417" t="inlineStr">
        <is>
          <t>CO2e  (tonne)</t>
        </is>
      </c>
    </row>
    <row r="5" ht="19" customHeight="1">
      <c r="A5" s="446" t="inlineStr">
        <is>
          <t>2022-23</t>
        </is>
      </c>
      <c r="B5" s="491" t="n">
        <v>3011</v>
      </c>
      <c r="C5" s="447">
        <f>B5*'Emission Factor'!$L$7/1000</f>
        <v/>
      </c>
      <c r="D5" s="418" t="n">
        <v>411852.9643953476</v>
      </c>
      <c r="E5" s="448">
        <f>D5*'Emission Factor'!$L$8/1000</f>
        <v/>
      </c>
      <c r="F5" s="492">
        <f>C5+E5</f>
        <v/>
      </c>
      <c r="G5" s="447" t="n">
        <v>0</v>
      </c>
      <c r="H5" s="447">
        <f>G5*'Emission Factor'!$L$16/1000</f>
        <v/>
      </c>
      <c r="I5" s="447" t="n">
        <v>0</v>
      </c>
      <c r="J5" s="447">
        <f>I5*'Emission Factor'!$L$22/1000</f>
        <v/>
      </c>
      <c r="K5" s="716" t="n">
        <v>20821.03</v>
      </c>
      <c r="L5" s="447">
        <f>K5*'Emission Factor'!$L$22/1000</f>
        <v/>
      </c>
      <c r="M5" s="447" t="n">
        <v>51</v>
      </c>
      <c r="N5" s="447">
        <f>M5*'Emission Factor'!$L$27/1000</f>
        <v/>
      </c>
      <c r="O5" s="448" t="n">
        <v>7807.65</v>
      </c>
      <c r="P5" s="447">
        <f>O5*'Emission Factor'!$L$27/1000</f>
        <v/>
      </c>
      <c r="Q5" s="447" t="n">
        <v>0</v>
      </c>
      <c r="R5" s="447">
        <f>Q5*'Emission Factor'!$L$28/1000</f>
        <v/>
      </c>
      <c r="S5" s="492">
        <f>H5+J5+L5+N5+P5+R5</f>
        <v/>
      </c>
      <c r="T5" s="447" t="n">
        <v>0</v>
      </c>
      <c r="U5" s="447">
        <f>(T5*'Emission Factor'!$B$32)/1000</f>
        <v/>
      </c>
      <c r="V5" s="447" t="n">
        <v>0</v>
      </c>
      <c r="W5" s="447">
        <f>(V5*'Emission Factor'!$B$33)/1000</f>
        <v/>
      </c>
      <c r="X5" s="447" t="n">
        <v>70</v>
      </c>
      <c r="Y5" s="447">
        <f>(X5*'Emission Factor'!$B$34)/1000</f>
        <v/>
      </c>
      <c r="Z5" s="447" t="n">
        <v>0.227</v>
      </c>
      <c r="AA5" s="447">
        <f>(Z5*'Emission Factor'!$B$35)/1000</f>
        <v/>
      </c>
      <c r="AB5" s="492">
        <f>U5+W5+Y5+AA5</f>
        <v/>
      </c>
      <c r="AC5" s="448">
        <f>C5+E5+H5+J5+L5+N5+P5+R5+U5+W5+AA5+Y5</f>
        <v/>
      </c>
    </row>
    <row r="6" ht="19" customHeight="1">
      <c r="A6" s="446" t="inlineStr">
        <is>
          <t>2023-24</t>
        </is>
      </c>
      <c r="B6" s="491" t="n">
        <v>2570</v>
      </c>
      <c r="C6" s="447">
        <f>B6*'Emission Factor'!$L$7/1000</f>
        <v/>
      </c>
      <c r="D6" s="418" t="n">
        <v>436969.7204099788</v>
      </c>
      <c r="E6" s="448">
        <f>D6*'Emission Factor'!$L$8/1000</f>
        <v/>
      </c>
      <c r="F6" s="492">
        <f>C6+E6</f>
        <v/>
      </c>
      <c r="G6" s="447" t="n">
        <v>0</v>
      </c>
      <c r="H6" s="447">
        <f>G6*'Emission Factor'!$L$16/1000</f>
        <v/>
      </c>
      <c r="I6" s="447" t="n">
        <v>0</v>
      </c>
      <c r="J6" s="447">
        <f>I6*'Emission Factor'!$L$22/1000</f>
        <v/>
      </c>
      <c r="K6" s="716" t="n">
        <v>15052.07</v>
      </c>
      <c r="L6" s="447">
        <f>K6*'Emission Factor'!$L$22/1000</f>
        <v/>
      </c>
      <c r="M6" s="447" t="n">
        <v>76.43000000000001</v>
      </c>
      <c r="N6" s="447">
        <f>M6*'Emission Factor'!$L$27/1000</f>
        <v/>
      </c>
      <c r="O6" s="448" t="n">
        <v>8369.700000000001</v>
      </c>
      <c r="P6" s="447">
        <f>O6*'Emission Factor'!$L$27/1000</f>
        <v/>
      </c>
      <c r="Q6" s="447" t="n">
        <v>0</v>
      </c>
      <c r="R6" s="447">
        <f>Q6*'Emission Factor'!$L$28/1000</f>
        <v/>
      </c>
      <c r="S6" s="492">
        <f>H6+J6+L6+N6+P6+R6</f>
        <v/>
      </c>
      <c r="T6" s="447" t="n">
        <v>0</v>
      </c>
      <c r="U6" s="447">
        <f>(T6*'Emission Factor'!$B$32)/1000</f>
        <v/>
      </c>
      <c r="V6" s="447" t="n">
        <v>4.76</v>
      </c>
      <c r="W6" s="447">
        <f>(V6*'Emission Factor'!$B$33)/1000</f>
        <v/>
      </c>
      <c r="X6" s="447" t="n">
        <v>181.44</v>
      </c>
      <c r="Y6" s="447">
        <f>(X6*'Emission Factor'!$B$34)/1000</f>
        <v/>
      </c>
      <c r="Z6" s="447" t="n">
        <v>45</v>
      </c>
      <c r="AA6" s="447">
        <f>(Z6*'Emission Factor'!$B$35)/1000</f>
        <v/>
      </c>
      <c r="AB6" s="492">
        <f>U6+W6+Y6+AA6</f>
        <v/>
      </c>
      <c r="AC6" s="448">
        <f>C6+E6+H6+J6+L6+N6+P6+R6+U6+W6+AA6+Y6</f>
        <v/>
      </c>
    </row>
    <row r="7" ht="19" customHeight="1">
      <c r="A7" s="446" t="inlineStr">
        <is>
          <t>2024-25</t>
        </is>
      </c>
      <c r="B7" s="491" t="n">
        <v>2538</v>
      </c>
      <c r="C7" s="447">
        <f>B7*'Emission Factor'!$L$7/1000</f>
        <v/>
      </c>
      <c r="D7" s="448">
        <f>'Yearly Towngas (TGU)'!G16</f>
        <v/>
      </c>
      <c r="E7" s="448">
        <f>D7*'Emission Factor'!$L$8/1000</f>
        <v/>
      </c>
      <c r="F7" s="492">
        <f>C7+E7</f>
        <v/>
      </c>
      <c r="G7" s="447" t="n">
        <v>0</v>
      </c>
      <c r="H7" s="447">
        <f>G7*'Emission Factor'!$L$16/1000</f>
        <v/>
      </c>
      <c r="I7" s="447" t="n">
        <v>0</v>
      </c>
      <c r="J7" s="447">
        <f>I7*'Emission Factor'!$L$22/1000</f>
        <v/>
      </c>
      <c r="K7" s="716" t="n">
        <v>12974.05</v>
      </c>
      <c r="L7" s="447">
        <f>K7*'Emission Factor'!$L$22/1000</f>
        <v/>
      </c>
      <c r="M7" s="447" t="n">
        <v>143.275</v>
      </c>
      <c r="N7" s="447">
        <f>M7*'Emission Factor'!$L$27/1000</f>
        <v/>
      </c>
      <c r="O7" s="448" t="n">
        <v>7503.07</v>
      </c>
      <c r="P7" s="447">
        <f>O7*'Emission Factor'!$L$27/1000</f>
        <v/>
      </c>
      <c r="Q7" s="447" t="n">
        <v>0</v>
      </c>
      <c r="R7" s="447">
        <f>Q7*'Emission Factor'!$L$28/1000</f>
        <v/>
      </c>
      <c r="S7" s="492">
        <f>H7+J7+L7+N7+P7+R7</f>
        <v/>
      </c>
      <c r="T7" s="447" t="n">
        <v>0</v>
      </c>
      <c r="U7" s="447">
        <f>(T7*'Emission Factor'!$B$32)/1000</f>
        <v/>
      </c>
      <c r="V7" s="447" t="n">
        <v>4.54</v>
      </c>
      <c r="W7" s="447">
        <f>(V7*'Emission Factor'!$B$33)/1000</f>
        <v/>
      </c>
      <c r="X7" s="447" t="n">
        <v>46.81</v>
      </c>
      <c r="Y7" s="447">
        <f>(X7*'Emission Factor'!$B$34)/1000</f>
        <v/>
      </c>
      <c r="Z7" s="447" t="n">
        <v>0</v>
      </c>
      <c r="AA7" s="447">
        <f>(Z7*'Emission Factor'!$B$35)/1000</f>
        <v/>
      </c>
      <c r="AB7" s="492">
        <f>U7+W7+Y7+AA7</f>
        <v/>
      </c>
      <c r="AC7" s="448">
        <f>C7+E7+H7+J7+L7+N7+P7+R7+U7+W7+AA7+Y7</f>
        <v/>
      </c>
    </row>
    <row r="8">
      <c r="L8" s="504">
        <f>(L7-L6)/L6</f>
        <v/>
      </c>
      <c r="M8" s="504">
        <f>(M7-M6)/M6</f>
        <v/>
      </c>
      <c r="N8" s="504">
        <f>(N7-N6)/N6</f>
        <v/>
      </c>
      <c r="O8" s="504">
        <f>(O7-O6)/O6</f>
        <v/>
      </c>
      <c r="P8" s="504">
        <f>(P7-P6)/P6</f>
        <v/>
      </c>
    </row>
    <row r="9">
      <c r="C9" s="717">
        <f>C7/AC7</f>
        <v/>
      </c>
      <c r="E9" s="717">
        <f>E7/AC7</f>
        <v/>
      </c>
    </row>
    <row r="10">
      <c r="S10" s="717">
        <f>S7/AC7</f>
        <v/>
      </c>
      <c r="AB10" s="717">
        <f>AB7/AC7</f>
        <v/>
      </c>
    </row>
    <row r="18" ht="16.25" customHeight="1"/>
    <row r="19" ht="15" customHeight="1"/>
    <row r="20" ht="15" customHeight="1"/>
    <row r="36" ht="16.25" customHeight="1"/>
  </sheetData>
  <mergeCells count="20">
    <mergeCell ref="A2:A4"/>
    <mergeCell ref="T2:U3"/>
    <mergeCell ref="Z2:AA3"/>
    <mergeCell ref="K2:L3"/>
    <mergeCell ref="F2:F3"/>
    <mergeCell ref="G1:S1"/>
    <mergeCell ref="O2:P3"/>
    <mergeCell ref="Q2:R3"/>
    <mergeCell ref="AB2:AB3"/>
    <mergeCell ref="V2:W3"/>
    <mergeCell ref="X2:Y3"/>
    <mergeCell ref="G2:H3"/>
    <mergeCell ref="I2:J3"/>
    <mergeCell ref="T1:AA1"/>
    <mergeCell ref="AC2:AC3"/>
    <mergeCell ref="B1:E1"/>
    <mergeCell ref="M2:N3"/>
    <mergeCell ref="B2:C3"/>
    <mergeCell ref="D2:E3"/>
    <mergeCell ref="S2:S3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9" sqref="A9"/>
    </sheetView>
  </sheetViews>
  <sheetFormatPr baseColWidth="10" defaultColWidth="11.5" defaultRowHeight="16"/>
  <cols>
    <col width="13" bestFit="1" customWidth="1" style="55" min="1" max="1"/>
    <col width="15.83203125" customWidth="1" style="55" min="2" max="2"/>
    <col width="12.33203125" customWidth="1" style="55" min="3" max="4"/>
    <col width="13" customWidth="1" style="55" min="5" max="5"/>
    <col width="12.33203125" customWidth="1" style="55" min="6" max="9"/>
    <col width="13" customWidth="1" style="55" min="10" max="10"/>
    <col width="12.33203125" customWidth="1" style="55" min="11" max="11"/>
    <col width="14.83203125" customWidth="1" style="55" min="12" max="12"/>
    <col width="20.6640625" customWidth="1" style="55" min="13" max="13"/>
    <col width="13.33203125" bestFit="1" customWidth="1" style="55" min="14" max="14"/>
    <col width="20.6640625" customWidth="1" style="55" min="15" max="15"/>
    <col width="13.33203125" bestFit="1" customWidth="1" style="55" min="16" max="17"/>
    <col width="11.5" customWidth="1" style="55" min="18" max="16384"/>
  </cols>
  <sheetData>
    <row r="1" ht="18" customHeight="1" thickBot="1">
      <c r="A1" s="456" t="n"/>
      <c r="B1" s="643" t="inlineStr">
        <is>
          <t xml:space="preserve">S2 Purchased Electricity </t>
        </is>
      </c>
      <c r="C1" s="718" t="n"/>
      <c r="D1" s="718" t="n"/>
      <c r="E1" s="718" t="n"/>
      <c r="F1" s="718" t="n"/>
      <c r="G1" s="718" t="n"/>
      <c r="H1" s="718" t="n"/>
      <c r="I1" s="718" t="n"/>
      <c r="J1" s="718" t="n"/>
      <c r="K1" s="718" t="n"/>
      <c r="L1" s="718" t="n"/>
      <c r="M1" s="718" t="n"/>
      <c r="N1" s="708" t="n"/>
      <c r="O1" s="719" t="inlineStr">
        <is>
          <t>S2 Purchased Towngas</t>
        </is>
      </c>
      <c r="P1" s="720" t="n"/>
      <c r="Q1" s="449" t="inlineStr">
        <is>
          <t xml:space="preserve">S2 Total </t>
        </is>
      </c>
    </row>
    <row r="2" ht="69" customHeight="1" thickBot="1">
      <c r="A2" s="532" t="n"/>
      <c r="B2" s="533" t="inlineStr">
        <is>
          <t xml:space="preserve">Main Academic Buildings and Others (CO2e) </t>
        </is>
      </c>
      <c r="C2" s="534" t="inlineStr">
        <is>
          <t xml:space="preserve">Main Chiller Plant (CO2e) </t>
        </is>
      </c>
      <c r="D2" s="534" t="inlineStr">
        <is>
          <t xml:space="preserve">LSK Chiller Plant (CO2e) </t>
        </is>
      </c>
      <c r="E2" s="534" t="inlineStr">
        <is>
          <t xml:space="preserve">Cheng Yu Tung Building (CO2e) </t>
        </is>
      </c>
      <c r="F2" s="534" t="inlineStr">
        <is>
          <t xml:space="preserve">LSK Building (CO2e) </t>
        </is>
      </c>
      <c r="G2" s="534" t="inlineStr">
        <is>
          <t xml:space="preserve">IAS Building (CO2e) </t>
        </is>
      </c>
      <c r="H2" s="534" t="inlineStr">
        <is>
          <t xml:space="preserve">Innovation Building (CO2e) </t>
        </is>
      </c>
      <c r="I2" s="534" t="inlineStr">
        <is>
          <t xml:space="preserve">Conference Lodge (CO2e) </t>
        </is>
      </c>
      <c r="J2" s="534" t="inlineStr">
        <is>
          <t xml:space="preserve">Staff Quarter Common Area (CO2e) </t>
        </is>
      </c>
      <c r="K2" s="534" t="inlineStr">
        <is>
          <t xml:space="preserve">Student Housing (CO2e) </t>
        </is>
      </c>
      <c r="L2" s="534" t="inlineStr">
        <is>
          <t xml:space="preserve">Staff Quarters &amp; Commercial Outlet (CO2e) </t>
        </is>
      </c>
      <c r="M2" s="535" t="inlineStr">
        <is>
          <t>Total Amount (KWh)</t>
        </is>
      </c>
      <c r="N2" s="440" t="inlineStr">
        <is>
          <t>CO2e  (tonne)</t>
        </is>
      </c>
      <c r="O2" s="450" t="inlineStr">
        <is>
          <t xml:space="preserve">Amount (Unit)  </t>
        </is>
      </c>
      <c r="P2" s="441" t="inlineStr">
        <is>
          <t>CO2e  (tonne)</t>
        </is>
      </c>
      <c r="Q2" s="454" t="inlineStr">
        <is>
          <t>CO2e  (tonne)</t>
        </is>
      </c>
    </row>
    <row r="3" ht="18" customHeight="1" thickBot="1">
      <c r="A3" s="454" t="inlineStr">
        <is>
          <t>2022-23</t>
        </is>
      </c>
      <c r="B3" s="455">
        <f>49860279.8632136*'Emission Factor (new)'!R39/1000</f>
        <v/>
      </c>
      <c r="C3" s="455">
        <f>16935747.1367864*'Emission Factor (new)'!R39/1000</f>
        <v/>
      </c>
      <c r="D3" s="455">
        <f>1632560*'Emission Factor (new)'!R39/1000</f>
        <v/>
      </c>
      <c r="E3" s="455">
        <f>4412027*'Emission Factor (new)'!R39/1000</f>
        <v/>
      </c>
      <c r="F3" s="455">
        <f>2699255*'Emission Factor (new)'!R39/1000</f>
        <v/>
      </c>
      <c r="G3" s="455">
        <f>654339*'Emission Factor (new)'!R39/1000</f>
        <v/>
      </c>
      <c r="H3" s="455" t="n">
        <v>0</v>
      </c>
      <c r="I3" s="455">
        <f>1222009*'Emission Factor (new)'!R39/1000</f>
        <v/>
      </c>
      <c r="J3" s="455" t="n"/>
      <c r="K3" s="455">
        <f>7872105*'Emission Factor (new)'!R39/1000</f>
        <v/>
      </c>
      <c r="L3" s="455">
        <f>8644016*'Emission Factor (new)'!R39/1000</f>
        <v/>
      </c>
      <c r="M3" s="455" t="n">
        <v>93932338</v>
      </c>
      <c r="N3" s="452">
        <f>M3*'Emission Factor'!$B$39/1000</f>
        <v/>
      </c>
      <c r="O3" s="451" t="n">
        <v>411852.9643953476</v>
      </c>
      <c r="P3" s="451">
        <f>O3*'Emission Factor'!$B$40/1000</f>
        <v/>
      </c>
      <c r="Q3" s="453">
        <f>N3+P3</f>
        <v/>
      </c>
    </row>
    <row r="4" ht="18" customHeight="1" thickBot="1">
      <c r="A4" s="454" t="inlineStr">
        <is>
          <t>2023-24</t>
        </is>
      </c>
      <c r="B4" s="455">
        <f>50540568.68*'Emission Factor (new)'!S39/1000</f>
        <v/>
      </c>
      <c r="C4" s="455">
        <f>17653437.02*'Emission Factor (new)'!S39/1000</f>
        <v/>
      </c>
      <c r="D4" s="455">
        <f>1497696*'Emission Factor (new)'!S39/1000</f>
        <v/>
      </c>
      <c r="E4" s="455">
        <f>4746630*'Emission Factor (new)'!S39/1000</f>
        <v/>
      </c>
      <c r="F4" s="455">
        <f>2713600*'Emission Factor (new)'!S39/1000</f>
        <v/>
      </c>
      <c r="G4" s="455">
        <f>588506*'Emission Factor (new)'!S39/1000</f>
        <v/>
      </c>
      <c r="H4" s="455" t="n">
        <v>0</v>
      </c>
      <c r="I4" s="455">
        <f>1478893*'Emission Factor (new)'!S39/1000</f>
        <v/>
      </c>
      <c r="J4" s="455" t="n"/>
      <c r="K4" s="455">
        <f>8307594*'Emission Factor (new)'!S39/1000</f>
        <v/>
      </c>
      <c r="L4" s="455">
        <f>9182416*'Emission Factor (new)'!S39/1000</f>
        <v/>
      </c>
      <c r="M4" s="455" t="n">
        <v>96709341</v>
      </c>
      <c r="N4" s="452">
        <f>M4*'Emission Factor'!$B$39/1000</f>
        <v/>
      </c>
      <c r="O4" s="451" t="n">
        <v>436970</v>
      </c>
      <c r="P4" s="451">
        <f>O4*'Emission Factor'!$B$40/1000</f>
        <v/>
      </c>
      <c r="Q4" s="451">
        <f>N4+P4</f>
        <v/>
      </c>
    </row>
    <row r="5" ht="18" customHeight="1" thickBot="1">
      <c r="A5" s="454" t="inlineStr">
        <is>
          <t>2024-25</t>
        </is>
      </c>
      <c r="B5" s="455">
        <f>55859834.7*'Emission Factor (new)'!T39/1000</f>
        <v/>
      </c>
      <c r="C5" s="455">
        <f>17987597.3*'Emission Factor (new)'!T39/1000</f>
        <v/>
      </c>
      <c r="D5" s="455">
        <f>1344476*'Emission Factor (new)'!T39/1000</f>
        <v/>
      </c>
      <c r="E5" s="455">
        <f>4931340*'Emission Factor (new)'!T39/1000</f>
        <v/>
      </c>
      <c r="F5" s="455">
        <f>2904600*'Emission Factor (new)'!T39/1000</f>
        <v/>
      </c>
      <c r="G5" s="455">
        <f>597167*'Emission Factor (new)'!T39/1000</f>
        <v/>
      </c>
      <c r="H5" s="455" t="n">
        <v>0</v>
      </c>
      <c r="I5" s="455">
        <f>1386485*'Emission Factor (new)'!T39/1000</f>
        <v/>
      </c>
      <c r="J5" s="455">
        <f>818470*'Emission Factor (new)'!T39/1000</f>
        <v/>
      </c>
      <c r="K5" s="455">
        <f>9591556*'Emission Factor (new)'!T39/1000</f>
        <v/>
      </c>
      <c r="L5" s="455">
        <f>9816543*'Emission Factor (new)'!T39/1000</f>
        <v/>
      </c>
      <c r="M5" s="455">
        <f>'Yearly Electricity Reformatted'!Q13</f>
        <v/>
      </c>
      <c r="N5" s="452">
        <f>M5*'Emission Factor (new)'!B39/1000</f>
        <v/>
      </c>
      <c r="O5" s="451">
        <f>'Yearly Towngas (TGU)'!G16</f>
        <v/>
      </c>
      <c r="P5" s="451">
        <f>O5*'Emission Factor (new)'!B40/1000</f>
        <v/>
      </c>
      <c r="Q5" s="451">
        <f>N5+P5</f>
        <v/>
      </c>
    </row>
    <row r="6">
      <c r="M6" s="56" t="n"/>
    </row>
    <row r="7">
      <c r="B7" s="244" t="n"/>
      <c r="M7" s="244" t="n"/>
      <c r="N7" s="244" t="n"/>
      <c r="O7" s="244" t="n"/>
      <c r="P7" s="244" t="n"/>
      <c r="Q7" s="244" t="n"/>
    </row>
    <row r="8">
      <c r="B8" s="244" t="n"/>
      <c r="M8" s="244" t="n"/>
      <c r="N8" s="721">
        <f>N5/Q5</f>
        <v/>
      </c>
      <c r="P8" s="722">
        <f>P5/Q5</f>
        <v/>
      </c>
    </row>
    <row r="9">
      <c r="B9" s="244" t="n"/>
      <c r="J9" s="56" t="n"/>
      <c r="M9" s="244" t="n"/>
      <c r="N9" s="244" t="n"/>
    </row>
    <row r="10">
      <c r="B10" s="56" t="n"/>
      <c r="M10" s="351" t="n"/>
    </row>
    <row r="11">
      <c r="M11" s="351" t="n"/>
    </row>
    <row r="12">
      <c r="M12" s="244" t="n"/>
    </row>
    <row r="14">
      <c r="M14" s="244" t="n"/>
    </row>
  </sheetData>
  <mergeCells count="2">
    <mergeCell ref="B1:N1"/>
    <mergeCell ref="O1:P1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B43" sqref="B43"/>
    </sheetView>
  </sheetViews>
  <sheetFormatPr baseColWidth="10" defaultColWidth="11.5" defaultRowHeight="16"/>
  <cols>
    <col width="11.5" customWidth="1" style="1" min="1" max="1"/>
    <col width="12.1640625" bestFit="1" customWidth="1" style="1" min="2" max="2"/>
    <col width="11.5" customWidth="1" style="1" min="3" max="3"/>
    <col width="15.83203125" customWidth="1" style="1" min="4" max="4"/>
    <col width="15.6640625" customWidth="1" style="1" min="5" max="5"/>
    <col width="24" bestFit="1" customWidth="1" style="1" min="6" max="6"/>
    <col width="23.6640625" bestFit="1" customWidth="1" style="1" min="7" max="7"/>
    <col width="11.5" customWidth="1" style="1" min="8" max="16384"/>
  </cols>
  <sheetData>
    <row r="1" ht="17" customHeight="1" thickBot="1">
      <c r="A1" s="458" t="n"/>
      <c r="B1" s="646" t="inlineStr">
        <is>
          <t>S3 Fresh Water and Sewage</t>
        </is>
      </c>
      <c r="C1" s="723" t="n"/>
      <c r="D1" s="723" t="n"/>
      <c r="E1" s="723" t="n"/>
      <c r="F1" s="648" t="inlineStr">
        <is>
          <t>S3 Paper Waste</t>
        </is>
      </c>
      <c r="G1" s="723" t="n"/>
      <c r="H1" s="724" t="n"/>
      <c r="I1" s="239" t="inlineStr">
        <is>
          <t xml:space="preserve">S3 Total </t>
        </is>
      </c>
    </row>
    <row r="2">
      <c r="A2" s="649" t="n"/>
      <c r="B2" s="725" t="inlineStr">
        <is>
          <t>Fresh Water Processing</t>
        </is>
      </c>
      <c r="C2" s="726" t="n"/>
      <c r="D2" s="655" t="inlineStr">
        <is>
          <t>Sewage Water Processing</t>
        </is>
      </c>
      <c r="E2" s="657" t="inlineStr">
        <is>
          <t>S3 Fresh Water and Sewage</t>
        </is>
      </c>
      <c r="F2" s="651" t="inlineStr">
        <is>
          <t>Paper Waste Disposed</t>
        </is>
      </c>
      <c r="G2" s="659" t="inlineStr">
        <is>
          <t>Paper Waste Recycled</t>
        </is>
      </c>
      <c r="H2" s="661" t="inlineStr">
        <is>
          <t>S3 Paper Waste</t>
        </is>
      </c>
      <c r="I2" s="644" t="n"/>
    </row>
    <row r="3" ht="17" customHeight="1" thickBot="1">
      <c r="A3" s="711" t="n"/>
      <c r="B3" s="727" t="n"/>
      <c r="C3" s="728" t="n"/>
      <c r="D3" s="729" t="n"/>
      <c r="E3" s="730" t="n"/>
      <c r="F3" s="727" t="n"/>
      <c r="H3" s="729" t="n"/>
      <c r="I3" s="730" t="n"/>
    </row>
    <row r="4" ht="35" customHeight="1" thickBot="1">
      <c r="A4" s="711" t="n"/>
      <c r="B4" s="464" t="inlineStr">
        <is>
          <t>m3</t>
        </is>
      </c>
      <c r="C4" s="465" t="inlineStr">
        <is>
          <t>CO2e  (tonne)</t>
        </is>
      </c>
      <c r="D4" s="466" t="inlineStr">
        <is>
          <t>CO2e  (tonne)</t>
        </is>
      </c>
      <c r="E4" s="467" t="n"/>
      <c r="F4" s="468" t="inlineStr">
        <is>
          <t>kg</t>
        </is>
      </c>
      <c r="G4" s="469" t="inlineStr">
        <is>
          <t>kg</t>
        </is>
      </c>
      <c r="H4" s="470" t="inlineStr">
        <is>
          <t>CO2e  (tonne)</t>
        </is>
      </c>
      <c r="I4" s="454" t="inlineStr">
        <is>
          <t>CO2e  (tonne)</t>
        </is>
      </c>
    </row>
    <row r="5" hidden="1">
      <c r="A5" s="474" t="inlineStr">
        <is>
          <t>Jul</t>
        </is>
      </c>
      <c r="B5" s="471" t="n"/>
      <c r="C5" s="453">
        <f>B5*'Emission Factor'!$B$45/1000</f>
        <v/>
      </c>
      <c r="D5" s="453">
        <f>B5*'Emission Factor'!$B$46/1000</f>
        <v/>
      </c>
      <c r="E5" s="462">
        <f>C5+D5</f>
        <v/>
      </c>
      <c r="F5" s="457">
        <f>'Monthly Paper Distribution'!P144</f>
        <v/>
      </c>
      <c r="G5" s="457" t="n">
        <v>10655</v>
      </c>
      <c r="H5" s="462">
        <f>((F5-G5)*4.8)/1000</f>
        <v/>
      </c>
      <c r="I5" s="463">
        <f>C5+D5+H5</f>
        <v/>
      </c>
    </row>
    <row r="6" hidden="1">
      <c r="A6" s="475" t="inlineStr">
        <is>
          <t>Aug</t>
        </is>
      </c>
      <c r="B6" s="472" t="n"/>
      <c r="C6" s="451">
        <f>B6*'Emission Factor'!$B$45/1000</f>
        <v/>
      </c>
      <c r="D6" s="451">
        <f>B6*'Emission Factor'!$B$46/1000</f>
        <v/>
      </c>
      <c r="E6" s="459">
        <f>C6+D6</f>
        <v/>
      </c>
      <c r="F6" s="460">
        <f>'Monthly Paper Distribution'!P145</f>
        <v/>
      </c>
      <c r="G6" s="460" t="n">
        <v>11619</v>
      </c>
      <c r="H6" s="459">
        <f>((F6-G6)*4.8)/1000</f>
        <v/>
      </c>
      <c r="I6" s="346">
        <f>C6+D6+H6</f>
        <v/>
      </c>
    </row>
    <row r="7" hidden="1">
      <c r="A7" s="475" t="inlineStr">
        <is>
          <t>Sep</t>
        </is>
      </c>
      <c r="B7" s="472" t="n"/>
      <c r="C7" s="451">
        <f>B7*'Emission Factor'!$B$45/1000</f>
        <v/>
      </c>
      <c r="D7" s="451">
        <f>B7*'Emission Factor'!$B$46/1000</f>
        <v/>
      </c>
      <c r="E7" s="459">
        <f>C7+D7</f>
        <v/>
      </c>
      <c r="F7" s="460">
        <f>'Monthly Paper Distribution'!P146</f>
        <v/>
      </c>
      <c r="G7" s="460" t="n">
        <v>13120</v>
      </c>
      <c r="H7" s="459">
        <f>((F7-G7)*4.8)/1000</f>
        <v/>
      </c>
      <c r="I7" s="346">
        <f>C7+D7+H7</f>
        <v/>
      </c>
    </row>
    <row r="8" hidden="1">
      <c r="A8" s="475" t="inlineStr">
        <is>
          <t>Oct</t>
        </is>
      </c>
      <c r="B8" s="472" t="n"/>
      <c r="C8" s="451">
        <f>B8*'Emission Factor'!$B$45/1000</f>
        <v/>
      </c>
      <c r="D8" s="451">
        <f>B8*'Emission Factor'!$B$46/1000</f>
        <v/>
      </c>
      <c r="E8" s="459">
        <f>C8+D8</f>
        <v/>
      </c>
      <c r="F8" s="460">
        <f>'Monthly Paper Distribution'!P147</f>
        <v/>
      </c>
      <c r="G8" s="460" t="n">
        <v>13030</v>
      </c>
      <c r="H8" s="459">
        <f>((F8-G8)*4.8)/1000</f>
        <v/>
      </c>
      <c r="I8" s="346">
        <f>C8+D8+H8</f>
        <v/>
      </c>
    </row>
    <row r="9" hidden="1">
      <c r="A9" s="475" t="inlineStr">
        <is>
          <t>Nov</t>
        </is>
      </c>
      <c r="B9" s="472" t="n"/>
      <c r="C9" s="451">
        <f>B9*'Emission Factor'!$B$45/1000</f>
        <v/>
      </c>
      <c r="D9" s="451">
        <f>B9*'Emission Factor'!$B$46/1000</f>
        <v/>
      </c>
      <c r="E9" s="459">
        <f>C9+D9</f>
        <v/>
      </c>
      <c r="F9" s="460">
        <f>'Monthly Paper Distribution'!P148</f>
        <v/>
      </c>
      <c r="G9" s="460" t="n">
        <v>12168</v>
      </c>
      <c r="H9" s="459">
        <f>((F9-G9)*4.8)/1000</f>
        <v/>
      </c>
      <c r="I9" s="346">
        <f>C9+D9+H9</f>
        <v/>
      </c>
    </row>
    <row r="10" hidden="1">
      <c r="A10" s="475" t="inlineStr">
        <is>
          <t>Dec</t>
        </is>
      </c>
      <c r="B10" s="472" t="n"/>
      <c r="C10" s="451">
        <f>B10*'Emission Factor'!$B$45/1000</f>
        <v/>
      </c>
      <c r="D10" s="451">
        <f>B10*'Emission Factor'!$B$46/1000</f>
        <v/>
      </c>
      <c r="E10" s="459">
        <f>C10+D10</f>
        <v/>
      </c>
      <c r="F10" s="460">
        <f>'Monthly Paper Distribution'!P149</f>
        <v/>
      </c>
      <c r="G10" s="460" t="n">
        <v>12209</v>
      </c>
      <c r="H10" s="459">
        <f>((F10-G10)*4.8)/1000</f>
        <v/>
      </c>
      <c r="I10" s="346">
        <f>C10+D10+H10</f>
        <v/>
      </c>
    </row>
    <row r="11" hidden="1">
      <c r="A11" s="475" t="inlineStr">
        <is>
          <t>Jan</t>
        </is>
      </c>
      <c r="B11" s="472" t="n"/>
      <c r="C11" s="451">
        <f>B11*'Emission Factor'!$B$45/1000</f>
        <v/>
      </c>
      <c r="D11" s="451">
        <f>B11*'Emission Factor'!$B$46/1000</f>
        <v/>
      </c>
      <c r="E11" s="459">
        <f>C11+D11</f>
        <v/>
      </c>
      <c r="F11" s="460">
        <f>'Monthly Paper Distribution'!P150</f>
        <v/>
      </c>
      <c r="G11" s="460" t="n">
        <v>9418</v>
      </c>
      <c r="H11" s="459">
        <f>((F11-G11)*4.8)/1000</f>
        <v/>
      </c>
      <c r="I11" s="346">
        <f>C11+D11+H11</f>
        <v/>
      </c>
    </row>
    <row r="12" hidden="1">
      <c r="A12" s="475" t="inlineStr">
        <is>
          <t>Feb</t>
        </is>
      </c>
      <c r="B12" s="472" t="n"/>
      <c r="C12" s="451">
        <f>B12*'Emission Factor'!$B$45/1000</f>
        <v/>
      </c>
      <c r="D12" s="451">
        <f>B12*'Emission Factor'!$B$46/1000</f>
        <v/>
      </c>
      <c r="E12" s="459">
        <f>C12+D12</f>
        <v/>
      </c>
      <c r="F12" s="460">
        <f>'Monthly Paper Distribution'!P151</f>
        <v/>
      </c>
      <c r="G12" s="460" t="n">
        <v>10379</v>
      </c>
      <c r="H12" s="459">
        <f>((F12-G12)*4.8)/1000</f>
        <v/>
      </c>
      <c r="I12" s="346">
        <f>C12+D12+H12</f>
        <v/>
      </c>
    </row>
    <row r="13" hidden="1">
      <c r="A13" s="475" t="inlineStr">
        <is>
          <t>Mar</t>
        </is>
      </c>
      <c r="B13" s="472" t="n"/>
      <c r="C13" s="451">
        <f>B13*'Emission Factor'!$B$45/1000</f>
        <v/>
      </c>
      <c r="D13" s="451">
        <f>B13*'Emission Factor'!$B$46/1000</f>
        <v/>
      </c>
      <c r="E13" s="459">
        <f>C13+D13</f>
        <v/>
      </c>
      <c r="F13" s="460">
        <f>'Monthly Paper Distribution'!P152</f>
        <v/>
      </c>
      <c r="G13" s="460" t="n">
        <v>11198</v>
      </c>
      <c r="H13" s="459">
        <f>((F13-G13)*4.8)/1000</f>
        <v/>
      </c>
      <c r="I13" s="346">
        <f>C13+D13+H13</f>
        <v/>
      </c>
    </row>
    <row r="14" hidden="1">
      <c r="A14" s="475" t="inlineStr">
        <is>
          <t>Apr</t>
        </is>
      </c>
      <c r="B14" s="472" t="n"/>
      <c r="C14" s="451">
        <f>B14*'Emission Factor'!$B$45/1000</f>
        <v/>
      </c>
      <c r="D14" s="451">
        <f>B14*'Emission Factor'!$B$46/1000</f>
        <v/>
      </c>
      <c r="E14" s="459">
        <f>C14+D14</f>
        <v/>
      </c>
      <c r="F14" s="460">
        <f>'Monthly Paper Distribution'!P153</f>
        <v/>
      </c>
      <c r="G14" s="460" t="n">
        <v>10871</v>
      </c>
      <c r="H14" s="459">
        <f>((F14-G14)*4.8)/1000</f>
        <v/>
      </c>
      <c r="I14" s="346">
        <f>C14+D14+H14</f>
        <v/>
      </c>
    </row>
    <row r="15" hidden="1">
      <c r="A15" s="475" t="inlineStr">
        <is>
          <t>May</t>
        </is>
      </c>
      <c r="B15" s="472" t="n"/>
      <c r="C15" s="451">
        <f>B15*'Emission Factor'!$B$45/1000</f>
        <v/>
      </c>
      <c r="D15" s="451">
        <f>B15*'Emission Factor'!$B$46/1000</f>
        <v/>
      </c>
      <c r="E15" s="459">
        <f>C15+D15</f>
        <v/>
      </c>
      <c r="F15" s="460">
        <f>'Monthly Paper Distribution'!P154</f>
        <v/>
      </c>
      <c r="G15" s="460" t="n">
        <v>10533</v>
      </c>
      <c r="H15" s="459">
        <f>((F15-G15)*4.8)/1000</f>
        <v/>
      </c>
      <c r="I15" s="346">
        <f>C15+D15+H15</f>
        <v/>
      </c>
    </row>
    <row r="16" hidden="1" ht="17" customHeight="1" thickBot="1">
      <c r="A16" s="475" t="inlineStr">
        <is>
          <t>Jun</t>
        </is>
      </c>
      <c r="B16" s="472">
        <f>'Annual Report (Water)'!J11</f>
        <v/>
      </c>
      <c r="C16" s="451">
        <f>B16*'Emission Factor'!$B$45/1000</f>
        <v/>
      </c>
      <c r="D16" s="451">
        <f>B16*'Emission Factor'!$B$46/1000</f>
        <v/>
      </c>
      <c r="E16" s="459">
        <f>C16+D16</f>
        <v/>
      </c>
      <c r="F16" s="460">
        <f>'Monthly Paper Distribution'!P155</f>
        <v/>
      </c>
      <c r="G16" s="461" t="n">
        <v>10392</v>
      </c>
      <c r="H16" s="459">
        <f>((F16-G16)*4.8)/1000</f>
        <v/>
      </c>
      <c r="I16" s="346">
        <f>C16+D16+H16</f>
        <v/>
      </c>
    </row>
    <row r="17" ht="17" customHeight="1" thickBot="1">
      <c r="A17" s="476" t="inlineStr">
        <is>
          <t>2022-23</t>
        </is>
      </c>
      <c r="B17" s="473">
        <f>'Annual Report (Water)'!J11</f>
        <v/>
      </c>
      <c r="C17" s="451">
        <f>B17*'Emission Factor'!$B$45/1000</f>
        <v/>
      </c>
      <c r="D17" s="451">
        <f>B17*'Emission Factor'!$B$46/1000</f>
        <v/>
      </c>
      <c r="E17" s="451">
        <f>C17+D17</f>
        <v/>
      </c>
      <c r="F17" s="451">
        <f>SUM(F5:F16)</f>
        <v/>
      </c>
      <c r="G17" s="451">
        <f>SUM(G5:G16)</f>
        <v/>
      </c>
      <c r="H17" s="451">
        <f>SUM(H5:H16)</f>
        <v/>
      </c>
      <c r="I17" s="451">
        <f>SUM(I5:I16)</f>
        <v/>
      </c>
    </row>
    <row r="18" hidden="1">
      <c r="A18" s="475" t="inlineStr">
        <is>
          <t>Jul</t>
        </is>
      </c>
      <c r="B18" s="472" t="n"/>
      <c r="C18" s="451">
        <f>B18*'Emission Factor'!$B$45/1000</f>
        <v/>
      </c>
      <c r="D18" s="451">
        <f>B18*'Emission Factor'!$B$46/1000</f>
        <v/>
      </c>
      <c r="E18" s="451">
        <f>C18+D18</f>
        <v/>
      </c>
      <c r="F18" s="460">
        <f>'Monthly Paper Distribution'!P156</f>
        <v/>
      </c>
      <c r="G18" s="460">
        <f>'Raw Data (KG)'!E122</f>
        <v/>
      </c>
      <c r="H18" s="451">
        <f>((F18-G18)*4.8)/1000</f>
        <v/>
      </c>
      <c r="I18" s="346">
        <f>C18+D18+H18</f>
        <v/>
      </c>
    </row>
    <row r="19" hidden="1">
      <c r="A19" s="475" t="inlineStr">
        <is>
          <t>Aug</t>
        </is>
      </c>
      <c r="B19" s="472" t="n"/>
      <c r="C19" s="451">
        <f>B19*'Emission Factor'!$B$45/1000</f>
        <v/>
      </c>
      <c r="D19" s="451">
        <f>B19*'Emission Factor'!$B$46/1000</f>
        <v/>
      </c>
      <c r="E19" s="451">
        <f>C19+D19</f>
        <v/>
      </c>
      <c r="F19" s="460">
        <f>'Monthly Paper Distribution'!P157</f>
        <v/>
      </c>
      <c r="G19" s="460">
        <f>'Raw Data (KG)'!E123</f>
        <v/>
      </c>
      <c r="H19" s="451">
        <f>((F19-G19)*4.8)/1000</f>
        <v/>
      </c>
      <c r="I19" s="346">
        <f>C19+D19+H19</f>
        <v/>
      </c>
    </row>
    <row r="20" hidden="1">
      <c r="A20" s="475" t="inlineStr">
        <is>
          <t>Sep</t>
        </is>
      </c>
      <c r="B20" s="472" t="n"/>
      <c r="C20" s="451">
        <f>B20*'Emission Factor'!$B$45/1000</f>
        <v/>
      </c>
      <c r="D20" s="451">
        <f>B20*'Emission Factor'!$B$46/1000</f>
        <v/>
      </c>
      <c r="E20" s="451">
        <f>C20+D20</f>
        <v/>
      </c>
      <c r="F20" s="460">
        <f>'Monthly Paper Distribution'!P158</f>
        <v/>
      </c>
      <c r="G20" s="460">
        <f>'Raw Data (KG)'!E124</f>
        <v/>
      </c>
      <c r="H20" s="451">
        <f>((F20-G20)*4.8)/1000</f>
        <v/>
      </c>
      <c r="I20" s="346">
        <f>C20+D20+H20</f>
        <v/>
      </c>
    </row>
    <row r="21" hidden="1">
      <c r="A21" s="475" t="inlineStr">
        <is>
          <t>Oct</t>
        </is>
      </c>
      <c r="B21" s="472" t="n"/>
      <c r="C21" s="451">
        <f>B21*'Emission Factor'!$B$45/1000</f>
        <v/>
      </c>
      <c r="D21" s="451">
        <f>B21*'Emission Factor'!$B$46/1000</f>
        <v/>
      </c>
      <c r="E21" s="451">
        <f>C21+D21</f>
        <v/>
      </c>
      <c r="F21" s="460">
        <f>'Monthly Paper Distribution'!P159</f>
        <v/>
      </c>
      <c r="G21" s="460">
        <f>'Raw Data (KG)'!E125</f>
        <v/>
      </c>
      <c r="H21" s="451">
        <f>((F21-G21)*4.8)/1000</f>
        <v/>
      </c>
      <c r="I21" s="346">
        <f>C21+D21+H21</f>
        <v/>
      </c>
    </row>
    <row r="22" hidden="1">
      <c r="A22" s="475" t="inlineStr">
        <is>
          <t>Nov</t>
        </is>
      </c>
      <c r="B22" s="472" t="n"/>
      <c r="C22" s="451">
        <f>B22*'Emission Factor'!$B$45/1000</f>
        <v/>
      </c>
      <c r="D22" s="451">
        <f>B22*'Emission Factor'!$B$46/1000</f>
        <v/>
      </c>
      <c r="E22" s="451">
        <f>C22+D22</f>
        <v/>
      </c>
      <c r="F22" s="460">
        <f>'Monthly Paper Distribution'!P160</f>
        <v/>
      </c>
      <c r="G22" s="460">
        <f>'Raw Data (KG)'!E126</f>
        <v/>
      </c>
      <c r="H22" s="451">
        <f>((F22-G22)*4.8)/1000</f>
        <v/>
      </c>
      <c r="I22" s="346">
        <f>C22+D22+H22</f>
        <v/>
      </c>
    </row>
    <row r="23" hidden="1">
      <c r="A23" s="475" t="inlineStr">
        <is>
          <t>Dec</t>
        </is>
      </c>
      <c r="B23" s="472" t="n"/>
      <c r="C23" s="451">
        <f>B23*'Emission Factor'!$B$45/1000</f>
        <v/>
      </c>
      <c r="D23" s="451">
        <f>B23*'Emission Factor'!$B$46/1000</f>
        <v/>
      </c>
      <c r="E23" s="451">
        <f>C23+D23</f>
        <v/>
      </c>
      <c r="F23" s="460">
        <f>'Monthly Paper Distribution'!P161</f>
        <v/>
      </c>
      <c r="G23" s="460">
        <f>'Raw Data (KG)'!E127</f>
        <v/>
      </c>
      <c r="H23" s="451">
        <f>((F23-G23)*4.8)/1000</f>
        <v/>
      </c>
      <c r="I23" s="346">
        <f>C23+D23+H23</f>
        <v/>
      </c>
    </row>
    <row r="24" hidden="1">
      <c r="A24" s="475" t="inlineStr">
        <is>
          <t>Jan</t>
        </is>
      </c>
      <c r="B24" s="472" t="n"/>
      <c r="C24" s="451">
        <f>B24*'Emission Factor'!$B$45/1000</f>
        <v/>
      </c>
      <c r="D24" s="451">
        <f>B24*'Emission Factor'!$B$46/1000</f>
        <v/>
      </c>
      <c r="E24" s="451">
        <f>C24+D24</f>
        <v/>
      </c>
      <c r="F24" s="460">
        <f>'Monthly Paper Distribution'!P162</f>
        <v/>
      </c>
      <c r="G24" s="460">
        <f>'Raw Data (KG)'!E128</f>
        <v/>
      </c>
      <c r="H24" s="451">
        <f>((F24-G24)*4.8)/1000</f>
        <v/>
      </c>
      <c r="I24" s="346">
        <f>C24+D24+H24</f>
        <v/>
      </c>
    </row>
    <row r="25" hidden="1">
      <c r="A25" s="475" t="inlineStr">
        <is>
          <t>Feb</t>
        </is>
      </c>
      <c r="B25" s="472" t="n"/>
      <c r="C25" s="451">
        <f>B25*'Emission Factor'!$B$45/1000</f>
        <v/>
      </c>
      <c r="D25" s="451">
        <f>B25*'Emission Factor'!$B$46/1000</f>
        <v/>
      </c>
      <c r="E25" s="451">
        <f>C25+D25</f>
        <v/>
      </c>
      <c r="F25" s="460">
        <f>'Monthly Paper Distribution'!P163</f>
        <v/>
      </c>
      <c r="G25" s="460">
        <f>'Raw Data (KG)'!E129</f>
        <v/>
      </c>
      <c r="H25" s="451">
        <f>((F25-G25)*4.8)/1000</f>
        <v/>
      </c>
      <c r="I25" s="346">
        <f>C25+D25+H25</f>
        <v/>
      </c>
    </row>
    <row r="26" hidden="1">
      <c r="A26" s="475" t="inlineStr">
        <is>
          <t>Mar</t>
        </is>
      </c>
      <c r="B26" s="472" t="n"/>
      <c r="C26" s="451">
        <f>B26*'Emission Factor'!$B$45/1000</f>
        <v/>
      </c>
      <c r="D26" s="451">
        <f>B26*'Emission Factor'!$B$46/1000</f>
        <v/>
      </c>
      <c r="E26" s="451">
        <f>C26+D26</f>
        <v/>
      </c>
      <c r="F26" s="460">
        <f>'Monthly Paper Distribution'!P164</f>
        <v/>
      </c>
      <c r="G26" s="460">
        <f>'Raw Data (KG)'!E130</f>
        <v/>
      </c>
      <c r="H26" s="451">
        <f>((F26-G26)*4.8)/1000</f>
        <v/>
      </c>
      <c r="I26" s="346">
        <f>C26+D26+H26</f>
        <v/>
      </c>
    </row>
    <row r="27" hidden="1">
      <c r="A27" s="475" t="inlineStr">
        <is>
          <t>Apr</t>
        </is>
      </c>
      <c r="B27" s="472" t="n"/>
      <c r="C27" s="451">
        <f>B27*'Emission Factor'!$B$45/1000</f>
        <v/>
      </c>
      <c r="D27" s="451">
        <f>B27*'Emission Factor'!$B$46/1000</f>
        <v/>
      </c>
      <c r="E27" s="451">
        <f>C27+D27</f>
        <v/>
      </c>
      <c r="F27" s="460">
        <f>'Monthly Paper Distribution'!P165</f>
        <v/>
      </c>
      <c r="G27" s="460">
        <f>'Raw Data (KG)'!E131</f>
        <v/>
      </c>
      <c r="H27" s="451">
        <f>((F27-G27)*4.8)/1000</f>
        <v/>
      </c>
      <c r="I27" s="346">
        <f>C27+D27+H27</f>
        <v/>
      </c>
    </row>
    <row r="28" hidden="1">
      <c r="A28" s="475" t="inlineStr">
        <is>
          <t>May</t>
        </is>
      </c>
      <c r="B28" s="472" t="n"/>
      <c r="C28" s="451">
        <f>B28*'Emission Factor'!$B$45/1000</f>
        <v/>
      </c>
      <c r="D28" s="451">
        <f>B28*'Emission Factor'!$B$46/1000</f>
        <v/>
      </c>
      <c r="E28" s="451">
        <f>C28+D28</f>
        <v/>
      </c>
      <c r="F28" s="460">
        <f>'Monthly Paper Distribution'!P166</f>
        <v/>
      </c>
      <c r="G28" s="460">
        <f>'Raw Data (KG)'!E132</f>
        <v/>
      </c>
      <c r="H28" s="451">
        <f>((F28-G28)*4.8)/1000</f>
        <v/>
      </c>
      <c r="I28" s="346">
        <f>C28+D28+H28</f>
        <v/>
      </c>
    </row>
    <row r="29" hidden="1" ht="17" customHeight="1" thickBot="1">
      <c r="A29" s="475" t="inlineStr">
        <is>
          <t>Jun</t>
        </is>
      </c>
      <c r="B29" s="472">
        <f>'Annual Report (Water)'!J12</f>
        <v/>
      </c>
      <c r="C29" s="451">
        <f>B29*'Emission Factor'!$B$45/1000</f>
        <v/>
      </c>
      <c r="D29" s="451">
        <f>B29*'Emission Factor'!$B$46/1000</f>
        <v/>
      </c>
      <c r="E29" s="451">
        <f>C29+D29</f>
        <v/>
      </c>
      <c r="F29" s="460">
        <f>'Monthly Paper Distribution'!P167</f>
        <v/>
      </c>
      <c r="G29" s="460">
        <f>'Raw Data (KG)'!E133</f>
        <v/>
      </c>
      <c r="H29" s="451">
        <f>((F29-G29)*4.8)/1000</f>
        <v/>
      </c>
      <c r="I29" s="346">
        <f>C29+D29+H29</f>
        <v/>
      </c>
    </row>
    <row r="30" ht="17" customHeight="1" thickBot="1">
      <c r="A30" s="476" t="inlineStr">
        <is>
          <t>2023-24</t>
        </is>
      </c>
      <c r="B30" s="473">
        <f>'Annual Report (Water)'!J12</f>
        <v/>
      </c>
      <c r="C30" s="451">
        <f>B30*'Emission Factor'!$B$45/1000</f>
        <v/>
      </c>
      <c r="D30" s="451">
        <f>B30*'Emission Factor'!$B$46/1000</f>
        <v/>
      </c>
      <c r="E30" s="451">
        <f>C30+D30</f>
        <v/>
      </c>
      <c r="F30" s="451">
        <f>SUM(F18:F29)</f>
        <v/>
      </c>
      <c r="G30" s="451">
        <f>SUM(G18:G29)</f>
        <v/>
      </c>
      <c r="H30" s="451">
        <f>SUM(H18:H29)</f>
        <v/>
      </c>
      <c r="I30" s="451">
        <f>SUM(I18:I29)</f>
        <v/>
      </c>
    </row>
    <row r="31" hidden="1">
      <c r="A31" s="475" t="inlineStr">
        <is>
          <t>Jul</t>
        </is>
      </c>
      <c r="B31" s="472" t="n"/>
      <c r="C31" s="451">
        <f>B31*'Emission Factor'!$B$45/1000</f>
        <v/>
      </c>
      <c r="D31" s="451">
        <f>B31*'Emission Factor'!$B$46/1000</f>
        <v/>
      </c>
      <c r="E31" s="451">
        <f>C31+D31</f>
        <v/>
      </c>
      <c r="F31" s="460">
        <f>'Monthly Paper Distribution'!P168</f>
        <v/>
      </c>
      <c r="G31" s="460">
        <f>'Raw Data (KG)'!E134</f>
        <v/>
      </c>
      <c r="H31" s="451">
        <f>((F31-G31)*4.8)/1000</f>
        <v/>
      </c>
      <c r="I31" s="346">
        <f>C31+D31+H31</f>
        <v/>
      </c>
    </row>
    <row r="32" hidden="1">
      <c r="A32" s="475" t="inlineStr">
        <is>
          <t>Aug</t>
        </is>
      </c>
      <c r="B32" s="472" t="n"/>
      <c r="C32" s="451">
        <f>B32*'Emission Factor'!$B$45/1000</f>
        <v/>
      </c>
      <c r="D32" s="451">
        <f>B32*'Emission Factor'!$B$46/1000</f>
        <v/>
      </c>
      <c r="E32" s="451">
        <f>C32+D32</f>
        <v/>
      </c>
      <c r="F32" s="460">
        <f>'Monthly Paper Distribution'!P169</f>
        <v/>
      </c>
      <c r="G32" s="460">
        <f>'Raw Data (KG)'!E135</f>
        <v/>
      </c>
      <c r="H32" s="451">
        <f>((F32-G32)*4.8)/1000</f>
        <v/>
      </c>
      <c r="I32" s="346">
        <f>C32+D32+H32</f>
        <v/>
      </c>
    </row>
    <row r="33" hidden="1">
      <c r="A33" s="475" t="inlineStr">
        <is>
          <t>Sep</t>
        </is>
      </c>
      <c r="B33" s="472" t="n"/>
      <c r="C33" s="451">
        <f>B33*'Emission Factor'!$B$45/1000</f>
        <v/>
      </c>
      <c r="D33" s="451">
        <f>B33*'Emission Factor'!$B$46/1000</f>
        <v/>
      </c>
      <c r="E33" s="451">
        <f>C33+D33</f>
        <v/>
      </c>
      <c r="F33" s="460">
        <f>'Monthly Paper Distribution'!P170</f>
        <v/>
      </c>
      <c r="G33" s="460">
        <f>'Raw Data (KG)'!E136</f>
        <v/>
      </c>
      <c r="H33" s="451">
        <f>((F33-G33)*4.8)/1000</f>
        <v/>
      </c>
      <c r="I33" s="346">
        <f>C33+D33+H33</f>
        <v/>
      </c>
    </row>
    <row r="34" hidden="1">
      <c r="A34" s="475" t="inlineStr">
        <is>
          <t>Oct</t>
        </is>
      </c>
      <c r="B34" s="472" t="n"/>
      <c r="C34" s="451">
        <f>B34*'Emission Factor'!$B$45/1000</f>
        <v/>
      </c>
      <c r="D34" s="451">
        <f>B34*'Emission Factor'!$B$46/1000</f>
        <v/>
      </c>
      <c r="E34" s="451">
        <f>C34+D34</f>
        <v/>
      </c>
      <c r="F34" s="460">
        <f>'Monthly Paper Distribution'!P171</f>
        <v/>
      </c>
      <c r="G34" s="460">
        <f>'Raw Data (KG)'!E137</f>
        <v/>
      </c>
      <c r="H34" s="451">
        <f>((F34-G34)*4.8)/1000</f>
        <v/>
      </c>
      <c r="I34" s="346">
        <f>C34+D34+H34</f>
        <v/>
      </c>
    </row>
    <row r="35" hidden="1">
      <c r="A35" s="475" t="inlineStr">
        <is>
          <t>Nov</t>
        </is>
      </c>
      <c r="B35" s="472" t="n"/>
      <c r="C35" s="451">
        <f>B35*'Emission Factor'!$B$45/1000</f>
        <v/>
      </c>
      <c r="D35" s="451">
        <f>B35*'Emission Factor'!$B$46/1000</f>
        <v/>
      </c>
      <c r="E35" s="451">
        <f>C35+D35</f>
        <v/>
      </c>
      <c r="F35" s="460">
        <f>'Monthly Paper Distribution'!P172</f>
        <v/>
      </c>
      <c r="G35" s="460">
        <f>'Raw Data (KG)'!E138</f>
        <v/>
      </c>
      <c r="H35" s="451">
        <f>((F35-G35)*4.8)/1000</f>
        <v/>
      </c>
      <c r="I35" s="346">
        <f>C35+D35+H35</f>
        <v/>
      </c>
    </row>
    <row r="36" hidden="1">
      <c r="A36" s="475" t="inlineStr">
        <is>
          <t>Dec</t>
        </is>
      </c>
      <c r="B36" s="472" t="n"/>
      <c r="C36" s="451">
        <f>B36*'Emission Factor'!$B$45/1000</f>
        <v/>
      </c>
      <c r="D36" s="451">
        <f>B36*'Emission Factor'!$B$46/1000</f>
        <v/>
      </c>
      <c r="E36" s="451">
        <f>C36+D36</f>
        <v/>
      </c>
      <c r="F36" s="460">
        <f>'Monthly Paper Distribution'!P173</f>
        <v/>
      </c>
      <c r="G36" s="460">
        <f>'Raw Data (KG)'!E139</f>
        <v/>
      </c>
      <c r="H36" s="451">
        <f>((F36-G36)*4.8)/1000</f>
        <v/>
      </c>
      <c r="I36" s="346">
        <f>C36+D36+H36</f>
        <v/>
      </c>
    </row>
    <row r="37" hidden="1">
      <c r="A37" s="475" t="inlineStr">
        <is>
          <t>Jan</t>
        </is>
      </c>
      <c r="B37" s="472" t="n"/>
      <c r="C37" s="451">
        <f>B37*'Emission Factor'!$B$45/1000</f>
        <v/>
      </c>
      <c r="D37" s="451">
        <f>B37*'Emission Factor'!$B$46/1000</f>
        <v/>
      </c>
      <c r="E37" s="451">
        <f>C37+D37</f>
        <v/>
      </c>
      <c r="F37" s="460">
        <f>'Monthly Paper Distribution'!P174</f>
        <v/>
      </c>
      <c r="G37" s="460">
        <f>'Raw Data (KG)'!E140</f>
        <v/>
      </c>
      <c r="H37" s="451">
        <f>((F37-G37)*4.8)/1000</f>
        <v/>
      </c>
      <c r="I37" s="346">
        <f>C37+D37+H37</f>
        <v/>
      </c>
    </row>
    <row r="38" hidden="1">
      <c r="A38" s="475" t="inlineStr">
        <is>
          <t>Feb</t>
        </is>
      </c>
      <c r="B38" s="472" t="n"/>
      <c r="C38" s="451">
        <f>B38*'Emission Factor'!$B$45/1000</f>
        <v/>
      </c>
      <c r="D38" s="451">
        <f>B38*'Emission Factor'!$B$46/1000</f>
        <v/>
      </c>
      <c r="E38" s="451">
        <f>C38+D38</f>
        <v/>
      </c>
      <c r="F38" s="460">
        <f>'Monthly Paper Distribution'!P175</f>
        <v/>
      </c>
      <c r="G38" s="460">
        <f>'Raw Data (KG)'!E141</f>
        <v/>
      </c>
      <c r="H38" s="451">
        <f>((F38-G38)*4.8)/1000</f>
        <v/>
      </c>
      <c r="I38" s="346">
        <f>C38+D38+H38</f>
        <v/>
      </c>
    </row>
    <row r="39" hidden="1">
      <c r="A39" s="475" t="inlineStr">
        <is>
          <t>Mar</t>
        </is>
      </c>
      <c r="B39" s="472" t="n"/>
      <c r="C39" s="451">
        <f>B39*'Emission Factor'!$B$45/1000</f>
        <v/>
      </c>
      <c r="D39" s="451">
        <f>B39*'Emission Factor'!$B$46/1000</f>
        <v/>
      </c>
      <c r="E39" s="451">
        <f>C39+D39</f>
        <v/>
      </c>
      <c r="F39" s="460">
        <f>'Monthly Paper Distribution'!P176</f>
        <v/>
      </c>
      <c r="G39" s="460">
        <f>'Raw Data (KG)'!E142</f>
        <v/>
      </c>
      <c r="H39" s="451">
        <f>((F39-G39)*4.8)/1000</f>
        <v/>
      </c>
      <c r="I39" s="346">
        <f>C39+D39+H39</f>
        <v/>
      </c>
    </row>
    <row r="40" hidden="1">
      <c r="A40" s="475" t="inlineStr">
        <is>
          <t>Apr</t>
        </is>
      </c>
      <c r="B40" s="472" t="n"/>
      <c r="C40" s="451">
        <f>B40*'Emission Factor'!$B$45/1000</f>
        <v/>
      </c>
      <c r="D40" s="451">
        <f>B40*'Emission Factor'!$B$46/1000</f>
        <v/>
      </c>
      <c r="E40" s="451">
        <f>C40+D40</f>
        <v/>
      </c>
      <c r="F40" s="460">
        <f>'Monthly Paper Distribution'!P177</f>
        <v/>
      </c>
      <c r="G40" s="460">
        <f>'Raw Data (KG)'!E143</f>
        <v/>
      </c>
      <c r="H40" s="451">
        <f>((F40-G40)*4.8)/1000</f>
        <v/>
      </c>
      <c r="I40" s="346">
        <f>C40+D40+H40</f>
        <v/>
      </c>
    </row>
    <row r="41" hidden="1">
      <c r="A41" s="475" t="inlineStr">
        <is>
          <t>May</t>
        </is>
      </c>
      <c r="B41" s="472" t="n"/>
      <c r="C41" s="451">
        <f>B41*'Emission Factor'!$B$45/1000</f>
        <v/>
      </c>
      <c r="D41" s="451">
        <f>B41*'Emission Factor'!$B$46/1000</f>
        <v/>
      </c>
      <c r="E41" s="451">
        <f>C41+D41</f>
        <v/>
      </c>
      <c r="F41" s="460">
        <f>'Monthly Paper Distribution'!P178</f>
        <v/>
      </c>
      <c r="G41" s="460">
        <f>'Raw Data (KG)'!E144</f>
        <v/>
      </c>
      <c r="H41" s="451">
        <f>((F41-G41)*4.8)/1000</f>
        <v/>
      </c>
      <c r="I41" s="346">
        <f>C41+D41+H41</f>
        <v/>
      </c>
    </row>
    <row r="42" hidden="1" ht="17" customHeight="1" thickBot="1">
      <c r="A42" s="475" t="inlineStr">
        <is>
          <t>Jun</t>
        </is>
      </c>
      <c r="B42" s="472">
        <f>'Annual Report (Water)'!J13</f>
        <v/>
      </c>
      <c r="C42" s="451">
        <f>B42*'Emission Factor (new)'!B45/1000</f>
        <v/>
      </c>
      <c r="D42" s="451">
        <f>B42*'Emission Factor (new)'!B46/1000</f>
        <v/>
      </c>
      <c r="E42" s="451">
        <f>C42+D42</f>
        <v/>
      </c>
      <c r="F42" s="460">
        <f>'Monthly Paper Distribution'!P179</f>
        <v/>
      </c>
      <c r="G42" s="460">
        <f>'Raw Data (KG)'!E145</f>
        <v/>
      </c>
      <c r="H42" s="451">
        <f>((F42-G42)*4.8)/1000</f>
        <v/>
      </c>
      <c r="I42" s="346">
        <f>C42+D42+H42</f>
        <v/>
      </c>
      <c r="K42" s="15" t="n"/>
    </row>
    <row r="43" ht="17" customHeight="1" thickBot="1">
      <c r="A43" s="476" t="inlineStr">
        <is>
          <t>2024-25</t>
        </is>
      </c>
      <c r="B43" s="473">
        <f>'Annual Report (Water)'!J13</f>
        <v/>
      </c>
      <c r="C43" s="451">
        <f>B43*'Emission Factor (new)'!B45/1000</f>
        <v/>
      </c>
      <c r="D43" s="451">
        <f>B43*'Emission Factor (new)'!B46/1000</f>
        <v/>
      </c>
      <c r="E43" s="451">
        <f>C43+D43</f>
        <v/>
      </c>
      <c r="F43" s="451">
        <f>SUM(F31:F42)</f>
        <v/>
      </c>
      <c r="G43" s="451">
        <f>SUM(G31:G42)</f>
        <v/>
      </c>
      <c r="H43" s="451">
        <f>SUM(H31:H42)</f>
        <v/>
      </c>
      <c r="I43" s="501">
        <f>E43+H43</f>
        <v/>
      </c>
      <c r="J43" s="15" t="n"/>
    </row>
    <row r="45">
      <c r="B45" s="15" t="n"/>
      <c r="E45" s="500" t="n"/>
    </row>
  </sheetData>
  <mergeCells count="10">
    <mergeCell ref="B1:E1"/>
    <mergeCell ref="B2:C3"/>
    <mergeCell ref="A2:A4"/>
    <mergeCell ref="F1:H1"/>
    <mergeCell ref="I2:I3"/>
    <mergeCell ref="D2:D3"/>
    <mergeCell ref="F2:F3"/>
    <mergeCell ref="E2:E3"/>
    <mergeCell ref="H2:H3"/>
    <mergeCell ref="G2:G3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B16" sqref="B16"/>
    </sheetView>
  </sheetViews>
  <sheetFormatPr baseColWidth="10" defaultColWidth="8.6640625" defaultRowHeight="16"/>
  <cols>
    <col width="10.6640625" customWidth="1" style="98" min="1" max="1"/>
    <col width="15.6640625" customWidth="1" style="1" min="2" max="6"/>
    <col width="13.33203125" customWidth="1" style="1" min="7" max="7"/>
    <col width="15.6640625" customWidth="1" style="1" min="8" max="10"/>
    <col width="8.6640625" customWidth="1" style="1" min="11" max="16384"/>
  </cols>
  <sheetData>
    <row r="1" ht="34" customFormat="1" customHeight="1" s="619">
      <c r="A1" s="65" t="inlineStr">
        <is>
          <t>Date</t>
        </is>
      </c>
      <c r="B1" s="65" t="inlineStr">
        <is>
          <t>New Boundary Scope 1</t>
        </is>
      </c>
      <c r="C1" s="65" t="inlineStr">
        <is>
          <t>New Boundary Scope 2</t>
        </is>
      </c>
      <c r="D1" s="65" t="inlineStr">
        <is>
          <t>New Boundary Scope 3</t>
        </is>
      </c>
      <c r="E1" s="65" t="inlineStr">
        <is>
          <t>Total S1&amp;2</t>
        </is>
      </c>
      <c r="F1" s="65" t="inlineStr">
        <is>
          <t>Total S1,2&amp;3</t>
        </is>
      </c>
      <c r="G1" s="65" t="inlineStr">
        <is>
          <t>Capita</t>
        </is>
      </c>
      <c r="H1" s="65" t="inlineStr">
        <is>
          <t>GFA</t>
        </is>
      </c>
      <c r="I1" s="65" t="inlineStr">
        <is>
          <t>1&amp;2 Emissions per Capita</t>
        </is>
      </c>
      <c r="J1" s="65" t="inlineStr">
        <is>
          <t>1&amp;2 Emssions per GFA</t>
        </is>
      </c>
    </row>
    <row r="2">
      <c r="A2" s="98" t="inlineStr">
        <is>
          <t>2010/11</t>
        </is>
      </c>
      <c r="B2" s="15" t="n">
        <v>1339.470333234619</v>
      </c>
      <c r="C2" s="15" t="n">
        <v>48492.30891953477</v>
      </c>
      <c r="D2" s="15" t="n">
        <v>928.8325987399999</v>
      </c>
      <c r="E2" s="62">
        <f>SUM(B2:C2)</f>
        <v/>
      </c>
      <c r="F2" s="62">
        <f>SUM(B2:D2)</f>
        <v/>
      </c>
      <c r="G2" s="681" t="n">
        <v>12358.5</v>
      </c>
      <c r="H2" s="15" t="n">
        <v>396061.6880000001</v>
      </c>
      <c r="I2" s="99">
        <f>E2/G2</f>
        <v/>
      </c>
      <c r="J2" s="99">
        <f>(E2*10)/H2</f>
        <v/>
      </c>
    </row>
    <row r="3">
      <c r="A3" s="98" t="inlineStr">
        <is>
          <t>2011/12</t>
        </is>
      </c>
      <c r="B3" s="15" t="n">
        <v>1263.790761379173</v>
      </c>
      <c r="C3" s="15" t="n">
        <v>49759.6260841181</v>
      </c>
      <c r="D3" s="15" t="n">
        <v>933.8325987399999</v>
      </c>
      <c r="E3" s="62">
        <f>SUM(B3:C3)</f>
        <v/>
      </c>
      <c r="F3" s="62">
        <f>SUM(B3:D3)</f>
        <v/>
      </c>
      <c r="G3" s="681" t="n">
        <v>12836.5</v>
      </c>
      <c r="H3" s="15" t="n">
        <v>396150.5080000001</v>
      </c>
      <c r="I3" s="99">
        <f>E3/G3</f>
        <v/>
      </c>
      <c r="J3" s="99">
        <f>(E3*10)/H3</f>
        <v/>
      </c>
    </row>
    <row r="4">
      <c r="A4" s="98" t="inlineStr">
        <is>
          <t>2012/13</t>
        </is>
      </c>
      <c r="B4" s="15" t="n">
        <v>1130.880531924455</v>
      </c>
      <c r="C4" s="15" t="n">
        <v>52306.25772953477</v>
      </c>
      <c r="D4" s="15" t="n">
        <v>926.8325987399999</v>
      </c>
      <c r="E4" s="62">
        <f>SUM(B4:C4)</f>
        <v/>
      </c>
      <c r="F4" s="62">
        <f>SUM(B4:D4)</f>
        <v/>
      </c>
      <c r="G4" s="681" t="n">
        <v>15176</v>
      </c>
      <c r="H4" s="15" t="n">
        <v>397633.3460000001</v>
      </c>
      <c r="I4" s="99">
        <f>E4/G4</f>
        <v/>
      </c>
      <c r="J4" s="99">
        <f>(E4*10)/H4</f>
        <v/>
      </c>
    </row>
    <row r="5" ht="17" customHeight="1" thickBot="1">
      <c r="A5" s="98" t="inlineStr">
        <is>
          <t xml:space="preserve">2013/14 </t>
        </is>
      </c>
      <c r="B5" s="15" t="n">
        <v>1047.219533867538</v>
      </c>
      <c r="C5" s="15" t="n">
        <v>56735.43333953478</v>
      </c>
      <c r="D5" s="15" t="n">
        <v>943.5749697399999</v>
      </c>
      <c r="E5" s="62">
        <f>SUM(B5:C5)</f>
        <v/>
      </c>
      <c r="F5" s="62">
        <f>SUM(B5:D5)</f>
        <v/>
      </c>
      <c r="G5" s="15" t="n">
        <v>15828.5</v>
      </c>
      <c r="H5" s="15" t="n">
        <v>451064.3520000001</v>
      </c>
      <c r="I5" s="62">
        <f>E5/G5</f>
        <v/>
      </c>
      <c r="J5" s="62">
        <f>(E5*10)/H5</f>
        <v/>
      </c>
    </row>
    <row r="6">
      <c r="A6" s="208" t="inlineStr">
        <is>
          <t>2014/15</t>
        </is>
      </c>
      <c r="B6" s="209" t="n">
        <v>1405.200312029305</v>
      </c>
      <c r="C6" s="209" t="n">
        <v>59828.18675362357</v>
      </c>
      <c r="D6" s="209" t="n">
        <v>795.2459870279999</v>
      </c>
      <c r="E6" s="210">
        <f>SUM(B6:C6)</f>
        <v/>
      </c>
      <c r="F6" s="210">
        <f>SUM(B6:D6)</f>
        <v/>
      </c>
      <c r="G6" s="209" t="n">
        <v>16340</v>
      </c>
      <c r="H6" s="209" t="n">
        <v>473560.6680000002</v>
      </c>
      <c r="I6" s="210">
        <f>E6/G6</f>
        <v/>
      </c>
      <c r="J6" s="496">
        <f>(E6*10)/H6</f>
        <v/>
      </c>
    </row>
    <row r="7">
      <c r="A7" s="211" t="inlineStr">
        <is>
          <t>2015/16</t>
        </is>
      </c>
      <c r="B7" s="15" t="n">
        <v>1563.620535487638</v>
      </c>
      <c r="C7" s="15" t="n">
        <v>52060.2214656149</v>
      </c>
      <c r="D7" s="15" t="n">
        <v>865.876906128</v>
      </c>
      <c r="E7" s="62">
        <f>SUM(B7:C7)</f>
        <v/>
      </c>
      <c r="F7" s="62">
        <f>SUM(B7:D7)</f>
        <v/>
      </c>
      <c r="G7" s="15" t="n">
        <v>16621</v>
      </c>
      <c r="H7" s="15" t="n">
        <v>480093.4920000002</v>
      </c>
      <c r="I7" s="62">
        <f>E7/G7</f>
        <v/>
      </c>
      <c r="J7" s="497">
        <f>(E7*10)/H7</f>
        <v/>
      </c>
    </row>
    <row r="8">
      <c r="A8" s="211" t="inlineStr">
        <is>
          <t>2016/17</t>
        </is>
      </c>
      <c r="B8" s="15" t="n">
        <v>1337.060926905997</v>
      </c>
      <c r="C8" s="15" t="n">
        <v>51318.43947370734</v>
      </c>
      <c r="D8" s="15" t="n">
        <v>662.1989129152</v>
      </c>
      <c r="E8" s="62">
        <f>SUM(B8:C8)</f>
        <v/>
      </c>
      <c r="F8" s="62">
        <f>SUM(B8:D8)</f>
        <v/>
      </c>
      <c r="G8" s="15" t="n">
        <v>17299.5</v>
      </c>
      <c r="H8" s="15" t="n">
        <v>508000</v>
      </c>
      <c r="I8" s="62">
        <f>E8/G8</f>
        <v/>
      </c>
      <c r="J8" s="497">
        <f>(E8*10)/H8</f>
        <v/>
      </c>
    </row>
    <row r="9">
      <c r="A9" s="211" t="inlineStr">
        <is>
          <t>2017/18</t>
        </is>
      </c>
      <c r="B9" s="15" t="n">
        <v>1148.481087761474</v>
      </c>
      <c r="C9" s="15" t="n">
        <v>47664.45691265413</v>
      </c>
      <c r="D9" s="15" t="n">
        <v>639.4197735584736</v>
      </c>
      <c r="E9" s="62">
        <f>SUM(B9:C9)</f>
        <v/>
      </c>
      <c r="F9" s="62">
        <f>SUM(B9:D9)</f>
        <v/>
      </c>
      <c r="G9" s="15" t="n">
        <v>17923.5</v>
      </c>
      <c r="H9" s="15" t="n">
        <v>512620</v>
      </c>
      <c r="I9" s="62">
        <f>E9/G9</f>
        <v/>
      </c>
      <c r="J9" s="497">
        <f>(E9*10)/H9</f>
        <v/>
      </c>
    </row>
    <row r="10">
      <c r="A10" s="211" t="inlineStr">
        <is>
          <t>2018/19</t>
        </is>
      </c>
      <c r="B10" s="15" t="n">
        <v>1227.695594864362</v>
      </c>
      <c r="C10" s="15" t="n">
        <v>46254.13003972482</v>
      </c>
      <c r="D10" s="15" t="n">
        <v>656.55334308672</v>
      </c>
      <c r="E10" s="62">
        <f>SUM(B10:C10)</f>
        <v/>
      </c>
      <c r="F10" s="62">
        <f>SUM(B10:D10)</f>
        <v/>
      </c>
      <c r="G10" s="15" t="n">
        <v>18508.5</v>
      </c>
      <c r="H10" s="15" t="n">
        <v>515105.139</v>
      </c>
      <c r="I10" s="62">
        <f>E10/G10</f>
        <v/>
      </c>
      <c r="J10" s="497">
        <f>(E10*10)/H10</f>
        <v/>
      </c>
    </row>
    <row r="11">
      <c r="A11" s="211" t="inlineStr">
        <is>
          <t>2019/20</t>
        </is>
      </c>
      <c r="B11" s="15" t="n">
        <v>971.2459436582179</v>
      </c>
      <c r="C11" s="15" t="n">
        <v>43879.02350700001</v>
      </c>
      <c r="D11" s="15" t="n">
        <v>241.898256</v>
      </c>
      <c r="E11" s="62">
        <f>SUM(B11:C11)</f>
        <v/>
      </c>
      <c r="F11" s="62">
        <f>SUM(B11:D11)</f>
        <v/>
      </c>
      <c r="G11" s="15" t="n">
        <v>17679</v>
      </c>
      <c r="H11" s="15" t="n">
        <v>515105.139</v>
      </c>
      <c r="I11" s="62">
        <f>E11/G11</f>
        <v/>
      </c>
      <c r="J11" s="497">
        <f>(E11*10)/H11</f>
        <v/>
      </c>
    </row>
    <row r="12">
      <c r="A12" s="211" t="inlineStr">
        <is>
          <t>2020/21</t>
        </is>
      </c>
      <c r="B12" s="15" t="n">
        <v>1017.807687277492</v>
      </c>
      <c r="C12" s="15" t="n">
        <v>32886.46149444466</v>
      </c>
      <c r="D12" s="15" t="n">
        <v>124.753760052</v>
      </c>
      <c r="E12" s="62">
        <f>SUM(B12:C12)</f>
        <v/>
      </c>
      <c r="F12" s="62">
        <f>SUM(B12:D12)</f>
        <v/>
      </c>
      <c r="G12" s="15" t="n">
        <v>19717</v>
      </c>
      <c r="H12" s="15" t="n">
        <v>563595</v>
      </c>
      <c r="I12" s="62">
        <f>E12/G12</f>
        <v/>
      </c>
      <c r="J12" s="497">
        <f>(E12*10)/H12</f>
        <v/>
      </c>
    </row>
    <row r="13">
      <c r="A13" s="211" t="inlineStr">
        <is>
          <t>2021/22</t>
        </is>
      </c>
      <c r="B13" s="15" t="n">
        <v>1046.650922770445</v>
      </c>
      <c r="C13" s="15" t="n">
        <v>35205.52275914906</v>
      </c>
      <c r="D13" s="15" t="n">
        <v>258.652085252</v>
      </c>
      <c r="E13" s="62">
        <f>SUM(B13:C13)</f>
        <v/>
      </c>
      <c r="F13" s="62">
        <f>SUM(B13:D13)</f>
        <v/>
      </c>
      <c r="G13" s="15" t="n">
        <v>20543</v>
      </c>
      <c r="H13" s="15" t="n">
        <v>578007.25</v>
      </c>
      <c r="I13" s="62">
        <f>E13/G13</f>
        <v/>
      </c>
      <c r="J13" s="497">
        <f>(E13*10)/H13</f>
        <v/>
      </c>
    </row>
    <row r="14" ht="17" customHeight="1" thickBot="1">
      <c r="A14" s="212" t="inlineStr">
        <is>
          <t>2022/23</t>
        </is>
      </c>
      <c r="B14" s="213" t="n">
        <v>1142.889332686397</v>
      </c>
      <c r="C14" s="213" t="n">
        <v>36870.8391274917</v>
      </c>
      <c r="D14" s="213" t="n">
        <v>555.671778908</v>
      </c>
      <c r="E14" s="214">
        <f>SUM(B14:C14)</f>
        <v/>
      </c>
      <c r="F14" s="214">
        <f>SUM(B14:D14)</f>
        <v/>
      </c>
      <c r="G14" s="213" t="n">
        <v>21497</v>
      </c>
      <c r="H14" s="213" t="n">
        <v>578007</v>
      </c>
      <c r="I14" s="214">
        <f>E14/G14</f>
        <v/>
      </c>
      <c r="J14" s="498">
        <f>(E14*10)/H14</f>
        <v/>
      </c>
      <c r="L14" s="164" t="n"/>
    </row>
    <row r="15" ht="17" customHeight="1" thickBot="1">
      <c r="A15" s="98" t="inlineStr">
        <is>
          <t>2023/24</t>
        </is>
      </c>
      <c r="B15" s="15" t="n">
        <v>2497.72</v>
      </c>
      <c r="C15" s="15" t="n">
        <v>37968.34</v>
      </c>
      <c r="D15" s="15" t="n">
        <v>425.79</v>
      </c>
      <c r="E15" s="214">
        <f>SUM(B15:C15)</f>
        <v/>
      </c>
      <c r="F15" s="214">
        <f>SUM(B15:D15)</f>
        <v/>
      </c>
      <c r="G15" s="15">
        <f>4249+17920</f>
        <v/>
      </c>
      <c r="H15" s="499" t="n">
        <v>587292</v>
      </c>
      <c r="I15" s="214">
        <f>E15/G15</f>
        <v/>
      </c>
      <c r="J15" s="498">
        <f>(E15*10)/H15</f>
        <v/>
      </c>
    </row>
    <row r="16" ht="17" customHeight="1" thickBot="1">
      <c r="A16" s="98" t="inlineStr">
        <is>
          <t>2024/25</t>
        </is>
      </c>
      <c r="B16" s="15">
        <f>'Scope 1'!AC7</f>
        <v/>
      </c>
      <c r="C16" s="15">
        <f>'Scope 2'!Q5</f>
        <v/>
      </c>
      <c r="D16" s="15">
        <f>'Scope 3'!I43</f>
        <v/>
      </c>
      <c r="E16" s="214">
        <f>SUM(B16:C16)</f>
        <v/>
      </c>
      <c r="F16" s="214">
        <f>SUM(B16:D16)</f>
        <v/>
      </c>
      <c r="G16" s="15">
        <f>4593+19284</f>
        <v/>
      </c>
      <c r="H16" s="499" t="n">
        <v>587292</v>
      </c>
      <c r="I16" s="214">
        <f>E16/G16</f>
        <v/>
      </c>
      <c r="J16" s="498">
        <f>(E16*10)/H16</f>
        <v/>
      </c>
    </row>
    <row r="17">
      <c r="A17" s="98" t="inlineStr">
        <is>
          <t>2025/26</t>
        </is>
      </c>
      <c r="B17" s="153" t="n"/>
      <c r="C17" s="153" t="n"/>
      <c r="D17" s="153" t="n"/>
      <c r="E17" s="153" t="n"/>
      <c r="F17" s="153" t="n"/>
      <c r="G17" s="153" t="n"/>
      <c r="H17" s="153" t="n"/>
      <c r="I17" s="153" t="n"/>
    </row>
    <row r="18">
      <c r="B18" s="163" t="n"/>
      <c r="C18" s="164" t="n"/>
      <c r="D18" s="153" t="n"/>
      <c r="E18" s="546">
        <f>E6*0.6</f>
        <v/>
      </c>
      <c r="I18" s="153" t="n"/>
    </row>
    <row r="19">
      <c r="C19" s="163" t="n"/>
    </row>
    <row r="23">
      <c r="E23" s="163" t="n"/>
    </row>
    <row r="27">
      <c r="H27" s="15" t="n"/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62"/>
  <sheetViews>
    <sheetView topLeftCell="O31" workbookViewId="0">
      <selection activeCell="V34" sqref="V34"/>
    </sheetView>
  </sheetViews>
  <sheetFormatPr baseColWidth="10" defaultColWidth="10.33203125" defaultRowHeight="16"/>
  <cols>
    <col width="41" customWidth="1" style="8" min="1" max="1"/>
    <col width="14.1640625" bestFit="1" customWidth="1" style="8" min="2" max="2"/>
    <col width="10.1640625" customWidth="1" style="8" min="3" max="3"/>
    <col width="11.1640625" customWidth="1" style="8" min="4" max="4"/>
    <col width="23.83203125" bestFit="1" customWidth="1" style="8" min="5" max="5"/>
    <col width="10.33203125" customWidth="1" style="8" min="6" max="7"/>
    <col width="12.6640625" bestFit="1" customWidth="1" style="8" min="8" max="8"/>
    <col width="10.33203125" customWidth="1" style="8" min="9" max="14"/>
    <col width="18.33203125" customWidth="1" style="8" min="15" max="15"/>
    <col width="15.5" bestFit="1" customWidth="1" style="8" min="16" max="16"/>
    <col width="10.33203125" customWidth="1" style="8" min="17" max="20"/>
    <col width="14.1640625" bestFit="1" customWidth="1" style="8" min="21" max="21"/>
    <col width="10.33203125" customWidth="1" style="8" min="22" max="16384"/>
  </cols>
  <sheetData>
    <row r="1">
      <c r="A1" t="n"/>
    </row>
    <row r="2" customFormat="1" s="53">
      <c r="A2" s="53" t="inlineStr">
        <is>
          <t>Please update Any changes with emission factor</t>
        </is>
      </c>
    </row>
    <row r="4">
      <c r="A4" s="106" t="inlineStr">
        <is>
          <t>S1. Stationary Combustion</t>
        </is>
      </c>
    </row>
    <row r="5">
      <c r="B5" s="663" t="inlineStr">
        <is>
          <t>CO2</t>
        </is>
      </c>
      <c r="C5" s="708" t="n"/>
      <c r="D5" s="663" t="inlineStr">
        <is>
          <t>CH4</t>
        </is>
      </c>
      <c r="E5" s="705" t="n"/>
      <c r="F5" s="705" t="n"/>
      <c r="G5" s="706" t="n"/>
      <c r="H5" s="663" t="inlineStr">
        <is>
          <t>N2O</t>
        </is>
      </c>
      <c r="I5" s="705" t="n"/>
      <c r="J5" s="705" t="n"/>
      <c r="K5" s="706" t="n"/>
      <c r="L5" s="663" t="inlineStr">
        <is>
          <t xml:space="preserve">Total CO2e </t>
        </is>
      </c>
      <c r="M5" s="708" t="n"/>
    </row>
    <row r="6">
      <c r="B6" s="712" t="n"/>
      <c r="C6" s="713" t="n"/>
      <c r="D6" s="663" t="inlineStr">
        <is>
          <t>CH4</t>
        </is>
      </c>
      <c r="E6" s="706" t="n"/>
      <c r="F6" s="663" t="inlineStr">
        <is>
          <t>CO2e of CH4</t>
        </is>
      </c>
      <c r="G6" s="706" t="n"/>
      <c r="H6" s="663" t="n"/>
      <c r="I6" s="663" t="inlineStr">
        <is>
          <t>N2O</t>
        </is>
      </c>
      <c r="J6" s="663" t="inlineStr">
        <is>
          <t>CO2e of N2O</t>
        </is>
      </c>
      <c r="K6" s="706" t="n"/>
      <c r="L6" s="712" t="n"/>
      <c r="M6" s="713" t="n"/>
      <c r="O6" s="8" t="inlineStr">
        <is>
          <t>Conversion to kWh</t>
        </is>
      </c>
      <c r="P6" s="8" t="inlineStr">
        <is>
          <t>CO2e/kWh</t>
        </is>
      </c>
    </row>
    <row r="7">
      <c r="A7" s="6" t="inlineStr">
        <is>
          <t xml:space="preserve">Diesel </t>
        </is>
      </c>
      <c r="B7" s="6" t="n">
        <v>2.614</v>
      </c>
      <c r="C7" s="6" t="inlineStr">
        <is>
          <t>kg/Litre</t>
        </is>
      </c>
      <c r="D7" s="6" t="n">
        <v>0.0239</v>
      </c>
      <c r="E7" s="6" t="inlineStr">
        <is>
          <t>g/Litre</t>
        </is>
      </c>
      <c r="F7" s="6">
        <f>D7/1000*21</f>
        <v/>
      </c>
      <c r="G7" s="6" t="inlineStr">
        <is>
          <t>kg/Litre</t>
        </is>
      </c>
      <c r="H7" s="6" t="n">
        <v>0.0074</v>
      </c>
      <c r="I7" s="6" t="inlineStr">
        <is>
          <t>g/Litre</t>
        </is>
      </c>
      <c r="J7" s="6">
        <f>H7/1000*310</f>
        <v/>
      </c>
      <c r="K7" s="6" t="inlineStr">
        <is>
          <t>kg/Litre</t>
        </is>
      </c>
      <c r="L7" s="6">
        <f>B7+F7+J7</f>
        <v/>
      </c>
      <c r="M7" s="6" t="inlineStr">
        <is>
          <t>kg/Litre</t>
        </is>
      </c>
      <c r="O7" s="8" t="n">
        <v>10.03009027</v>
      </c>
      <c r="P7" s="8">
        <f>L7/10.03009027</f>
        <v/>
      </c>
    </row>
    <row r="8">
      <c r="A8" s="6" t="inlineStr">
        <is>
          <t>Towngas</t>
        </is>
      </c>
      <c r="B8" s="6" t="n">
        <v>2.549</v>
      </c>
      <c r="C8" s="6" t="inlineStr">
        <is>
          <t>kg/Unit</t>
        </is>
      </c>
      <c r="D8" s="6" t="n">
        <v>0.0446</v>
      </c>
      <c r="E8" s="6" t="inlineStr">
        <is>
          <t>g/Unit</t>
        </is>
      </c>
      <c r="F8" s="6">
        <f>D8/1000*21</f>
        <v/>
      </c>
      <c r="G8" s="6" t="inlineStr">
        <is>
          <t>kg/Unit</t>
        </is>
      </c>
      <c r="H8" s="6" t="n">
        <v>0.009900000000000001</v>
      </c>
      <c r="I8" s="6" t="inlineStr">
        <is>
          <t>g/Unit</t>
        </is>
      </c>
      <c r="J8" s="6">
        <f>H8/1000*310</f>
        <v/>
      </c>
      <c r="K8" s="6" t="inlineStr">
        <is>
          <t>kg/Unit</t>
        </is>
      </c>
      <c r="L8" s="6">
        <f>B8+F8+J8</f>
        <v/>
      </c>
      <c r="M8" s="6" t="inlineStr">
        <is>
          <t>kg/Unit</t>
        </is>
      </c>
      <c r="O8" s="8" t="inlineStr">
        <is>
          <t>*48*0.277778</t>
        </is>
      </c>
      <c r="P8" s="8">
        <f>L8/13.333344</f>
        <v/>
      </c>
    </row>
    <row r="10">
      <c r="A10" s="8" t="inlineStr">
        <is>
          <t>IPCC Second Assessment Report (1995)</t>
        </is>
      </c>
    </row>
    <row r="11">
      <c r="A11" s="106" t="inlineStr">
        <is>
          <t>S1. Mobile Combustion</t>
        </is>
      </c>
    </row>
    <row r="12">
      <c r="A12" s="8" t="inlineStr">
        <is>
          <t>Passenger Car (PC)</t>
        </is>
      </c>
    </row>
    <row r="13">
      <c r="B13" s="663" t="inlineStr">
        <is>
          <t>CO2</t>
        </is>
      </c>
      <c r="C13" s="708" t="n"/>
      <c r="D13" s="663" t="inlineStr">
        <is>
          <t>CH4</t>
        </is>
      </c>
      <c r="E13" s="705" t="n"/>
      <c r="F13" s="705" t="n"/>
      <c r="G13" s="706" t="n"/>
      <c r="H13" s="663" t="inlineStr">
        <is>
          <t>N2O</t>
        </is>
      </c>
      <c r="I13" s="705" t="n"/>
      <c r="J13" s="705" t="n"/>
      <c r="K13" s="706" t="n"/>
      <c r="L13" s="663" t="inlineStr">
        <is>
          <t xml:space="preserve">Total CO2e </t>
        </is>
      </c>
      <c r="M13" s="708" t="n"/>
    </row>
    <row r="14">
      <c r="B14" s="712" t="n"/>
      <c r="C14" s="713" t="n"/>
      <c r="D14" s="663" t="inlineStr">
        <is>
          <t>CH4</t>
        </is>
      </c>
      <c r="E14" s="706" t="n"/>
      <c r="F14" s="663" t="inlineStr">
        <is>
          <t>CO2e of CH4</t>
        </is>
      </c>
      <c r="G14" s="706" t="n"/>
      <c r="H14" s="663" t="n"/>
      <c r="I14" s="663" t="inlineStr">
        <is>
          <t>N2O</t>
        </is>
      </c>
      <c r="J14" s="663" t="inlineStr">
        <is>
          <t>CO2e of N2O</t>
        </is>
      </c>
      <c r="K14" s="706" t="n"/>
      <c r="L14" s="712" t="n"/>
      <c r="M14" s="713" t="n"/>
    </row>
    <row r="15">
      <c r="A15" s="6" t="inlineStr">
        <is>
          <t>DO</t>
        </is>
      </c>
      <c r="B15" s="6" t="n">
        <v>2.614</v>
      </c>
      <c r="C15" s="6" t="inlineStr">
        <is>
          <t>kg/Litre</t>
        </is>
      </c>
      <c r="D15" s="6" t="n">
        <v>0.07199999999999999</v>
      </c>
      <c r="E15" s="6" t="inlineStr">
        <is>
          <t>g/Litre</t>
        </is>
      </c>
      <c r="F15" s="6">
        <f>D15/1000*21</f>
        <v/>
      </c>
      <c r="G15" s="6" t="inlineStr">
        <is>
          <t>kg/Litre</t>
        </is>
      </c>
      <c r="H15" s="6" t="n">
        <v>0.11</v>
      </c>
      <c r="I15" s="6" t="inlineStr">
        <is>
          <t>g/Litre</t>
        </is>
      </c>
      <c r="J15" s="6">
        <f>H15/1000*310</f>
        <v/>
      </c>
      <c r="K15" s="6" t="inlineStr">
        <is>
          <t>kg/Litre</t>
        </is>
      </c>
      <c r="L15" s="6">
        <f>B15+F15+J15</f>
        <v/>
      </c>
      <c r="M15" s="6" t="inlineStr">
        <is>
          <t>kg/Litre</t>
        </is>
      </c>
      <c r="O15" s="8" t="inlineStr">
        <is>
          <t>*10.03009027</t>
        </is>
      </c>
      <c r="P15" s="8">
        <f>L15/10.03009027</f>
        <v/>
      </c>
    </row>
    <row r="16">
      <c r="A16" s="6" t="inlineStr">
        <is>
          <t>ULP(unleaded petrol)</t>
        </is>
      </c>
      <c r="B16" s="6" t="n">
        <v>2.36</v>
      </c>
      <c r="C16" s="6" t="inlineStr">
        <is>
          <t>kg/Litre</t>
        </is>
      </c>
      <c r="D16" s="6" t="n">
        <v>0.253</v>
      </c>
      <c r="E16" s="6" t="inlineStr">
        <is>
          <t>g/Unit</t>
        </is>
      </c>
      <c r="F16" s="6">
        <f>D16/1000*21</f>
        <v/>
      </c>
      <c r="G16" s="6" t="inlineStr">
        <is>
          <t>kg/Litre</t>
        </is>
      </c>
      <c r="H16" s="6" t="n">
        <v>1.105</v>
      </c>
      <c r="I16" s="6" t="inlineStr">
        <is>
          <t>g/Unit</t>
        </is>
      </c>
      <c r="J16" s="6">
        <f>H16/1000*310</f>
        <v/>
      </c>
      <c r="K16" s="6" t="inlineStr">
        <is>
          <t>kg/Litre</t>
        </is>
      </c>
      <c r="L16" s="6">
        <f>B16+F16+J16</f>
        <v/>
      </c>
      <c r="M16" s="6" t="inlineStr">
        <is>
          <t>kg/Litre</t>
        </is>
      </c>
      <c r="O16" s="8" t="n">
        <v>8.834702712</v>
      </c>
      <c r="P16" s="8">
        <f>L16/8.834702712</f>
        <v/>
      </c>
    </row>
    <row r="18">
      <c r="A18" s="8" t="inlineStr">
        <is>
          <t>Private Van (PV)</t>
        </is>
      </c>
    </row>
    <row r="19">
      <c r="B19" s="663" t="inlineStr">
        <is>
          <t>CO2</t>
        </is>
      </c>
      <c r="C19" s="708" t="n"/>
      <c r="D19" s="663" t="inlineStr">
        <is>
          <t>CH4</t>
        </is>
      </c>
      <c r="E19" s="705" t="n"/>
      <c r="F19" s="705" t="n"/>
      <c r="G19" s="706" t="n"/>
      <c r="H19" s="663" t="inlineStr">
        <is>
          <t>N2O</t>
        </is>
      </c>
      <c r="I19" s="705" t="n"/>
      <c r="J19" s="705" t="n"/>
      <c r="K19" s="706" t="n"/>
      <c r="L19" s="663" t="inlineStr">
        <is>
          <t xml:space="preserve">Total CO2e </t>
        </is>
      </c>
      <c r="M19" s="708" t="n"/>
    </row>
    <row r="20">
      <c r="B20" s="712" t="n"/>
      <c r="C20" s="713" t="n"/>
      <c r="D20" s="663" t="inlineStr">
        <is>
          <t>CH4</t>
        </is>
      </c>
      <c r="E20" s="706" t="n"/>
      <c r="F20" s="663" t="inlineStr">
        <is>
          <t>CO2e of CH4</t>
        </is>
      </c>
      <c r="G20" s="706" t="n"/>
      <c r="H20" s="663" t="n"/>
      <c r="I20" s="663" t="inlineStr">
        <is>
          <t>N2O</t>
        </is>
      </c>
      <c r="J20" s="663" t="inlineStr">
        <is>
          <t>CO2e of N2O</t>
        </is>
      </c>
      <c r="K20" s="706" t="n"/>
      <c r="L20" s="712" t="n"/>
      <c r="M20" s="713" t="n"/>
    </row>
    <row r="21">
      <c r="A21" s="6" t="inlineStr">
        <is>
          <t>DO</t>
        </is>
      </c>
      <c r="B21" s="6" t="n">
        <v>2.614</v>
      </c>
      <c r="C21" s="6" t="inlineStr">
        <is>
          <t>kg/Litre</t>
        </is>
      </c>
      <c r="D21" s="6" t="n">
        <v>0.07199999999999999</v>
      </c>
      <c r="E21" s="6" t="inlineStr">
        <is>
          <t>g/Litre</t>
        </is>
      </c>
      <c r="F21" s="6">
        <f>D21/1000*21</f>
        <v/>
      </c>
      <c r="G21" s="6" t="inlineStr">
        <is>
          <t>kg/Litre</t>
        </is>
      </c>
      <c r="H21" s="6" t="n">
        <v>0.506</v>
      </c>
      <c r="I21" s="6" t="inlineStr">
        <is>
          <t>g/Litre</t>
        </is>
      </c>
      <c r="J21" s="6">
        <f>H21/1000*310</f>
        <v/>
      </c>
      <c r="K21" s="6" t="inlineStr">
        <is>
          <t>kg/Litre</t>
        </is>
      </c>
      <c r="L21" s="6">
        <f>B21+F21+J21</f>
        <v/>
      </c>
      <c r="M21" s="6" t="inlineStr">
        <is>
          <t>kg/Litre</t>
        </is>
      </c>
      <c r="O21" s="8" t="inlineStr">
        <is>
          <t>*10.03009027</t>
        </is>
      </c>
      <c r="P21" s="8">
        <f>L21/10.03009027</f>
        <v/>
      </c>
    </row>
    <row r="22">
      <c r="A22" s="6" t="inlineStr">
        <is>
          <t>ULP(unleaded petrol)</t>
        </is>
      </c>
      <c r="B22" s="6" t="n">
        <v>2.36</v>
      </c>
      <c r="C22" s="6" t="inlineStr">
        <is>
          <t>kg/Litre</t>
        </is>
      </c>
      <c r="D22" s="6" t="n">
        <v>0.203</v>
      </c>
      <c r="E22" s="6" t="inlineStr">
        <is>
          <t>g/Unit</t>
        </is>
      </c>
      <c r="F22" s="6">
        <f>D22/1000*21</f>
        <v/>
      </c>
      <c r="G22" s="6" t="inlineStr">
        <is>
          <t>kg/Litre</t>
        </is>
      </c>
      <c r="H22" s="6" t="n">
        <v>1.14</v>
      </c>
      <c r="I22" s="6" t="inlineStr">
        <is>
          <t>g/Unit</t>
        </is>
      </c>
      <c r="J22" s="6">
        <f>H22/1000*310</f>
        <v/>
      </c>
      <c r="K22" s="6" t="inlineStr">
        <is>
          <t>kg/Litre</t>
        </is>
      </c>
      <c r="L22" s="6">
        <f>B22+F22+J22</f>
        <v/>
      </c>
      <c r="M22" s="6" t="inlineStr">
        <is>
          <t>kg/Litre</t>
        </is>
      </c>
      <c r="O22" s="8" t="inlineStr">
        <is>
          <t>*8.834702712</t>
        </is>
      </c>
      <c r="P22" s="8">
        <f>L22/8.834702712</f>
        <v/>
      </c>
    </row>
    <row r="24">
      <c r="A24" s="8" t="inlineStr">
        <is>
          <t>Light Goods Vehicle (LGV)</t>
        </is>
      </c>
    </row>
    <row r="25">
      <c r="B25" s="663" t="inlineStr">
        <is>
          <t>CO2</t>
        </is>
      </c>
      <c r="C25" s="708" t="n"/>
      <c r="D25" s="663" t="inlineStr">
        <is>
          <t>CH4</t>
        </is>
      </c>
      <c r="E25" s="705" t="n"/>
      <c r="F25" s="705" t="n"/>
      <c r="G25" s="706" t="n"/>
      <c r="H25" s="663" t="inlineStr">
        <is>
          <t>N2O</t>
        </is>
      </c>
      <c r="I25" s="705" t="n"/>
      <c r="J25" s="705" t="n"/>
      <c r="K25" s="706" t="n"/>
      <c r="L25" s="663" t="inlineStr">
        <is>
          <t xml:space="preserve">Total CO2e </t>
        </is>
      </c>
      <c r="M25" s="708" t="n"/>
    </row>
    <row r="26">
      <c r="B26" s="712" t="n"/>
      <c r="C26" s="713" t="n"/>
      <c r="D26" s="663" t="inlineStr">
        <is>
          <t>CH4</t>
        </is>
      </c>
      <c r="E26" s="706" t="n"/>
      <c r="F26" s="663" t="inlineStr">
        <is>
          <t>CO2e of CH4</t>
        </is>
      </c>
      <c r="G26" s="706" t="n"/>
      <c r="H26" s="663" t="n"/>
      <c r="I26" s="663" t="inlineStr">
        <is>
          <t>N2O</t>
        </is>
      </c>
      <c r="J26" s="663" t="inlineStr">
        <is>
          <t>CO2e of N2O</t>
        </is>
      </c>
      <c r="K26" s="706" t="n"/>
      <c r="L26" s="712" t="n"/>
      <c r="M26" s="713" t="n"/>
    </row>
    <row r="27" ht="15.75" customHeight="1">
      <c r="A27" s="6" t="inlineStr">
        <is>
          <t>DO</t>
        </is>
      </c>
      <c r="B27" s="6" t="n">
        <v>2.614</v>
      </c>
      <c r="C27" s="6" t="inlineStr">
        <is>
          <t>kg/Litre</t>
        </is>
      </c>
      <c r="D27" s="6" t="n">
        <v>0.07199999999999999</v>
      </c>
      <c r="E27" s="6" t="inlineStr">
        <is>
          <t>g/Litre</t>
        </is>
      </c>
      <c r="F27" s="6">
        <f>D27/1000*21</f>
        <v/>
      </c>
      <c r="G27" s="6" t="inlineStr">
        <is>
          <t>kg/Litre</t>
        </is>
      </c>
      <c r="H27" s="6" t="n">
        <v>0.506</v>
      </c>
      <c r="I27" s="6" t="inlineStr">
        <is>
          <t>g/Litre</t>
        </is>
      </c>
      <c r="J27" s="6">
        <f>H27/1000*310</f>
        <v/>
      </c>
      <c r="K27" s="6" t="inlineStr">
        <is>
          <t>kg/Litre</t>
        </is>
      </c>
      <c r="L27" s="6">
        <f>B27+F27+J27</f>
        <v/>
      </c>
      <c r="M27" s="6" t="inlineStr">
        <is>
          <t>kg/Litre</t>
        </is>
      </c>
      <c r="O27" s="8" t="inlineStr">
        <is>
          <t>*10.03009027</t>
        </is>
      </c>
      <c r="P27" s="8">
        <f>L27/10.03009027</f>
        <v/>
      </c>
    </row>
    <row r="28">
      <c r="A28" s="6" t="inlineStr">
        <is>
          <t>ULP(unleaded petrol)</t>
        </is>
      </c>
      <c r="B28" s="6" t="n">
        <v>2.36</v>
      </c>
      <c r="C28" s="6" t="inlineStr">
        <is>
          <t>kg/Litre</t>
        </is>
      </c>
      <c r="D28" s="6" t="n">
        <v>0.203</v>
      </c>
      <c r="E28" s="6" t="inlineStr">
        <is>
          <t>g/Unit</t>
        </is>
      </c>
      <c r="F28" s="6">
        <f>D28/1000*21</f>
        <v/>
      </c>
      <c r="G28" s="6" t="inlineStr">
        <is>
          <t>kg/Litre</t>
        </is>
      </c>
      <c r="H28" s="6" t="n">
        <v>1.105</v>
      </c>
      <c r="I28" s="6" t="inlineStr">
        <is>
          <t>g/Unit</t>
        </is>
      </c>
      <c r="J28" s="6">
        <f>H28/1000*310</f>
        <v/>
      </c>
      <c r="K28" s="6" t="inlineStr">
        <is>
          <t>kg/Litre</t>
        </is>
      </c>
      <c r="L28" s="6">
        <f>B28+F28+J28</f>
        <v/>
      </c>
      <c r="M28" s="6" t="inlineStr">
        <is>
          <t>kg/Litre</t>
        </is>
      </c>
      <c r="O28" s="8" t="inlineStr">
        <is>
          <t>*8.834702712</t>
        </is>
      </c>
      <c r="P28" s="8">
        <f>L28/8.834702712</f>
        <v/>
      </c>
    </row>
    <row r="31">
      <c r="A31" s="106" t="inlineStr">
        <is>
          <t xml:space="preserve">S1.Refrigerant </t>
        </is>
      </c>
    </row>
    <row r="32">
      <c r="A32" s="8" t="inlineStr">
        <is>
          <t>R22 (HCFC-22)</t>
        </is>
      </c>
      <c r="B32" s="8" t="n">
        <v>1810</v>
      </c>
    </row>
    <row r="33">
      <c r="A33" s="8" t="inlineStr">
        <is>
          <t>R410A</t>
        </is>
      </c>
      <c r="B33" s="8" t="n">
        <v>1725</v>
      </c>
    </row>
    <row r="34">
      <c r="A34" s="8" t="inlineStr">
        <is>
          <t>R407C</t>
        </is>
      </c>
      <c r="B34" s="8" t="n">
        <v>1526</v>
      </c>
      <c r="D34" s="8" t="inlineStr">
        <is>
          <t>https://www.gov.uk/government/uploads/system/uploads/attachment_data/file/69554/pb13773-ghg-conversion-factors-2012.pdf</t>
        </is>
      </c>
    </row>
    <row r="35">
      <c r="A35" s="8" t="inlineStr">
        <is>
          <t>SF6</t>
        </is>
      </c>
      <c r="B35" s="8" t="n">
        <v>22800</v>
      </c>
      <c r="D35" s="8" t="inlineStr">
        <is>
          <t>Defra</t>
        </is>
      </c>
    </row>
    <row r="36">
      <c r="R36" s="561" t="n"/>
      <c r="S36" s="561" t="n"/>
      <c r="T36" s="561" t="n"/>
    </row>
    <row r="37">
      <c r="A37" s="106" t="inlineStr">
        <is>
          <t>S2. Energy Indirect Emissions</t>
        </is>
      </c>
      <c r="F37" s="111" t="n">
        <v>2010</v>
      </c>
      <c r="G37" s="111" t="n">
        <v>2011</v>
      </c>
      <c r="H37" s="111" t="n">
        <v>2012</v>
      </c>
      <c r="I37" s="111" t="n">
        <v>2013</v>
      </c>
      <c r="J37" s="111" t="n">
        <v>2014</v>
      </c>
      <c r="K37" s="111" t="n">
        <v>2015</v>
      </c>
      <c r="L37" s="111" t="n">
        <v>2016</v>
      </c>
      <c r="M37" s="111" t="n">
        <v>2017</v>
      </c>
      <c r="N37" s="111" t="n">
        <v>2018</v>
      </c>
      <c r="O37" s="6" t="n">
        <v>2019</v>
      </c>
      <c r="P37" s="6" t="n">
        <v>2020</v>
      </c>
      <c r="Q37" s="6" t="n">
        <v>2021</v>
      </c>
      <c r="R37" s="6" t="n">
        <v>2022</v>
      </c>
      <c r="S37" s="6" t="n">
        <v>2023</v>
      </c>
      <c r="T37" s="6" t="n">
        <v>2024</v>
      </c>
    </row>
    <row r="38">
      <c r="B38" s="663" t="inlineStr">
        <is>
          <t xml:space="preserve">Total CO2e </t>
        </is>
      </c>
      <c r="C38" s="706" t="n"/>
      <c r="D38" s="6" t="inlineStr">
        <is>
          <t>Last updated</t>
        </is>
      </c>
      <c r="F38" s="477" t="inlineStr">
        <is>
          <t xml:space="preserve">Total CO2e </t>
        </is>
      </c>
      <c r="G38" s="477" t="n"/>
      <c r="H38" s="477" t="n"/>
      <c r="I38" s="477" t="n"/>
      <c r="J38" s="477" t="n"/>
      <c r="K38" s="477" t="n"/>
      <c r="L38" s="477" t="n"/>
      <c r="M38" s="477" t="n"/>
      <c r="N38" s="477" t="n"/>
    </row>
    <row r="39">
      <c r="A39" s="6" t="inlineStr">
        <is>
          <t>Electricity</t>
        </is>
      </c>
      <c r="B39" s="108" t="n">
        <v>0.38</v>
      </c>
      <c r="C39" s="6" t="inlineStr">
        <is>
          <t>kg/ KWh</t>
        </is>
      </c>
      <c r="D39" s="108" t="n">
        <v>2024</v>
      </c>
      <c r="F39" s="478" t="n">
        <v>0.54</v>
      </c>
      <c r="G39" s="478" t="n">
        <v>0.59</v>
      </c>
      <c r="H39" s="478" t="n">
        <v>0.58</v>
      </c>
      <c r="I39" s="478" t="n">
        <v>0.63</v>
      </c>
      <c r="J39" s="478" t="n">
        <v>0.64</v>
      </c>
      <c r="K39" s="478" t="n">
        <v>0.54</v>
      </c>
      <c r="L39" s="478" t="n">
        <v>0.54</v>
      </c>
      <c r="M39" s="478" t="n">
        <v>0.51</v>
      </c>
      <c r="N39" s="478" t="n">
        <v>0.51</v>
      </c>
      <c r="O39" s="108" t="n">
        <v>0.51</v>
      </c>
      <c r="P39" s="108" t="n">
        <v>0.37</v>
      </c>
      <c r="Q39" s="108" t="n">
        <v>0.39</v>
      </c>
      <c r="R39" s="108" t="n">
        <v>0.39</v>
      </c>
      <c r="S39" s="108" t="n">
        <v>0.39</v>
      </c>
      <c r="T39" s="108" t="n">
        <v>0.38</v>
      </c>
      <c r="U39" s="8" t="inlineStr">
        <is>
          <t xml:space="preserve">CLP Sustainability Report </t>
        </is>
      </c>
    </row>
    <row r="40">
      <c r="A40" s="6" t="inlineStr">
        <is>
          <t>Towngas</t>
        </is>
      </c>
      <c r="B40" s="108" t="n">
        <v>0.548</v>
      </c>
      <c r="C40" s="6" t="inlineStr">
        <is>
          <t>kg/ Unit</t>
        </is>
      </c>
      <c r="D40" s="108" t="n">
        <v>2024</v>
      </c>
      <c r="F40" s="108" t="n">
        <v>0.62</v>
      </c>
      <c r="G40" s="108" t="n">
        <v>0.618</v>
      </c>
      <c r="H40" s="108" t="n">
        <v>0.61</v>
      </c>
      <c r="I40" s="108" t="n">
        <v>0.62</v>
      </c>
      <c r="J40" s="108" t="n">
        <v>0.6</v>
      </c>
      <c r="K40" s="108" t="n">
        <v>0.605</v>
      </c>
      <c r="L40" s="108" t="n">
        <v>0.599</v>
      </c>
      <c r="M40" s="108" t="n">
        <v>0.592</v>
      </c>
      <c r="N40" s="108" t="n">
        <v>0.5639999999999999</v>
      </c>
      <c r="O40" s="108" t="n">
        <v>0.597</v>
      </c>
      <c r="P40" s="108" t="n">
        <v>0.592</v>
      </c>
      <c r="Q40" s="108" t="n">
        <v>0.588</v>
      </c>
      <c r="R40" s="108" t="n">
        <v>0.576</v>
      </c>
      <c r="S40" s="108" t="n">
        <v>0.549</v>
      </c>
      <c r="T40" s="108" t="n">
        <v>0.548</v>
      </c>
      <c r="U40" s="8" t="inlineStr">
        <is>
          <t xml:space="preserve">Towngas Sustainability Report </t>
        </is>
      </c>
      <c r="W40" s="8" t="inlineStr">
        <is>
          <t>*48*0.277778</t>
        </is>
      </c>
    </row>
    <row r="41">
      <c r="B41" s="411">
        <f>(B39-J39)/J39</f>
        <v/>
      </c>
      <c r="C41" s="411">
        <f>(B39-M39)/K39</f>
        <v/>
      </c>
    </row>
    <row r="42">
      <c r="B42" s="411">
        <f>(B40-J40)/J40</f>
        <v/>
      </c>
    </row>
    <row r="43">
      <c r="A43" s="106" t="inlineStr">
        <is>
          <t>S3. Other Indirect Emissions</t>
        </is>
      </c>
    </row>
    <row r="44">
      <c r="B44" s="664" t="inlineStr">
        <is>
          <t xml:space="preserve">Total CO2e </t>
        </is>
      </c>
      <c r="C44" s="708" t="n"/>
      <c r="D44" s="111" t="inlineStr">
        <is>
          <t>Last updated</t>
        </is>
      </c>
      <c r="F44" s="480" t="inlineStr">
        <is>
          <t xml:space="preserve">Total CO2e </t>
        </is>
      </c>
      <c r="G44" s="480" t="n"/>
      <c r="H44" s="480" t="n"/>
      <c r="I44" s="480" t="n"/>
      <c r="J44" s="480" t="n"/>
      <c r="K44" s="480" t="n"/>
      <c r="L44" s="480" t="n"/>
      <c r="M44" s="480" t="n"/>
      <c r="N44" s="480" t="n"/>
      <c r="O44" s="480" t="n"/>
    </row>
    <row r="45">
      <c r="A45" s="6" t="inlineStr">
        <is>
          <t>Fresh Water Processing</t>
        </is>
      </c>
      <c r="B45" s="108" t="n">
        <v>0.256</v>
      </c>
      <c r="C45" s="6" t="inlineStr">
        <is>
          <t>kg/ m3</t>
        </is>
      </c>
      <c r="D45" s="108" t="n">
        <v>2024</v>
      </c>
      <c r="F45" s="478" t="n">
        <v>0.424</v>
      </c>
      <c r="G45" s="478" t="n">
        <v>0.415</v>
      </c>
      <c r="H45" s="479" t="n">
        <v>0.44</v>
      </c>
      <c r="I45" s="479" t="n">
        <v>0.41</v>
      </c>
      <c r="J45" s="478" t="n">
        <v>0.398</v>
      </c>
      <c r="K45" s="478" t="n">
        <v>0.407</v>
      </c>
      <c r="L45" s="478" t="n">
        <v>0.402</v>
      </c>
      <c r="M45" s="478" t="n">
        <v>0.403</v>
      </c>
      <c r="N45" s="478" t="n">
        <v>0.404</v>
      </c>
      <c r="O45" s="478" t="n">
        <v>0.424</v>
      </c>
      <c r="P45" s="108" t="n">
        <v>0.417</v>
      </c>
      <c r="Q45" s="108" t="n">
        <v>0.428</v>
      </c>
      <c r="R45" s="108" t="n">
        <v>0.435</v>
      </c>
      <c r="S45" s="108" t="n">
        <v>0.437</v>
      </c>
      <c r="T45" s="108" t="n">
        <v>0.256</v>
      </c>
      <c r="U45" s="8" t="inlineStr">
        <is>
          <t>Water Service Department Annual Report</t>
        </is>
      </c>
    </row>
    <row r="46">
      <c r="A46" s="6" t="inlineStr">
        <is>
          <t>Sewage Water Processing</t>
        </is>
      </c>
      <c r="B46" s="114" t="n">
        <v>0.22</v>
      </c>
      <c r="C46" s="6" t="inlineStr">
        <is>
          <t>kg/ m3</t>
        </is>
      </c>
      <c r="D46" s="108" t="n">
        <v>2024</v>
      </c>
      <c r="F46" s="108" t="n">
        <v>0.172</v>
      </c>
      <c r="G46" s="108" t="n">
        <v>0.167</v>
      </c>
      <c r="H46" s="113" t="n">
        <v>0.17</v>
      </c>
      <c r="I46" s="113" t="n">
        <v>0.167</v>
      </c>
      <c r="J46" s="108" t="n">
        <v>0.169</v>
      </c>
      <c r="K46" s="108" t="n">
        <v>0.181</v>
      </c>
      <c r="L46" s="108" t="n">
        <v>0.19</v>
      </c>
      <c r="M46" s="108" t="n">
        <v>0.20272</v>
      </c>
      <c r="N46" s="108" t="n">
        <v>0.219</v>
      </c>
      <c r="O46" s="108" t="n">
        <v>0.2</v>
      </c>
      <c r="P46" s="108" t="n">
        <v>0.2</v>
      </c>
      <c r="Q46" s="108" t="n">
        <v>0.21</v>
      </c>
      <c r="R46" s="108" t="n">
        <v>0.21</v>
      </c>
      <c r="S46" s="108" t="n">
        <v>0.21</v>
      </c>
      <c r="T46" s="108" t="n">
        <v>0.22</v>
      </c>
      <c r="U46" s="8" t="inlineStr">
        <is>
          <t>Drainage Services Department Sustainability Report</t>
        </is>
      </c>
    </row>
    <row r="47">
      <c r="B47" s="411">
        <f>(B45-J45)/J45</f>
        <v/>
      </c>
    </row>
    <row r="48">
      <c r="B48" s="411">
        <f>(B46-J46)/J46</f>
        <v/>
      </c>
    </row>
    <row r="57">
      <c r="F57" s="6" t="inlineStr">
        <is>
          <t xml:space="preserve">Total CO2e </t>
        </is>
      </c>
    </row>
    <row r="58">
      <c r="F58" s="6" t="n">
        <v>2010</v>
      </c>
      <c r="G58" s="6" t="n">
        <v>2011</v>
      </c>
      <c r="H58" s="6" t="n">
        <v>2012</v>
      </c>
      <c r="I58" s="6" t="n">
        <v>2013</v>
      </c>
      <c r="J58" s="6" t="n">
        <v>2014</v>
      </c>
      <c r="K58" s="6" t="n">
        <v>2015</v>
      </c>
      <c r="L58" s="6" t="n">
        <v>2016</v>
      </c>
      <c r="M58" s="6" t="n">
        <v>2017</v>
      </c>
      <c r="N58" s="6" t="n">
        <v>2018</v>
      </c>
      <c r="O58" s="6" t="n">
        <v>2019</v>
      </c>
      <c r="P58" s="6" t="n">
        <v>2020</v>
      </c>
    </row>
    <row r="59">
      <c r="E59" s="6" t="inlineStr">
        <is>
          <t>Electricity (Pre-Baseline)</t>
        </is>
      </c>
      <c r="F59" s="108" t="n">
        <v>0.54</v>
      </c>
      <c r="G59" s="108" t="n">
        <v>0.59</v>
      </c>
      <c r="H59" s="108" t="n">
        <v>0.58</v>
      </c>
      <c r="I59" s="108" t="n">
        <v>0.63</v>
      </c>
    </row>
    <row r="60">
      <c r="E60" s="6" t="inlineStr">
        <is>
          <t>Towngas (Pre-Baseline)</t>
        </is>
      </c>
      <c r="F60" s="108" t="n">
        <v>0.62</v>
      </c>
      <c r="G60" s="108" t="n">
        <v>0.618</v>
      </c>
      <c r="H60" s="108" t="n">
        <v>0.61</v>
      </c>
      <c r="I60" s="108" t="n">
        <v>0.62</v>
      </c>
      <c r="J60" s="108" t="n">
        <v>0.6</v>
      </c>
    </row>
    <row r="61">
      <c r="E61" s="6" t="inlineStr">
        <is>
          <t>Electricity Performance</t>
        </is>
      </c>
      <c r="J61" s="108" t="n">
        <v>0.64</v>
      </c>
      <c r="K61" s="108" t="n">
        <v>0.54</v>
      </c>
      <c r="L61" s="108" t="n">
        <v>0.54</v>
      </c>
      <c r="M61" s="108" t="n">
        <v>0.51</v>
      </c>
      <c r="N61" s="115" t="n">
        <v>0.51</v>
      </c>
      <c r="O61" s="115" t="n">
        <v>0.51</v>
      </c>
      <c r="P61" s="115" t="n">
        <v>0.37</v>
      </c>
    </row>
    <row r="62">
      <c r="E62" s="6" t="inlineStr">
        <is>
          <t>Towngas Performance</t>
        </is>
      </c>
      <c r="I62" s="108" t="n"/>
      <c r="J62" s="108" t="n">
        <v>0.6</v>
      </c>
      <c r="K62" s="108" t="n">
        <v>0.605</v>
      </c>
      <c r="L62" s="108" t="n">
        <v>0.599</v>
      </c>
      <c r="M62" s="108" t="n">
        <v>0.592</v>
      </c>
      <c r="N62" s="109" t="n">
        <v>0.5639999999999999</v>
      </c>
      <c r="O62" s="109" t="n">
        <v>0.5639999999999999</v>
      </c>
    </row>
  </sheetData>
  <mergeCells count="30">
    <mergeCell ref="D20:E20"/>
    <mergeCell ref="B13:C14"/>
    <mergeCell ref="H13:K13"/>
    <mergeCell ref="D25:G25"/>
    <mergeCell ref="J14:K14"/>
    <mergeCell ref="B19:C20"/>
    <mergeCell ref="F6:G6"/>
    <mergeCell ref="L25:M26"/>
    <mergeCell ref="D5:G5"/>
    <mergeCell ref="H5:K5"/>
    <mergeCell ref="D6:E6"/>
    <mergeCell ref="J6:K6"/>
    <mergeCell ref="B5:C6"/>
    <mergeCell ref="F20:G20"/>
    <mergeCell ref="D19:G19"/>
    <mergeCell ref="F26:G26"/>
    <mergeCell ref="J26:K26"/>
    <mergeCell ref="B44:C44"/>
    <mergeCell ref="B38:C38"/>
    <mergeCell ref="J20:K20"/>
    <mergeCell ref="B25:C26"/>
    <mergeCell ref="H25:K25"/>
    <mergeCell ref="D13:G13"/>
    <mergeCell ref="L19:M20"/>
    <mergeCell ref="L13:M14"/>
    <mergeCell ref="D14:E14"/>
    <mergeCell ref="F14:G14"/>
    <mergeCell ref="L5:M6"/>
    <mergeCell ref="D26:E26"/>
    <mergeCell ref="H19:K19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10" defaultColWidth="10.33203125" defaultRowHeight="16"/>
  <cols>
    <col width="41" customWidth="1" style="8" min="1" max="1"/>
    <col width="14.1640625" bestFit="1" customWidth="1" style="8" min="2" max="2"/>
    <col width="10.1640625" customWidth="1" style="8" min="3" max="3"/>
    <col width="11.1640625" customWidth="1" style="8" min="4" max="4"/>
    <col width="11" customWidth="1" style="8" min="5" max="5"/>
    <col width="10.33203125" customWidth="1" style="8" min="6" max="7"/>
    <col width="12.6640625" bestFit="1" customWidth="1" style="8" min="8" max="8"/>
    <col width="10.33203125" customWidth="1" style="8" min="9" max="14"/>
    <col width="21" bestFit="1" customWidth="1" style="8" min="15" max="15"/>
    <col width="15.5" bestFit="1" customWidth="1" style="8" min="16" max="16"/>
    <col width="10.33203125" customWidth="1" style="8" min="17" max="17"/>
    <col width="14.1640625" bestFit="1" customWidth="1" style="8" min="18" max="18"/>
    <col width="10.33203125" customWidth="1" style="8" min="19" max="16384"/>
  </cols>
  <sheetData>
    <row r="1">
      <c r="A1" t="n"/>
      <c r="C1" s="668" t="inlineStr">
        <is>
          <t>DON’T DELETE THIS SHEET</t>
        </is>
      </c>
    </row>
    <row r="2" customFormat="1" s="53">
      <c r="A2" s="53" t="inlineStr">
        <is>
          <t>Please update Any changes with emission factor</t>
        </is>
      </c>
    </row>
    <row r="3"/>
    <row r="4">
      <c r="A4" s="106" t="inlineStr">
        <is>
          <t>S1. Stationary Combustion</t>
        </is>
      </c>
    </row>
    <row r="5">
      <c r="B5" s="663" t="inlineStr">
        <is>
          <t>CO2</t>
        </is>
      </c>
      <c r="C5" s="708" t="n"/>
      <c r="D5" s="663" t="inlineStr">
        <is>
          <t>CH4</t>
        </is>
      </c>
      <c r="E5" s="705" t="n"/>
      <c r="F5" s="705" t="n"/>
      <c r="G5" s="706" t="n"/>
      <c r="H5" s="663" t="inlineStr">
        <is>
          <t>N2O</t>
        </is>
      </c>
      <c r="I5" s="705" t="n"/>
      <c r="J5" s="705" t="n"/>
      <c r="K5" s="706" t="n"/>
      <c r="L5" s="663" t="inlineStr">
        <is>
          <t xml:space="preserve">Total CO2e </t>
        </is>
      </c>
      <c r="M5" s="708" t="n"/>
    </row>
    <row r="6">
      <c r="B6" s="712" t="n"/>
      <c r="C6" s="713" t="n"/>
      <c r="D6" s="663" t="inlineStr">
        <is>
          <t>CH4</t>
        </is>
      </c>
      <c r="E6" s="706" t="n"/>
      <c r="F6" s="663" t="inlineStr">
        <is>
          <t>CO2e of CH4</t>
        </is>
      </c>
      <c r="G6" s="706" t="n"/>
      <c r="H6" s="663" t="n"/>
      <c r="I6" s="663" t="inlineStr">
        <is>
          <t>N2O</t>
        </is>
      </c>
      <c r="J6" s="663" t="inlineStr">
        <is>
          <t>CO2e of N2O</t>
        </is>
      </c>
      <c r="K6" s="706" t="n"/>
      <c r="L6" s="712" t="n"/>
      <c r="M6" s="713" t="n"/>
      <c r="O6" s="8" t="inlineStr">
        <is>
          <t>Conversion to kWh</t>
        </is>
      </c>
      <c r="P6" s="8" t="inlineStr">
        <is>
          <t>CO2e/kWh</t>
        </is>
      </c>
    </row>
    <row r="7">
      <c r="A7" s="6" t="inlineStr">
        <is>
          <t xml:space="preserve">Diesel </t>
        </is>
      </c>
      <c r="B7" s="6" t="n">
        <v>2.614</v>
      </c>
      <c r="C7" s="6" t="inlineStr">
        <is>
          <t>kg/Litre</t>
        </is>
      </c>
      <c r="D7" s="6" t="n">
        <v>0.0239</v>
      </c>
      <c r="E7" s="6" t="inlineStr">
        <is>
          <t>g/Litre</t>
        </is>
      </c>
      <c r="F7" s="6">
        <f>D7/1000*21</f>
        <v/>
      </c>
      <c r="G7" s="6" t="inlineStr">
        <is>
          <t>kg/Litre</t>
        </is>
      </c>
      <c r="H7" s="6" t="n">
        <v>0.0074</v>
      </c>
      <c r="I7" s="6" t="inlineStr">
        <is>
          <t>g/Litre</t>
        </is>
      </c>
      <c r="J7" s="6">
        <f>H7/1000*310</f>
        <v/>
      </c>
      <c r="K7" s="6" t="inlineStr">
        <is>
          <t>kg/Litre</t>
        </is>
      </c>
      <c r="L7" s="6">
        <f>B7+F7+J7</f>
        <v/>
      </c>
      <c r="M7" s="6" t="inlineStr">
        <is>
          <t>kg/Litre</t>
        </is>
      </c>
      <c r="O7" s="8" t="n">
        <v>10.03009027</v>
      </c>
      <c r="P7" s="8">
        <f>L7/10.03009027</f>
        <v/>
      </c>
    </row>
    <row r="8">
      <c r="A8" s="6" t="inlineStr">
        <is>
          <t>Towngas</t>
        </is>
      </c>
      <c r="B8" s="6" t="n">
        <v>2.549</v>
      </c>
      <c r="C8" s="6" t="inlineStr">
        <is>
          <t>kg/Unit</t>
        </is>
      </c>
      <c r="D8" s="6" t="n">
        <v>0.0446</v>
      </c>
      <c r="E8" s="6" t="inlineStr">
        <is>
          <t>g/Unit</t>
        </is>
      </c>
      <c r="F8" s="6">
        <f>D8/1000*21</f>
        <v/>
      </c>
      <c r="G8" s="6" t="inlineStr">
        <is>
          <t>kg/Unit</t>
        </is>
      </c>
      <c r="H8" s="6" t="n">
        <v>0.009900000000000001</v>
      </c>
      <c r="I8" s="6" t="inlineStr">
        <is>
          <t>g/Unit</t>
        </is>
      </c>
      <c r="J8" s="6">
        <f>H8/1000*310</f>
        <v/>
      </c>
      <c r="K8" s="6" t="inlineStr">
        <is>
          <t>kg/Unit</t>
        </is>
      </c>
      <c r="L8" s="6">
        <f>B8+F8+J8</f>
        <v/>
      </c>
      <c r="M8" s="6" t="inlineStr">
        <is>
          <t>kg/Unit</t>
        </is>
      </c>
      <c r="O8" s="8" t="inlineStr">
        <is>
          <t>*48*0.277778</t>
        </is>
      </c>
      <c r="P8" s="8">
        <f>L8/13.333344</f>
        <v/>
      </c>
    </row>
    <row r="10">
      <c r="A10" s="8" t="inlineStr">
        <is>
          <t>IPCC Second Assessment Report (1995)</t>
        </is>
      </c>
    </row>
    <row r="11">
      <c r="A11" s="106" t="inlineStr">
        <is>
          <t>S1. Mobile Combustion</t>
        </is>
      </c>
    </row>
    <row r="12">
      <c r="A12" s="8" t="inlineStr">
        <is>
          <t>Passenger Car (PC)</t>
        </is>
      </c>
    </row>
    <row r="13">
      <c r="B13" s="663" t="inlineStr">
        <is>
          <t>CO2</t>
        </is>
      </c>
      <c r="C13" s="708" t="n"/>
      <c r="D13" s="663" t="inlineStr">
        <is>
          <t>CH4</t>
        </is>
      </c>
      <c r="E13" s="705" t="n"/>
      <c r="F13" s="705" t="n"/>
      <c r="G13" s="706" t="n"/>
      <c r="H13" s="663" t="inlineStr">
        <is>
          <t>N2O</t>
        </is>
      </c>
      <c r="I13" s="705" t="n"/>
      <c r="J13" s="705" t="n"/>
      <c r="K13" s="706" t="n"/>
      <c r="L13" s="663" t="inlineStr">
        <is>
          <t xml:space="preserve">Total CO2e </t>
        </is>
      </c>
      <c r="M13" s="708" t="n"/>
    </row>
    <row r="14">
      <c r="B14" s="712" t="n"/>
      <c r="C14" s="713" t="n"/>
      <c r="D14" s="663" t="inlineStr">
        <is>
          <t>CH4</t>
        </is>
      </c>
      <c r="E14" s="706" t="n"/>
      <c r="F14" s="663" t="inlineStr">
        <is>
          <t>CO2e of CH4</t>
        </is>
      </c>
      <c r="G14" s="706" t="n"/>
      <c r="H14" s="663" t="n"/>
      <c r="I14" s="663" t="inlineStr">
        <is>
          <t>N2O</t>
        </is>
      </c>
      <c r="J14" s="663" t="inlineStr">
        <is>
          <t>CO2e of N2O</t>
        </is>
      </c>
      <c r="K14" s="706" t="n"/>
      <c r="L14" s="712" t="n"/>
      <c r="M14" s="713" t="n"/>
    </row>
    <row r="15">
      <c r="A15" s="6" t="inlineStr">
        <is>
          <t>DO</t>
        </is>
      </c>
      <c r="B15" s="6" t="n">
        <v>2.614</v>
      </c>
      <c r="C15" s="6" t="inlineStr">
        <is>
          <t>kg/Litre</t>
        </is>
      </c>
      <c r="D15" s="6" t="n">
        <v>0.07199999999999999</v>
      </c>
      <c r="E15" s="6" t="inlineStr">
        <is>
          <t>g/Litre</t>
        </is>
      </c>
      <c r="F15" s="6">
        <f>D15/1000*21</f>
        <v/>
      </c>
      <c r="G15" s="6" t="inlineStr">
        <is>
          <t>kg/Litre</t>
        </is>
      </c>
      <c r="H15" s="6" t="n">
        <v>0.11</v>
      </c>
      <c r="I15" s="6" t="inlineStr">
        <is>
          <t>g/Litre</t>
        </is>
      </c>
      <c r="J15" s="6">
        <f>H15/1000*310</f>
        <v/>
      </c>
      <c r="K15" s="6" t="inlineStr">
        <is>
          <t>kg/Litre</t>
        </is>
      </c>
      <c r="L15" s="6">
        <f>B15+F15+J15</f>
        <v/>
      </c>
      <c r="M15" s="6" t="inlineStr">
        <is>
          <t>kg/Litre</t>
        </is>
      </c>
      <c r="O15" s="8" t="inlineStr">
        <is>
          <t>*10.03009027</t>
        </is>
      </c>
      <c r="P15" s="8">
        <f>L15/10.03009027</f>
        <v/>
      </c>
    </row>
    <row r="16">
      <c r="A16" s="6" t="inlineStr">
        <is>
          <t>ULP(unleaded petrol)</t>
        </is>
      </c>
      <c r="B16" s="6" t="n">
        <v>2.36</v>
      </c>
      <c r="C16" s="6" t="inlineStr">
        <is>
          <t>kg/Litre</t>
        </is>
      </c>
      <c r="D16" s="6" t="n">
        <v>0.253</v>
      </c>
      <c r="E16" s="6" t="inlineStr">
        <is>
          <t>g/Unit</t>
        </is>
      </c>
      <c r="F16" s="6">
        <f>D16/1000*21</f>
        <v/>
      </c>
      <c r="G16" s="6" t="inlineStr">
        <is>
          <t>kg/Litre</t>
        </is>
      </c>
      <c r="H16" s="6" t="n">
        <v>1.105</v>
      </c>
      <c r="I16" s="6" t="inlineStr">
        <is>
          <t>g/Unit</t>
        </is>
      </c>
      <c r="J16" s="6">
        <f>H16/1000*310</f>
        <v/>
      </c>
      <c r="K16" s="6" t="inlineStr">
        <is>
          <t>kg/Litre</t>
        </is>
      </c>
      <c r="L16" s="6">
        <f>B16+F16+J16</f>
        <v/>
      </c>
      <c r="M16" s="6" t="inlineStr">
        <is>
          <t>kg/Litre</t>
        </is>
      </c>
      <c r="O16" s="8" t="n">
        <v>8.834702712</v>
      </c>
      <c r="P16" s="8">
        <f>L16/8.834702712</f>
        <v/>
      </c>
    </row>
    <row r="18">
      <c r="A18" s="8" t="inlineStr">
        <is>
          <t>Private Van (PV)</t>
        </is>
      </c>
    </row>
    <row r="19">
      <c r="B19" s="663" t="inlineStr">
        <is>
          <t>CO2</t>
        </is>
      </c>
      <c r="C19" s="708" t="n"/>
      <c r="D19" s="663" t="inlineStr">
        <is>
          <t>CH4</t>
        </is>
      </c>
      <c r="E19" s="705" t="n"/>
      <c r="F19" s="705" t="n"/>
      <c r="G19" s="706" t="n"/>
      <c r="H19" s="663" t="inlineStr">
        <is>
          <t>N2O</t>
        </is>
      </c>
      <c r="I19" s="705" t="n"/>
      <c r="J19" s="705" t="n"/>
      <c r="K19" s="706" t="n"/>
      <c r="L19" s="663" t="inlineStr">
        <is>
          <t xml:space="preserve">Total CO2e </t>
        </is>
      </c>
      <c r="M19" s="708" t="n"/>
    </row>
    <row r="20">
      <c r="B20" s="712" t="n"/>
      <c r="C20" s="713" t="n"/>
      <c r="D20" s="663" t="inlineStr">
        <is>
          <t>CH4</t>
        </is>
      </c>
      <c r="E20" s="706" t="n"/>
      <c r="F20" s="663" t="inlineStr">
        <is>
          <t>CO2e of CH4</t>
        </is>
      </c>
      <c r="G20" s="706" t="n"/>
      <c r="H20" s="663" t="n"/>
      <c r="I20" s="663" t="inlineStr">
        <is>
          <t>N2O</t>
        </is>
      </c>
      <c r="J20" s="663" t="inlineStr">
        <is>
          <t>CO2e of N2O</t>
        </is>
      </c>
      <c r="K20" s="706" t="n"/>
      <c r="L20" s="712" t="n"/>
      <c r="M20" s="713" t="n"/>
    </row>
    <row r="21">
      <c r="A21" s="6" t="inlineStr">
        <is>
          <t>DO</t>
        </is>
      </c>
      <c r="B21" s="6" t="n">
        <v>2.614</v>
      </c>
      <c r="C21" s="6" t="inlineStr">
        <is>
          <t>kg/Litre</t>
        </is>
      </c>
      <c r="D21" s="6" t="n">
        <v>0.07199999999999999</v>
      </c>
      <c r="E21" s="6" t="inlineStr">
        <is>
          <t>g/Litre</t>
        </is>
      </c>
      <c r="F21" s="6">
        <f>D21/1000*21</f>
        <v/>
      </c>
      <c r="G21" s="6" t="inlineStr">
        <is>
          <t>kg/Litre</t>
        </is>
      </c>
      <c r="H21" s="6" t="n">
        <v>0.506</v>
      </c>
      <c r="I21" s="6" t="inlineStr">
        <is>
          <t>g/Litre</t>
        </is>
      </c>
      <c r="J21" s="6">
        <f>H21/1000*310</f>
        <v/>
      </c>
      <c r="K21" s="6" t="inlineStr">
        <is>
          <t>kg/Litre</t>
        </is>
      </c>
      <c r="L21" s="6">
        <f>B21+F21+J21</f>
        <v/>
      </c>
      <c r="M21" s="6" t="inlineStr">
        <is>
          <t>kg/Litre</t>
        </is>
      </c>
      <c r="O21" s="8" t="inlineStr">
        <is>
          <t>*10.03009027</t>
        </is>
      </c>
      <c r="P21" s="8">
        <f>L21/10.03009027</f>
        <v/>
      </c>
    </row>
    <row r="22">
      <c r="A22" s="6" t="inlineStr">
        <is>
          <t>ULP(unleaded petrol)</t>
        </is>
      </c>
      <c r="B22" s="6" t="n">
        <v>2.36</v>
      </c>
      <c r="C22" s="6" t="inlineStr">
        <is>
          <t>kg/Litre</t>
        </is>
      </c>
      <c r="D22" s="6" t="n">
        <v>0.203</v>
      </c>
      <c r="E22" s="6" t="inlineStr">
        <is>
          <t>g/Unit</t>
        </is>
      </c>
      <c r="F22" s="6">
        <f>D22/1000*21</f>
        <v/>
      </c>
      <c r="G22" s="6" t="inlineStr">
        <is>
          <t>kg/Litre</t>
        </is>
      </c>
      <c r="H22" s="6" t="n">
        <v>1.14</v>
      </c>
      <c r="I22" s="6" t="inlineStr">
        <is>
          <t>g/Unit</t>
        </is>
      </c>
      <c r="J22" s="6">
        <f>H22/1000*310</f>
        <v/>
      </c>
      <c r="K22" s="6" t="inlineStr">
        <is>
          <t>kg/Litre</t>
        </is>
      </c>
      <c r="L22" s="6">
        <f>B22+F22+J22</f>
        <v/>
      </c>
      <c r="M22" s="6" t="inlineStr">
        <is>
          <t>kg/Litre</t>
        </is>
      </c>
      <c r="O22" s="8" t="inlineStr">
        <is>
          <t>*8.834702712</t>
        </is>
      </c>
      <c r="P22" s="8">
        <f>L22/8.834702712</f>
        <v/>
      </c>
    </row>
    <row r="24">
      <c r="A24" s="8" t="inlineStr">
        <is>
          <t>Light Goods Vehicle (LGV)</t>
        </is>
      </c>
    </row>
    <row r="25">
      <c r="B25" s="663" t="inlineStr">
        <is>
          <t>CO2</t>
        </is>
      </c>
      <c r="C25" s="708" t="n"/>
      <c r="D25" s="663" t="inlineStr">
        <is>
          <t>CH4</t>
        </is>
      </c>
      <c r="E25" s="705" t="n"/>
      <c r="F25" s="705" t="n"/>
      <c r="G25" s="706" t="n"/>
      <c r="H25" s="663" t="inlineStr">
        <is>
          <t>N2O</t>
        </is>
      </c>
      <c r="I25" s="705" t="n"/>
      <c r="J25" s="705" t="n"/>
      <c r="K25" s="706" t="n"/>
      <c r="L25" s="663" t="inlineStr">
        <is>
          <t xml:space="preserve">Total CO2e </t>
        </is>
      </c>
      <c r="M25" s="708" t="n"/>
    </row>
    <row r="26">
      <c r="B26" s="712" t="n"/>
      <c r="C26" s="713" t="n"/>
      <c r="D26" s="663" t="inlineStr">
        <is>
          <t>CH4</t>
        </is>
      </c>
      <c r="E26" s="706" t="n"/>
      <c r="F26" s="663" t="inlineStr">
        <is>
          <t>CO2e of CH4</t>
        </is>
      </c>
      <c r="G26" s="706" t="n"/>
      <c r="H26" s="663" t="n"/>
      <c r="I26" s="663" t="inlineStr">
        <is>
          <t>N2O</t>
        </is>
      </c>
      <c r="J26" s="663" t="inlineStr">
        <is>
          <t>CO2e of N2O</t>
        </is>
      </c>
      <c r="K26" s="706" t="n"/>
      <c r="L26" s="712" t="n"/>
      <c r="M26" s="713" t="n"/>
    </row>
    <row r="27" ht="15.75" customHeight="1">
      <c r="A27" s="6" t="inlineStr">
        <is>
          <t>DO</t>
        </is>
      </c>
      <c r="B27" s="6" t="n">
        <v>2.614</v>
      </c>
      <c r="C27" s="6" t="inlineStr">
        <is>
          <t>kg/Litre</t>
        </is>
      </c>
      <c r="D27" s="6" t="n">
        <v>0.07199999999999999</v>
      </c>
      <c r="E27" s="6" t="inlineStr">
        <is>
          <t>g/Litre</t>
        </is>
      </c>
      <c r="F27" s="6">
        <f>D27/1000*21</f>
        <v/>
      </c>
      <c r="G27" s="6" t="inlineStr">
        <is>
          <t>kg/Litre</t>
        </is>
      </c>
      <c r="H27" s="6" t="n">
        <v>0.506</v>
      </c>
      <c r="I27" s="6" t="inlineStr">
        <is>
          <t>g/Litre</t>
        </is>
      </c>
      <c r="J27" s="6">
        <f>H27/1000*310</f>
        <v/>
      </c>
      <c r="K27" s="6" t="inlineStr">
        <is>
          <t>kg/Litre</t>
        </is>
      </c>
      <c r="L27" s="6">
        <f>B27+F27+J27</f>
        <v/>
      </c>
      <c r="M27" s="6" t="inlineStr">
        <is>
          <t>kg/Litre</t>
        </is>
      </c>
      <c r="O27" s="8" t="inlineStr">
        <is>
          <t>*10.03009027</t>
        </is>
      </c>
      <c r="P27" s="8">
        <f>L27/10.03009027</f>
        <v/>
      </c>
    </row>
    <row r="28">
      <c r="A28" s="6" t="inlineStr">
        <is>
          <t>ULP(unleaded petrol)</t>
        </is>
      </c>
      <c r="B28" s="6" t="n">
        <v>2.36</v>
      </c>
      <c r="C28" s="6" t="inlineStr">
        <is>
          <t>kg/Litre</t>
        </is>
      </c>
      <c r="D28" s="6" t="n">
        <v>0.203</v>
      </c>
      <c r="E28" s="6" t="inlineStr">
        <is>
          <t>g/Unit</t>
        </is>
      </c>
      <c r="F28" s="6">
        <f>D28/1000*21</f>
        <v/>
      </c>
      <c r="G28" s="6" t="inlineStr">
        <is>
          <t>kg/Litre</t>
        </is>
      </c>
      <c r="H28" s="6" t="n">
        <v>1.105</v>
      </c>
      <c r="I28" s="6" t="inlineStr">
        <is>
          <t>g/Unit</t>
        </is>
      </c>
      <c r="J28" s="6">
        <f>H28/1000*310</f>
        <v/>
      </c>
      <c r="K28" s="6" t="inlineStr">
        <is>
          <t>kg/Litre</t>
        </is>
      </c>
      <c r="L28" s="6">
        <f>B28+F28+J28</f>
        <v/>
      </c>
      <c r="M28" s="6" t="inlineStr">
        <is>
          <t>kg/Litre</t>
        </is>
      </c>
      <c r="O28" s="8" t="inlineStr">
        <is>
          <t>*8.834702712</t>
        </is>
      </c>
      <c r="P28" s="8">
        <f>L28/8.834702712</f>
        <v/>
      </c>
    </row>
    <row r="31">
      <c r="A31" s="106" t="inlineStr">
        <is>
          <t xml:space="preserve">S1.Refrigerant </t>
        </is>
      </c>
    </row>
    <row r="32">
      <c r="A32" s="8" t="inlineStr">
        <is>
          <t>R22 (HCFC-22)</t>
        </is>
      </c>
      <c r="B32" s="8" t="n">
        <v>1810</v>
      </c>
    </row>
    <row r="33">
      <c r="A33" s="8" t="inlineStr">
        <is>
          <t>R410A</t>
        </is>
      </c>
      <c r="B33" s="8" t="n">
        <v>1725</v>
      </c>
    </row>
    <row r="34">
      <c r="A34" s="8" t="inlineStr">
        <is>
          <t>R407C</t>
        </is>
      </c>
      <c r="B34" s="8" t="n">
        <v>1526</v>
      </c>
      <c r="D34" s="8" t="inlineStr">
        <is>
          <t>https://www.gov.uk/government/uploads/system/uploads/attachment_data/file/69554/pb13773-ghg-conversion-factors-2012.pdf</t>
        </is>
      </c>
    </row>
    <row r="35">
      <c r="A35" s="8" t="inlineStr">
        <is>
          <t>SF6</t>
        </is>
      </c>
      <c r="B35" s="8" t="n">
        <v>22800</v>
      </c>
      <c r="D35" s="8" t="inlineStr">
        <is>
          <t>Defra</t>
        </is>
      </c>
    </row>
    <row r="37">
      <c r="A37" s="106" t="inlineStr">
        <is>
          <t>S2. Energy Indirect Emissions</t>
        </is>
      </c>
      <c r="F37" s="6" t="n">
        <v>2010</v>
      </c>
      <c r="G37" s="6" t="n">
        <v>2011</v>
      </c>
      <c r="H37" s="6" t="n">
        <v>2012</v>
      </c>
      <c r="I37" s="6" t="n">
        <v>2013</v>
      </c>
      <c r="J37" s="6" t="n">
        <v>2014</v>
      </c>
      <c r="K37" s="6" t="n">
        <v>2015</v>
      </c>
      <c r="L37" s="6" t="n">
        <v>2016</v>
      </c>
      <c r="M37" s="6" t="n">
        <v>2017</v>
      </c>
      <c r="N37" s="6" t="n">
        <v>2018</v>
      </c>
      <c r="O37" s="6" t="n">
        <v>2019</v>
      </c>
      <c r="P37" s="6" t="n">
        <v>2020</v>
      </c>
      <c r="Q37" s="6" t="n">
        <v>2021</v>
      </c>
    </row>
    <row r="38">
      <c r="B38" s="663" t="inlineStr">
        <is>
          <t xml:space="preserve">Total CO2e </t>
        </is>
      </c>
      <c r="C38" s="706" t="n"/>
      <c r="D38" s="6" t="inlineStr">
        <is>
          <t>Last updated</t>
        </is>
      </c>
      <c r="F38" s="6" t="inlineStr">
        <is>
          <t xml:space="preserve">Total CO2e 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inlineStr">
        <is>
          <t>Electricity</t>
        </is>
      </c>
      <c r="B39" s="108" t="n">
        <v>0.39</v>
      </c>
      <c r="C39" s="6" t="inlineStr">
        <is>
          <t>kg/ KWh</t>
        </is>
      </c>
      <c r="D39" s="108" t="n">
        <v>2022</v>
      </c>
      <c r="F39" s="108" t="n">
        <v>0.54</v>
      </c>
      <c r="G39" s="108" t="n">
        <v>0.59</v>
      </c>
      <c r="H39" s="108" t="n">
        <v>0.58</v>
      </c>
      <c r="I39" s="108" t="n">
        <v>0.63</v>
      </c>
      <c r="J39" s="108" t="n">
        <v>0.64</v>
      </c>
      <c r="K39" s="108" t="n">
        <v>0.54</v>
      </c>
      <c r="L39" s="108" t="n">
        <v>0.54</v>
      </c>
      <c r="M39" s="108" t="n">
        <v>0.51</v>
      </c>
      <c r="N39" s="108" t="n">
        <v>0.51</v>
      </c>
      <c r="O39" s="109" t="n">
        <v>0.51</v>
      </c>
      <c r="P39" s="109" t="n">
        <v>0.37</v>
      </c>
      <c r="Q39" s="109" t="n">
        <v>0.39</v>
      </c>
      <c r="R39" s="8" t="inlineStr">
        <is>
          <t xml:space="preserve">CLP Sustainability Report </t>
        </is>
      </c>
      <c r="U39" s="8">
        <f>B39</f>
        <v/>
      </c>
    </row>
    <row r="40">
      <c r="A40" s="6" t="inlineStr">
        <is>
          <t>Towngas</t>
        </is>
      </c>
      <c r="B40" s="108" t="n">
        <v>0.576</v>
      </c>
      <c r="C40" s="6" t="inlineStr">
        <is>
          <t>kg/ Unit</t>
        </is>
      </c>
      <c r="D40" s="108" t="n">
        <v>2022</v>
      </c>
      <c r="F40" s="108" t="n">
        <v>0.62</v>
      </c>
      <c r="G40" s="108" t="n">
        <v>0.618</v>
      </c>
      <c r="H40" s="108" t="n">
        <v>0.61</v>
      </c>
      <c r="I40" s="108" t="n">
        <v>0.62</v>
      </c>
      <c r="J40" s="108" t="n">
        <v>0.6</v>
      </c>
      <c r="K40" s="108" t="n">
        <v>0.605</v>
      </c>
      <c r="L40" s="108" t="n">
        <v>0.599</v>
      </c>
      <c r="M40" s="108" t="n">
        <v>0.592</v>
      </c>
      <c r="N40" s="108" t="n">
        <v>0.5639999999999999</v>
      </c>
      <c r="O40" s="109" t="n">
        <v>0.597</v>
      </c>
      <c r="P40" s="109" t="n">
        <v>0.592</v>
      </c>
      <c r="Q40" s="109" t="n">
        <v>0.588</v>
      </c>
      <c r="R40" s="8" t="inlineStr">
        <is>
          <t xml:space="preserve">Towngas Sustainability Report </t>
        </is>
      </c>
      <c r="T40" s="8" t="inlineStr">
        <is>
          <t>*48*0.277778</t>
        </is>
      </c>
      <c r="U40" s="8">
        <f>B40/13.333344</f>
        <v/>
      </c>
    </row>
    <row r="41">
      <c r="B41" s="411">
        <f>(B39-J39)/J39</f>
        <v/>
      </c>
      <c r="C41" s="411">
        <f>(B39-M39)/K39</f>
        <v/>
      </c>
    </row>
    <row r="42">
      <c r="B42" s="411">
        <f>(B40-J40)/J40</f>
        <v/>
      </c>
    </row>
    <row r="43">
      <c r="A43" s="106" t="inlineStr">
        <is>
          <t>S3. Other Indirect Emissions</t>
        </is>
      </c>
    </row>
    <row r="44">
      <c r="B44" s="664" t="inlineStr">
        <is>
          <t xml:space="preserve">Total CO2e </t>
        </is>
      </c>
      <c r="C44" s="708" t="n"/>
      <c r="D44" s="111" t="inlineStr">
        <is>
          <t>Last updated</t>
        </is>
      </c>
      <c r="F44" s="112" t="inlineStr">
        <is>
          <t xml:space="preserve">Total CO2e </t>
        </is>
      </c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</row>
    <row r="45">
      <c r="A45" s="6" t="inlineStr">
        <is>
          <t>Fresh Water</t>
        </is>
      </c>
      <c r="B45" s="108" t="n">
        <v>0.428</v>
      </c>
      <c r="C45" s="6" t="inlineStr">
        <is>
          <t>kg/ m3</t>
        </is>
      </c>
      <c r="D45" s="108" t="n">
        <v>2021</v>
      </c>
      <c r="F45" s="108" t="n">
        <v>0.424</v>
      </c>
      <c r="G45" s="108" t="n">
        <v>0.415</v>
      </c>
      <c r="H45" s="113" t="n">
        <v>0.44</v>
      </c>
      <c r="I45" s="113" t="n">
        <v>0.41</v>
      </c>
      <c r="J45" s="108" t="n">
        <v>0.398</v>
      </c>
      <c r="K45" s="108" t="n">
        <v>0.407</v>
      </c>
      <c r="L45" s="108" t="n">
        <v>0.402</v>
      </c>
      <c r="M45" s="108" t="n">
        <v>0.403</v>
      </c>
      <c r="N45" s="108" t="n">
        <v>0.404</v>
      </c>
      <c r="O45" s="108" t="n">
        <v>0.424</v>
      </c>
      <c r="P45" s="108" t="n">
        <v>0.417</v>
      </c>
      <c r="Q45" s="109" t="n">
        <v>0.428</v>
      </c>
      <c r="R45" s="8" t="inlineStr">
        <is>
          <t>Water Service Department Annual Report</t>
        </is>
      </c>
    </row>
    <row r="46">
      <c r="A46" s="6" t="inlineStr">
        <is>
          <t>Sewage Water</t>
        </is>
      </c>
      <c r="B46" s="114" t="n">
        <v>0.21</v>
      </c>
      <c r="C46" s="6" t="inlineStr">
        <is>
          <t>kg/ m3</t>
        </is>
      </c>
      <c r="D46" s="108" t="n">
        <v>2022</v>
      </c>
      <c r="F46" s="108" t="n">
        <v>0.172</v>
      </c>
      <c r="G46" s="108" t="n">
        <v>0.167</v>
      </c>
      <c r="H46" s="113" t="n">
        <v>0.17</v>
      </c>
      <c r="I46" s="113" t="n">
        <v>0.167</v>
      </c>
      <c r="J46" s="108" t="n">
        <v>0.169</v>
      </c>
      <c r="K46" s="108" t="n">
        <v>0.181</v>
      </c>
      <c r="L46" s="108" t="n">
        <v>0.19</v>
      </c>
      <c r="M46" s="108" t="n">
        <v>0.20272</v>
      </c>
      <c r="N46" s="108" t="n">
        <v>0.219</v>
      </c>
      <c r="O46" s="108" t="n">
        <v>0.2</v>
      </c>
      <c r="P46" s="108" t="n">
        <v>0.2</v>
      </c>
      <c r="Q46" s="109" t="n">
        <v>0.21</v>
      </c>
      <c r="R46" s="8" t="inlineStr">
        <is>
          <t>Drainage Services Department Sustainability Report</t>
        </is>
      </c>
    </row>
    <row r="47">
      <c r="B47" s="411">
        <f>(B45-J45)/J45</f>
        <v/>
      </c>
    </row>
    <row r="48">
      <c r="B48" s="411">
        <f>(B46-J46)/J46</f>
        <v/>
      </c>
    </row>
    <row r="57">
      <c r="F57" s="6" t="inlineStr">
        <is>
          <t xml:space="preserve">Total CO2e </t>
        </is>
      </c>
    </row>
    <row r="58">
      <c r="F58" s="6" t="n">
        <v>2010</v>
      </c>
      <c r="G58" s="6" t="n">
        <v>2011</v>
      </c>
      <c r="H58" s="6" t="n">
        <v>2012</v>
      </c>
      <c r="I58" s="6" t="n">
        <v>2013</v>
      </c>
      <c r="J58" s="6" t="n">
        <v>2014</v>
      </c>
      <c r="K58" s="6" t="n">
        <v>2015</v>
      </c>
      <c r="L58" s="6" t="n">
        <v>2016</v>
      </c>
      <c r="M58" s="6" t="n">
        <v>2017</v>
      </c>
      <c r="N58" s="6" t="n">
        <v>2018</v>
      </c>
      <c r="O58" s="6" t="n">
        <v>2019</v>
      </c>
      <c r="P58" s="6" t="n">
        <v>2020</v>
      </c>
    </row>
    <row r="59">
      <c r="E59" s="6" t="inlineStr">
        <is>
          <t>Electricity (Pre-Baseline)</t>
        </is>
      </c>
      <c r="F59" s="108" t="n">
        <v>0.54</v>
      </c>
      <c r="G59" s="108" t="n">
        <v>0.59</v>
      </c>
      <c r="H59" s="108" t="n">
        <v>0.58</v>
      </c>
      <c r="I59" s="108" t="n">
        <v>0.63</v>
      </c>
    </row>
    <row r="60">
      <c r="E60" s="6" t="inlineStr">
        <is>
          <t>Towngas (Pre-Baseline)</t>
        </is>
      </c>
      <c r="F60" s="108" t="n">
        <v>0.62</v>
      </c>
      <c r="G60" s="108" t="n">
        <v>0.618</v>
      </c>
      <c r="H60" s="108" t="n">
        <v>0.61</v>
      </c>
      <c r="I60" s="108" t="n">
        <v>0.62</v>
      </c>
      <c r="J60" s="108" t="n">
        <v>0.6</v>
      </c>
    </row>
    <row r="61">
      <c r="E61" s="6" t="inlineStr">
        <is>
          <t>Electricity Performance</t>
        </is>
      </c>
      <c r="J61" s="108" t="n">
        <v>0.64</v>
      </c>
      <c r="K61" s="108" t="n">
        <v>0.54</v>
      </c>
      <c r="L61" s="108" t="n">
        <v>0.54</v>
      </c>
      <c r="M61" s="108" t="n">
        <v>0.51</v>
      </c>
      <c r="N61" s="115" t="n">
        <v>0.51</v>
      </c>
      <c r="O61" s="115" t="n">
        <v>0.51</v>
      </c>
      <c r="P61" s="115" t="n">
        <v>0.37</v>
      </c>
    </row>
    <row r="62">
      <c r="E62" s="6" t="inlineStr">
        <is>
          <t>Towngas Performance</t>
        </is>
      </c>
      <c r="I62" s="108" t="n"/>
      <c r="J62" s="108" t="n">
        <v>0.6</v>
      </c>
      <c r="K62" s="108" t="n">
        <v>0.605</v>
      </c>
      <c r="L62" s="108" t="n">
        <v>0.599</v>
      </c>
      <c r="M62" s="108" t="n">
        <v>0.592</v>
      </c>
      <c r="N62" s="109" t="n">
        <v>0.5639999999999999</v>
      </c>
      <c r="O62" s="109" t="n">
        <v>0.5639999999999999</v>
      </c>
    </row>
  </sheetData>
  <mergeCells count="31">
    <mergeCell ref="D20:E20"/>
    <mergeCell ref="B13:C14"/>
    <mergeCell ref="H13:K13"/>
    <mergeCell ref="D25:G25"/>
    <mergeCell ref="J14:K14"/>
    <mergeCell ref="B19:C20"/>
    <mergeCell ref="F6:G6"/>
    <mergeCell ref="L25:M26"/>
    <mergeCell ref="D5:G5"/>
    <mergeCell ref="H5:K5"/>
    <mergeCell ref="D6:E6"/>
    <mergeCell ref="J6:K6"/>
    <mergeCell ref="B5:C6"/>
    <mergeCell ref="F20:G20"/>
    <mergeCell ref="D19:G19"/>
    <mergeCell ref="F26:G26"/>
    <mergeCell ref="J26:K26"/>
    <mergeCell ref="B38:C38"/>
    <mergeCell ref="B44:C44"/>
    <mergeCell ref="C1:M3"/>
    <mergeCell ref="J20:K20"/>
    <mergeCell ref="B25:C26"/>
    <mergeCell ref="H25:K25"/>
    <mergeCell ref="D13:G13"/>
    <mergeCell ref="L19:M20"/>
    <mergeCell ref="L13:M14"/>
    <mergeCell ref="D14:E14"/>
    <mergeCell ref="F14:G14"/>
    <mergeCell ref="L5:M6"/>
    <mergeCell ref="D26:E26"/>
    <mergeCell ref="H19:K19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8"/>
  <sheetViews>
    <sheetView topLeftCell="I1" workbookViewId="0">
      <selection activeCell="L12" sqref="L12"/>
    </sheetView>
  </sheetViews>
  <sheetFormatPr baseColWidth="10" defaultColWidth="8.6640625" defaultRowHeight="16"/>
  <cols>
    <col width="10.6640625" customWidth="1" style="87" min="1" max="1"/>
    <col width="15.6640625" customWidth="1" style="8" min="2" max="3"/>
    <col width="10.6640625" customWidth="1" style="8" min="4" max="4"/>
    <col width="13.33203125" customWidth="1" style="8" min="5" max="5"/>
    <col width="10.6640625" customWidth="1" style="8" min="6" max="6"/>
    <col width="15.6640625" customWidth="1" style="8" min="7" max="8"/>
    <col width="18.1640625" customWidth="1" style="8" min="9" max="9"/>
    <col width="15.6640625" customWidth="1" style="8" min="10" max="12"/>
    <col width="9.5" bestFit="1" customWidth="1" style="8" min="13" max="13"/>
    <col width="10.6640625" customWidth="1" style="8" min="14" max="14"/>
    <col width="9.6640625" bestFit="1" customWidth="1" style="8" min="15" max="15"/>
    <col width="8.6640625" customWidth="1" style="8" min="16" max="16384"/>
  </cols>
  <sheetData>
    <row r="1">
      <c r="A1" s="669" t="inlineStr">
        <is>
          <t>Water Consumption Breakdown</t>
        </is>
      </c>
    </row>
    <row r="2" ht="51" customFormat="1" customHeight="1" s="619">
      <c r="A2" s="65" t="inlineStr">
        <is>
          <t xml:space="preserve">Date </t>
        </is>
      </c>
      <c r="B2" s="65" t="inlineStr">
        <is>
          <t>Main Academic Buildings</t>
        </is>
      </c>
      <c r="C2" s="65" t="inlineStr">
        <is>
          <t>Cheng Yu Tung Building</t>
        </is>
      </c>
      <c r="D2" s="65" t="inlineStr">
        <is>
          <t>LSK Campus</t>
        </is>
      </c>
      <c r="E2" s="65" t="inlineStr">
        <is>
          <t>Conference Lodge</t>
        </is>
      </c>
      <c r="F2" s="65" t="inlineStr">
        <is>
          <t>Student Housing</t>
        </is>
      </c>
      <c r="G2" s="65" t="inlineStr">
        <is>
          <t>Public facilities in campus</t>
        </is>
      </c>
      <c r="H2" s="65" t="inlineStr">
        <is>
          <t>Canteens and Commercial</t>
        </is>
      </c>
      <c r="I2" s="65" t="inlineStr">
        <is>
          <t xml:space="preserve">Staff Quarters </t>
        </is>
      </c>
      <c r="J2" s="671" t="inlineStr">
        <is>
          <t xml:space="preserve">Total Water Consumption </t>
        </is>
      </c>
      <c r="K2" s="671" t="inlineStr">
        <is>
          <t>Total Water Consumption per capita</t>
        </is>
      </c>
      <c r="L2" s="619" t="inlineStr">
        <is>
          <t>capita</t>
        </is>
      </c>
    </row>
    <row r="3">
      <c r="A3" s="87">
        <f>'Yearly Potable (Overview)'!A3</f>
        <v/>
      </c>
      <c r="B3" s="9">
        <f>'Yearly Potable (Overview)'!B3</f>
        <v/>
      </c>
      <c r="C3" s="9">
        <f>'Yearly Potable (Overview)'!C3</f>
        <v/>
      </c>
      <c r="D3" s="9">
        <f>'Yearly Potable (Overview)'!D3</f>
        <v/>
      </c>
      <c r="E3" s="9">
        <f>'Yearly Potable (Overview)'!E3</f>
        <v/>
      </c>
      <c r="F3" s="9">
        <f>'Yearly Potable (Overview)'!F3</f>
        <v/>
      </c>
      <c r="G3" s="9">
        <f>'Yearly Potable (Overview)'!G3</f>
        <v/>
      </c>
      <c r="H3" s="9">
        <f>'Yearly Potable (Overview)'!H3</f>
        <v/>
      </c>
      <c r="I3" s="9">
        <f>'Yearly Potable (Overview)'!I3</f>
        <v/>
      </c>
      <c r="J3" s="679">
        <f>SUM(B3:I3)</f>
        <v/>
      </c>
      <c r="K3" s="679">
        <f>J3/L3</f>
        <v/>
      </c>
      <c r="L3" s="679">
        <f>'Yearly GHG (mCO2)'!G6</f>
        <v/>
      </c>
    </row>
    <row r="4">
      <c r="A4" s="87">
        <f>'Yearly Potable (Overview)'!A4</f>
        <v/>
      </c>
      <c r="B4" s="9">
        <f>'Yearly Potable (Overview)'!B4</f>
        <v/>
      </c>
      <c r="C4" s="9">
        <f>'Yearly Potable (Overview)'!C4</f>
        <v/>
      </c>
      <c r="D4" s="9">
        <f>'Yearly Potable (Overview)'!D4</f>
        <v/>
      </c>
      <c r="E4" s="9">
        <f>'Yearly Potable (Overview)'!E4</f>
        <v/>
      </c>
      <c r="F4" s="9">
        <f>'Yearly Potable (Overview)'!F4</f>
        <v/>
      </c>
      <c r="G4" s="9">
        <f>'Yearly Potable (Overview)'!G4</f>
        <v/>
      </c>
      <c r="H4" s="9">
        <f>'Yearly Potable (Overview)'!H4</f>
        <v/>
      </c>
      <c r="I4" s="9">
        <f>'Yearly Potable (Overview)'!I4</f>
        <v/>
      </c>
      <c r="J4" s="679">
        <f>SUM(B4:I4)</f>
        <v/>
      </c>
      <c r="K4" s="679">
        <f>J4/L4</f>
        <v/>
      </c>
      <c r="L4" s="679">
        <f>'Yearly GHG (mCO2)'!G7</f>
        <v/>
      </c>
    </row>
    <row r="5">
      <c r="A5" s="87">
        <f>'Yearly Potable (Overview)'!A5</f>
        <v/>
      </c>
      <c r="B5" s="9">
        <f>'Yearly Potable (Overview)'!B5</f>
        <v/>
      </c>
      <c r="C5" s="9">
        <f>'Yearly Potable (Overview)'!C5</f>
        <v/>
      </c>
      <c r="D5" s="9">
        <f>'Yearly Potable (Overview)'!D5</f>
        <v/>
      </c>
      <c r="E5" s="9">
        <f>'Yearly Potable (Overview)'!E5</f>
        <v/>
      </c>
      <c r="F5" s="9">
        <f>'Yearly Potable (Overview)'!F5</f>
        <v/>
      </c>
      <c r="G5" s="9">
        <f>'Yearly Potable (Overview)'!G5</f>
        <v/>
      </c>
      <c r="H5" s="9">
        <f>'Yearly Potable (Overview)'!H5</f>
        <v/>
      </c>
      <c r="I5" s="9">
        <f>'Yearly Potable (Overview)'!I5</f>
        <v/>
      </c>
      <c r="J5" s="679">
        <f>SUM(B5:I5)</f>
        <v/>
      </c>
      <c r="K5" s="679">
        <f>J5/L5</f>
        <v/>
      </c>
      <c r="L5" s="679">
        <f>'Yearly GHG (mCO2)'!G8</f>
        <v/>
      </c>
    </row>
    <row r="6">
      <c r="A6" s="87">
        <f>'Yearly Potable (Overview)'!A6</f>
        <v/>
      </c>
      <c r="B6" s="9">
        <f>'Yearly Potable (Overview)'!B6</f>
        <v/>
      </c>
      <c r="C6" s="9">
        <f>'Yearly Potable (Overview)'!C6</f>
        <v/>
      </c>
      <c r="D6" s="9">
        <f>'Yearly Potable (Overview)'!D6</f>
        <v/>
      </c>
      <c r="E6" s="9">
        <f>'Yearly Potable (Overview)'!E6</f>
        <v/>
      </c>
      <c r="F6" s="9">
        <f>'Yearly Potable (Overview)'!F6</f>
        <v/>
      </c>
      <c r="G6" s="9">
        <f>'Yearly Potable (Overview)'!G6</f>
        <v/>
      </c>
      <c r="H6" s="9">
        <f>'Yearly Potable (Overview)'!H6</f>
        <v/>
      </c>
      <c r="I6" s="9">
        <f>'Yearly Potable (Overview)'!I6</f>
        <v/>
      </c>
      <c r="J6" s="679">
        <f>SUM(B6:I6)</f>
        <v/>
      </c>
      <c r="K6" s="679">
        <f>J6/L6</f>
        <v/>
      </c>
      <c r="L6" s="679">
        <f>'Yearly GHG (mCO2)'!G9</f>
        <v/>
      </c>
      <c r="M6" s="696" t="n"/>
    </row>
    <row r="7" ht="15" customHeight="1">
      <c r="A7" s="87">
        <f>'Yearly Potable (Overview)'!A7</f>
        <v/>
      </c>
      <c r="B7" s="9">
        <f>'Yearly Potable (Overview)'!B7</f>
        <v/>
      </c>
      <c r="C7" s="9">
        <f>'Yearly Potable (Overview)'!C7</f>
        <v/>
      </c>
      <c r="D7" s="9">
        <f>'Yearly Potable (Overview)'!D7</f>
        <v/>
      </c>
      <c r="E7" s="9">
        <f>'Yearly Potable (Overview)'!E7</f>
        <v/>
      </c>
      <c r="F7" s="9">
        <f>'Yearly Potable (Overview)'!F7</f>
        <v/>
      </c>
      <c r="G7" s="9">
        <f>'Yearly Potable (Overview)'!G7</f>
        <v/>
      </c>
      <c r="H7" s="9">
        <f>'Yearly Potable (Overview)'!H7</f>
        <v/>
      </c>
      <c r="I7" s="9">
        <f>'Yearly Potable (Overview)'!I7</f>
        <v/>
      </c>
      <c r="J7" s="679">
        <f>SUM(B7:I7)</f>
        <v/>
      </c>
      <c r="K7" s="679">
        <f>J7/L7</f>
        <v/>
      </c>
      <c r="L7" s="679">
        <f>'Yearly GHG (mCO2)'!G10</f>
        <v/>
      </c>
      <c r="M7" s="696" t="n"/>
    </row>
    <row r="8">
      <c r="A8" s="87">
        <f>'Yearly Potable (Overview)'!A8</f>
        <v/>
      </c>
      <c r="B8" s="9">
        <f>'Yearly Potable (Overview)'!B8</f>
        <v/>
      </c>
      <c r="C8" s="9">
        <f>'Yearly Potable (Overview)'!C8</f>
        <v/>
      </c>
      <c r="D8" s="9">
        <f>'Yearly Potable (Overview)'!D8</f>
        <v/>
      </c>
      <c r="E8" s="9">
        <f>'Yearly Potable (Overview)'!E8</f>
        <v/>
      </c>
      <c r="F8" s="9">
        <f>'Yearly Potable (Overview)'!F8</f>
        <v/>
      </c>
      <c r="G8" s="9">
        <f>'Yearly Potable (Overview)'!G8</f>
        <v/>
      </c>
      <c r="H8" s="9">
        <f>'Yearly Potable (Overview)'!H8</f>
        <v/>
      </c>
      <c r="I8" s="9">
        <f>'Yearly Potable (Overview)'!I8</f>
        <v/>
      </c>
      <c r="J8" s="679">
        <f>SUM(B8:I8)</f>
        <v/>
      </c>
      <c r="K8" s="679">
        <f>J8/L8</f>
        <v/>
      </c>
      <c r="L8" s="679">
        <f>'Yearly GHG (mCO2)'!G11</f>
        <v/>
      </c>
      <c r="M8" s="696" t="n"/>
    </row>
    <row r="9">
      <c r="A9" s="87">
        <f>'Yearly Potable (Overview)'!A9</f>
        <v/>
      </c>
      <c r="B9" s="9">
        <f>'Yearly Potable (Overview)'!B9</f>
        <v/>
      </c>
      <c r="C9" s="9">
        <f>'Yearly Potable (Overview)'!C9</f>
        <v/>
      </c>
      <c r="D9" s="9">
        <f>'Yearly Potable (Overview)'!D9</f>
        <v/>
      </c>
      <c r="E9" s="9">
        <f>'Yearly Potable (Overview)'!E9</f>
        <v/>
      </c>
      <c r="F9" s="9">
        <f>'Yearly Potable (Overview)'!F9</f>
        <v/>
      </c>
      <c r="G9" s="9">
        <f>'Yearly Potable (Overview)'!G9</f>
        <v/>
      </c>
      <c r="H9" s="9">
        <f>'Yearly Potable (Overview)'!H9</f>
        <v/>
      </c>
      <c r="I9" s="9">
        <f>'Yearly Potable (Overview)'!I9</f>
        <v/>
      </c>
      <c r="J9" s="679">
        <f>SUM(B9:I9)</f>
        <v/>
      </c>
      <c r="K9" s="679">
        <f>J9/L9</f>
        <v/>
      </c>
      <c r="L9" s="679">
        <f>'Yearly GHG (mCO2)'!G12</f>
        <v/>
      </c>
      <c r="M9" s="696" t="n"/>
    </row>
    <row r="10">
      <c r="A10" s="87">
        <f>'Yearly Potable (Overview)'!A10</f>
        <v/>
      </c>
      <c r="B10" s="9">
        <f>'Yearly Potable (Overview)'!B10</f>
        <v/>
      </c>
      <c r="C10" s="9">
        <f>'Yearly Potable (Overview)'!C10</f>
        <v/>
      </c>
      <c r="D10" s="9">
        <f>'Yearly Potable (Overview)'!D10</f>
        <v/>
      </c>
      <c r="E10" s="9">
        <f>'Yearly Potable (Overview)'!E10</f>
        <v/>
      </c>
      <c r="F10" s="9">
        <f>'Yearly Potable (Overview)'!F10</f>
        <v/>
      </c>
      <c r="G10" s="9">
        <f>'Yearly Potable (Overview)'!G10</f>
        <v/>
      </c>
      <c r="H10" s="9">
        <f>'Yearly Potable (Overview)'!H10</f>
        <v/>
      </c>
      <c r="I10" s="9">
        <f>'Yearly Potable (Overview)'!I10</f>
        <v/>
      </c>
      <c r="J10" s="679">
        <f>SUM(B10:I10)</f>
        <v/>
      </c>
      <c r="K10" s="679">
        <f>J10/L10</f>
        <v/>
      </c>
      <c r="L10" s="679">
        <f>'Yearly GHG (mCO2)'!G13</f>
        <v/>
      </c>
      <c r="M10" s="696" t="n"/>
    </row>
    <row r="11">
      <c r="A11" s="87">
        <f>'Yearly Potable (Overview)'!A11</f>
        <v/>
      </c>
      <c r="B11" s="9">
        <f>'Yearly Potable (Overview)'!B11</f>
        <v/>
      </c>
      <c r="C11" s="9" t="n">
        <v>16633</v>
      </c>
      <c r="D11" s="9">
        <f>'Yearly Potable (Overview)'!D11</f>
        <v/>
      </c>
      <c r="E11" s="9">
        <f>'Yearly Potable (Overview)'!E11</f>
        <v/>
      </c>
      <c r="F11" s="9">
        <f>'Yearly Potable (Overview)'!F11</f>
        <v/>
      </c>
      <c r="G11" s="9">
        <f>'Yearly Potable (Overview)'!G11</f>
        <v/>
      </c>
      <c r="H11" s="9">
        <f>'Yearly Potable (Overview)'!H11</f>
        <v/>
      </c>
      <c r="I11" s="9">
        <f>'Yearly Potable (Overview)'!I11</f>
        <v/>
      </c>
      <c r="J11" s="679">
        <f>SUM(B11:I11)</f>
        <v/>
      </c>
      <c r="K11" s="679">
        <f>J11/L11</f>
        <v/>
      </c>
      <c r="L11" s="679">
        <f>'Yearly GHG (mCO2)'!G14</f>
        <v/>
      </c>
      <c r="M11" s="696" t="n"/>
    </row>
    <row r="12">
      <c r="A12" s="87">
        <f>'Yearly Potable (Overview)'!A12</f>
        <v/>
      </c>
      <c r="B12" s="9">
        <f>'Yearly Potable (Overview)'!B12</f>
        <v/>
      </c>
      <c r="C12" s="9">
        <f>'Yearly Potable (Overview)'!C12</f>
        <v/>
      </c>
      <c r="D12" s="9">
        <f>'Yearly Potable (Overview)'!D12</f>
        <v/>
      </c>
      <c r="E12" s="9">
        <f>'Yearly Potable (Overview)'!E12</f>
        <v/>
      </c>
      <c r="F12" s="9">
        <f>'Yearly Potable (Overview)'!F12</f>
        <v/>
      </c>
      <c r="G12" s="9">
        <f>'Yearly Potable (Overview)'!G12</f>
        <v/>
      </c>
      <c r="H12" s="9">
        <f>'Yearly Potable (Overview)'!H12</f>
        <v/>
      </c>
      <c r="I12" s="9">
        <f>'Yearly Potable (Overview)'!I12</f>
        <v/>
      </c>
      <c r="J12" s="679">
        <f>SUM(B12:I12)</f>
        <v/>
      </c>
      <c r="K12" s="679">
        <f>J12/L12</f>
        <v/>
      </c>
      <c r="L12" s="679">
        <f>'Yearly GHG (mCO2)'!G15</f>
        <v/>
      </c>
      <c r="M12" s="139" t="n"/>
    </row>
    <row r="13">
      <c r="A13" s="87">
        <f>'Yearly Potable (Overview)'!A13</f>
        <v/>
      </c>
      <c r="B13" s="243">
        <f>'Yearly Potable (Overview)'!B13</f>
        <v/>
      </c>
      <c r="C13" s="243">
        <f>'Yearly Potable (Overview)'!C13</f>
        <v/>
      </c>
      <c r="D13" s="243">
        <f>'Yearly Potable (Overview)'!D13</f>
        <v/>
      </c>
      <c r="E13" s="243">
        <f>'Yearly Potable (Overview)'!E13</f>
        <v/>
      </c>
      <c r="F13" s="243">
        <f>'Yearly Potable (Overview)'!F13</f>
        <v/>
      </c>
      <c r="G13" s="243">
        <f>'Yearly Potable (Overview)'!G13</f>
        <v/>
      </c>
      <c r="H13" s="243">
        <f>'Yearly Potable (Overview)'!H13</f>
        <v/>
      </c>
      <c r="I13" s="243">
        <f>'Yearly Potable (Overview)'!I13</f>
        <v/>
      </c>
      <c r="J13" s="731">
        <f>SUM(B13:I13)</f>
        <v/>
      </c>
      <c r="K13" s="679">
        <f>J13/L13</f>
        <v/>
      </c>
      <c r="L13" s="679">
        <f>'Yearly GHG (mCO2)'!G16</f>
        <v/>
      </c>
    </row>
    <row r="14">
      <c r="B14" s="139">
        <f>B13/$J$13</f>
        <v/>
      </c>
      <c r="C14" s="139">
        <f>C13/$J$13</f>
        <v/>
      </c>
      <c r="D14" s="139">
        <f>D13/$J$13</f>
        <v/>
      </c>
      <c r="E14" s="139">
        <f>E13/$J$13</f>
        <v/>
      </c>
      <c r="F14" s="139">
        <f>F13/$J$13</f>
        <v/>
      </c>
      <c r="G14" s="139">
        <f>G13/$J$13</f>
        <v/>
      </c>
      <c r="H14" s="139">
        <f>H13/$J$13</f>
        <v/>
      </c>
      <c r="I14" s="139">
        <f>I13/$J$13</f>
        <v/>
      </c>
      <c r="J14" s="139">
        <f>(J13-J3)/J3</f>
        <v/>
      </c>
      <c r="K14" s="139">
        <f>(K13-K3)/K3</f>
        <v/>
      </c>
      <c r="L14" s="139" t="n"/>
    </row>
    <row r="15">
      <c r="J15" s="139">
        <f>J13/J12-1</f>
        <v/>
      </c>
      <c r="K15" s="139">
        <f>K13/K12-1</f>
        <v/>
      </c>
      <c r="L15" s="139" t="n"/>
    </row>
    <row r="16">
      <c r="K16" s="139">
        <f>K13/K3-1</f>
        <v/>
      </c>
      <c r="L16" s="139" t="n"/>
      <c r="N16" s="8" t="inlineStr">
        <is>
          <t>2014/15</t>
        </is>
      </c>
      <c r="O16" s="9" t="n">
        <v>516007.784</v>
      </c>
    </row>
    <row r="17">
      <c r="N17" s="8" t="inlineStr">
        <is>
          <t>2015/16</t>
        </is>
      </c>
      <c r="O17" s="9" t="n">
        <v>419818.956</v>
      </c>
    </row>
    <row r="18">
      <c r="N18" s="8" t="inlineStr">
        <is>
          <t>2016/17</t>
        </is>
      </c>
      <c r="O18" s="9" t="n">
        <v>426360.0556</v>
      </c>
    </row>
    <row r="19">
      <c r="K19" s="522">
        <f>(J13-J12)/J12</f>
        <v/>
      </c>
      <c r="N19" s="8" t="inlineStr">
        <is>
          <t>2017/18</t>
        </is>
      </c>
      <c r="O19" s="9" t="n">
        <v>398367.45288</v>
      </c>
    </row>
    <row r="20">
      <c r="K20" s="696">
        <f>(J13-J3)/J3</f>
        <v/>
      </c>
      <c r="N20" s="8" t="inlineStr">
        <is>
          <t>2018/19</t>
        </is>
      </c>
      <c r="O20" s="9" t="n">
        <v>395898.65664</v>
      </c>
    </row>
    <row r="21">
      <c r="N21" s="8" t="inlineStr">
        <is>
          <t>2019/20</t>
        </is>
      </c>
      <c r="O21" s="9" t="n">
        <v>342669.108</v>
      </c>
    </row>
    <row r="22">
      <c r="N22" s="8" t="inlineStr">
        <is>
          <t>2020/21</t>
        </is>
      </c>
      <c r="O22" s="9" t="n">
        <v>336162</v>
      </c>
    </row>
    <row r="23">
      <c r="N23" s="8" t="inlineStr">
        <is>
          <t>2021/22</t>
        </is>
      </c>
      <c r="O23" s="9" t="n">
        <v>377686.654</v>
      </c>
    </row>
    <row r="24">
      <c r="N24" s="8" t="inlineStr">
        <is>
          <t>2022/23</t>
        </is>
      </c>
      <c r="O24" s="9" t="n">
        <v>470431.67</v>
      </c>
    </row>
    <row r="25" ht="17" customHeight="1">
      <c r="N25" s="55" t="inlineStr">
        <is>
          <t>2023/24</t>
        </is>
      </c>
      <c r="O25" s="9" t="n">
        <v>463486</v>
      </c>
    </row>
    <row r="26" ht="51" customHeight="1">
      <c r="N26" s="55" t="inlineStr">
        <is>
          <t>Dec 2024 Rolling 12 months</t>
        </is>
      </c>
      <c r="O26" s="9" t="n">
        <v>441256</v>
      </c>
    </row>
    <row r="28">
      <c r="O28" s="139">
        <f>(O26-500000)/500000</f>
        <v/>
      </c>
    </row>
  </sheetData>
  <mergeCells count="1">
    <mergeCell ref="A1:I1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:I1"/>
    </sheetView>
  </sheetViews>
  <sheetFormatPr baseColWidth="10" defaultColWidth="8.6640625" defaultRowHeight="16"/>
  <cols>
    <col width="8.6640625" customWidth="1" style="1" min="1" max="1"/>
    <col width="18.33203125" customWidth="1" style="1" min="2" max="2"/>
    <col width="15.6640625" customWidth="1" style="1" min="3" max="3"/>
    <col width="13.33203125" customWidth="1" style="1" min="4" max="4"/>
    <col width="15.6640625" customWidth="1" style="1" min="5" max="8"/>
    <col width="10.6640625" customWidth="1" style="1" min="9" max="9"/>
    <col width="3.33203125" customWidth="1" style="134" min="10" max="10"/>
    <col width="8.6640625" customWidth="1" style="1" min="11" max="16384"/>
  </cols>
  <sheetData>
    <row r="1" ht="18" customHeight="1">
      <c r="A1" s="670" t="inlineStr">
        <is>
          <t>Potable Water</t>
        </is>
      </c>
    </row>
    <row r="2" ht="51" customFormat="1" customHeight="1" s="55">
      <c r="A2" s="65" t="inlineStr">
        <is>
          <t xml:space="preserve">Date </t>
        </is>
      </c>
      <c r="B2" s="65" t="inlineStr">
        <is>
          <t>Main Academic Buildings + Public Facilities</t>
        </is>
      </c>
      <c r="C2" s="65" t="inlineStr">
        <is>
          <t>Cheng Yu Tung Building</t>
        </is>
      </c>
      <c r="D2" s="65" t="inlineStr">
        <is>
          <t>LSK Campus</t>
        </is>
      </c>
      <c r="E2" s="65" t="inlineStr">
        <is>
          <t>Conference Lodge</t>
        </is>
      </c>
      <c r="F2" s="65" t="inlineStr">
        <is>
          <t>Student Housing</t>
        </is>
      </c>
      <c r="G2" s="65" t="inlineStr">
        <is>
          <t>Canteens and Commercial</t>
        </is>
      </c>
      <c r="H2" s="65" t="inlineStr">
        <is>
          <t xml:space="preserve">Staff Quarters </t>
        </is>
      </c>
      <c r="I2" s="65" t="inlineStr">
        <is>
          <t>Total (m3)</t>
        </is>
      </c>
      <c r="J2" s="177" t="n"/>
    </row>
    <row r="3">
      <c r="A3" s="105" t="n">
        <v>45108</v>
      </c>
      <c r="B3" s="14">
        <f t="array" ref="B3:J8">'Monthly Potable (Overview)'!B62:J67</f>
        <v/>
      </c>
      <c r="C3" s="1" t="n">
        <v>1122</v>
      </c>
      <c r="D3" s="1" t="n">
        <v>2675</v>
      </c>
      <c r="E3" s="1" t="n">
        <v>123</v>
      </c>
      <c r="F3" s="1" t="n">
        <v>5054</v>
      </c>
      <c r="G3" s="1" t="n">
        <v>8918</v>
      </c>
      <c r="H3" s="1" t="n">
        <v>5033</v>
      </c>
      <c r="I3" s="1" t="n">
        <v>811</v>
      </c>
      <c r="J3" s="134" t="n">
        <v>39261</v>
      </c>
    </row>
    <row r="4">
      <c r="A4" s="105" t="n">
        <v>45139</v>
      </c>
      <c r="B4" s="1" t="n">
        <v>13190</v>
      </c>
      <c r="C4" s="1" t="n">
        <v>870</v>
      </c>
      <c r="D4" s="1" t="n">
        <v>2587</v>
      </c>
      <c r="E4" s="1" t="n">
        <v>201</v>
      </c>
      <c r="F4" s="1" t="n">
        <v>3906</v>
      </c>
      <c r="G4" s="1" t="n">
        <v>8003</v>
      </c>
      <c r="H4" s="1" t="n">
        <v>5033</v>
      </c>
      <c r="I4" s="1" t="n">
        <v>893</v>
      </c>
      <c r="J4" s="134" t="n">
        <v>34683</v>
      </c>
    </row>
    <row r="5">
      <c r="A5" s="105" t="n">
        <v>45170</v>
      </c>
      <c r="B5" s="1" t="n">
        <v>9180</v>
      </c>
      <c r="C5" s="1" t="n">
        <v>817</v>
      </c>
      <c r="D5" s="1" t="n">
        <v>6279</v>
      </c>
      <c r="E5" s="1" t="n">
        <v>1297</v>
      </c>
      <c r="F5" s="1" t="n">
        <v>11143</v>
      </c>
      <c r="G5" s="1" t="n">
        <v>10310</v>
      </c>
      <c r="H5" s="1" t="n">
        <v>4870</v>
      </c>
      <c r="I5" s="1" t="n">
        <v>733</v>
      </c>
      <c r="J5" s="134" t="n">
        <v>44629</v>
      </c>
    </row>
    <row r="6">
      <c r="A6" s="105" t="n">
        <v>45200</v>
      </c>
      <c r="B6" s="1" t="n">
        <v>11141</v>
      </c>
      <c r="C6" s="1" t="n">
        <v>1366</v>
      </c>
      <c r="D6" s="1" t="n">
        <v>4385</v>
      </c>
      <c r="E6" s="1" t="n">
        <v>740</v>
      </c>
      <c r="F6" s="1" t="n">
        <v>12101</v>
      </c>
      <c r="G6" s="1" t="n">
        <v>11555</v>
      </c>
      <c r="H6" s="1" t="n">
        <v>5010</v>
      </c>
      <c r="I6" s="1" t="n">
        <v>633</v>
      </c>
      <c r="J6" s="134" t="n">
        <v>46931</v>
      </c>
    </row>
    <row r="7">
      <c r="A7" s="105" t="n">
        <v>45231</v>
      </c>
      <c r="B7" s="1" t="n">
        <v>7139</v>
      </c>
      <c r="C7" s="1" t="n">
        <v>1155</v>
      </c>
      <c r="D7" s="1" t="n">
        <v>5099</v>
      </c>
      <c r="E7" s="1" t="n">
        <v>1127</v>
      </c>
      <c r="F7" s="1" t="n">
        <v>12345</v>
      </c>
      <c r="G7" s="1" t="n">
        <v>9609</v>
      </c>
      <c r="H7" s="1" t="n">
        <v>4848</v>
      </c>
      <c r="I7" s="1" t="n">
        <v>901</v>
      </c>
      <c r="J7" s="134" t="n">
        <v>42223</v>
      </c>
    </row>
    <row r="8">
      <c r="A8" s="105" t="n">
        <v>45261</v>
      </c>
      <c r="B8" s="1" t="n">
        <v>8690</v>
      </c>
      <c r="C8" s="1" t="n">
        <v>1086</v>
      </c>
      <c r="D8" s="1" t="n">
        <v>1891</v>
      </c>
      <c r="E8" s="1" t="n">
        <v>146</v>
      </c>
      <c r="F8" s="1" t="n">
        <v>12811</v>
      </c>
      <c r="G8" s="1" t="n">
        <v>9607</v>
      </c>
      <c r="H8" s="1" t="n">
        <v>5010</v>
      </c>
      <c r="I8" s="1" t="n">
        <v>814</v>
      </c>
      <c r="J8" s="134" t="n">
        <v>40055</v>
      </c>
    </row>
    <row r="30" ht="51" customHeight="1">
      <c r="A30" s="65" t="inlineStr">
        <is>
          <t xml:space="preserve">Date </t>
        </is>
      </c>
      <c r="B30" s="65" t="inlineStr">
        <is>
          <t>Main Academic Buildings + Public Facilities</t>
        </is>
      </c>
      <c r="C30" s="65" t="inlineStr">
        <is>
          <t>Cheng Yu Tung Building</t>
        </is>
      </c>
      <c r="D30" s="65" t="inlineStr">
        <is>
          <t>LSK Campus</t>
        </is>
      </c>
      <c r="E30" s="65" t="inlineStr">
        <is>
          <t>Conference Lodge</t>
        </is>
      </c>
      <c r="F30" s="65" t="inlineStr">
        <is>
          <t>Student Housing</t>
        </is>
      </c>
      <c r="G30" s="65" t="inlineStr">
        <is>
          <t>Canteens and Commercial</t>
        </is>
      </c>
      <c r="H30" s="65" t="inlineStr">
        <is>
          <t xml:space="preserve">Staff Quarters </t>
        </is>
      </c>
      <c r="I30" s="65" t="inlineStr">
        <is>
          <t>Total (m3)</t>
        </is>
      </c>
    </row>
    <row r="31">
      <c r="A31" s="105" t="n">
        <v>45292</v>
      </c>
      <c r="B31" s="14">
        <f t="array" ref="B31:J36">'Monthly Potable (Overview)'!B68:J73</f>
        <v/>
      </c>
      <c r="C31" s="1" t="n">
        <v>1150</v>
      </c>
      <c r="D31" s="1" t="n">
        <v>1617</v>
      </c>
      <c r="E31" s="1" t="n">
        <v>205</v>
      </c>
      <c r="F31" s="1" t="n">
        <v>5012</v>
      </c>
      <c r="G31" s="1" t="n">
        <v>7282</v>
      </c>
      <c r="H31" s="1" t="n">
        <v>4988</v>
      </c>
      <c r="I31" s="1" t="n">
        <v>719</v>
      </c>
      <c r="J31" s="134" t="n">
        <v>26743</v>
      </c>
    </row>
    <row r="32">
      <c r="A32" s="105" t="n">
        <v>45323</v>
      </c>
      <c r="B32" s="1" t="n">
        <v>8413</v>
      </c>
      <c r="C32" s="1" t="n">
        <v>752</v>
      </c>
      <c r="D32" s="1" t="n">
        <v>602</v>
      </c>
      <c r="E32" s="1" t="n">
        <v>485</v>
      </c>
      <c r="F32" s="1" t="n">
        <v>8652</v>
      </c>
      <c r="G32" s="1" t="n">
        <v>7959</v>
      </c>
      <c r="H32" s="1" t="n">
        <v>4687</v>
      </c>
      <c r="I32" s="1" t="n">
        <v>587</v>
      </c>
      <c r="J32" s="134" t="n">
        <v>32137</v>
      </c>
    </row>
    <row r="33">
      <c r="A33" s="105" t="n">
        <v>45352</v>
      </c>
      <c r="B33" s="1" t="n">
        <v>10100</v>
      </c>
      <c r="C33" s="1" t="n">
        <v>908</v>
      </c>
      <c r="D33" s="1" t="n">
        <v>640</v>
      </c>
      <c r="E33" s="1" t="n">
        <v>218</v>
      </c>
      <c r="F33" s="1" t="n">
        <v>10837</v>
      </c>
      <c r="G33" s="1" t="n">
        <v>8977</v>
      </c>
      <c r="H33" s="1" t="n">
        <v>5010</v>
      </c>
      <c r="I33" s="1" t="n">
        <v>568</v>
      </c>
      <c r="J33" s="134" t="n">
        <v>37258</v>
      </c>
    </row>
    <row r="34">
      <c r="A34" s="105" t="n">
        <v>45383</v>
      </c>
      <c r="B34" s="1" t="n">
        <v>15117</v>
      </c>
      <c r="C34" s="1" t="n">
        <v>890</v>
      </c>
      <c r="D34" s="1" t="n">
        <v>1150</v>
      </c>
      <c r="E34" s="1" t="n">
        <v>131</v>
      </c>
      <c r="F34" s="1" t="n">
        <v>10675</v>
      </c>
      <c r="G34" s="1" t="n">
        <v>9445</v>
      </c>
      <c r="H34" s="1" t="n">
        <v>4848</v>
      </c>
      <c r="I34" s="1" t="n">
        <v>671</v>
      </c>
      <c r="J34" s="134" t="n">
        <v>42927</v>
      </c>
    </row>
    <row r="35">
      <c r="A35" s="105" t="n">
        <v>45413</v>
      </c>
      <c r="B35" s="1" t="n">
        <v>14227</v>
      </c>
      <c r="C35" s="1" t="n">
        <v>852</v>
      </c>
      <c r="D35" s="1" t="n">
        <v>1062</v>
      </c>
      <c r="E35" s="1" t="n">
        <v>173</v>
      </c>
      <c r="F35" s="1" t="n">
        <v>10554</v>
      </c>
      <c r="G35" s="1" t="n">
        <v>9380</v>
      </c>
      <c r="H35" s="1" t="n">
        <v>5010</v>
      </c>
      <c r="I35" s="1" t="n">
        <v>595</v>
      </c>
      <c r="J35" s="134" t="n">
        <v>41853</v>
      </c>
    </row>
    <row r="36">
      <c r="A36" s="105" t="n">
        <v>45444</v>
      </c>
      <c r="B36" s="1" t="n">
        <v>15015</v>
      </c>
      <c r="C36" s="1" t="n">
        <v>738</v>
      </c>
      <c r="D36" s="1" t="n">
        <v>1210</v>
      </c>
      <c r="E36" s="1" t="n">
        <v>130</v>
      </c>
      <c r="F36" s="1" t="n">
        <v>4711</v>
      </c>
      <c r="G36" s="1" t="n">
        <v>7496</v>
      </c>
      <c r="H36" s="1" t="n">
        <v>4848</v>
      </c>
      <c r="I36" s="1" t="n">
        <v>638</v>
      </c>
      <c r="J36" s="134" t="n">
        <v>34786</v>
      </c>
    </row>
  </sheetData>
  <mergeCells count="1">
    <mergeCell ref="A1:I1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xSplit="1" ySplit="1" topLeftCell="B7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0.6640625" defaultRowHeight="16"/>
  <cols>
    <col width="13.33203125" customWidth="1" style="599" min="1" max="1"/>
    <col width="18.33203125" customWidth="1" style="55" min="2" max="9"/>
    <col width="15.6640625" customWidth="1" style="55" min="10" max="10"/>
    <col width="10.6640625" customWidth="1" style="55" min="11" max="14"/>
    <col width="15.5" customWidth="1" style="55" min="15" max="15"/>
    <col width="15.6640625" customWidth="1" style="55" min="16" max="16"/>
    <col width="10.6640625" customWidth="1" style="55" min="17" max="16384"/>
  </cols>
  <sheetData>
    <row r="1" ht="51" customHeight="1">
      <c r="A1" s="596" t="inlineStr">
        <is>
          <t xml:space="preserve">Date </t>
        </is>
      </c>
      <c r="B1" s="65" t="inlineStr">
        <is>
          <t>Main Academic Buildings + Public Facilities</t>
        </is>
      </c>
      <c r="C1" s="65" t="inlineStr">
        <is>
          <t>Cheng Yu Tung Building</t>
        </is>
      </c>
      <c r="D1" s="65" t="inlineStr">
        <is>
          <t>LSKBB and IAS</t>
        </is>
      </c>
      <c r="E1" s="65" t="inlineStr">
        <is>
          <t>Conference Lodge</t>
        </is>
      </c>
      <c r="F1" s="65" t="inlineStr">
        <is>
          <t>Student Housing</t>
        </is>
      </c>
      <c r="G1" s="65" t="inlineStr">
        <is>
          <t>Canteens and Commercial</t>
        </is>
      </c>
      <c r="H1" s="65" t="inlineStr">
        <is>
          <t>Staff Quarter Household</t>
        </is>
      </c>
      <c r="I1" s="65" t="inlineStr">
        <is>
          <t>Public Facilities in Staff Quarters</t>
        </is>
      </c>
      <c r="J1" s="65" t="inlineStr">
        <is>
          <t>HKUST Total (m3)</t>
        </is>
      </c>
      <c r="K1" s="55" t="inlineStr">
        <is>
          <t>Cooling Tower Total</t>
        </is>
      </c>
    </row>
    <row r="2">
      <c r="A2" s="597" t="n">
        <v>43282</v>
      </c>
      <c r="B2" s="671" t="n"/>
      <c r="C2" s="671" t="n"/>
      <c r="D2" s="671" t="n"/>
      <c r="E2" s="671" t="n"/>
      <c r="F2" s="671" t="n"/>
      <c r="G2" s="671" t="n"/>
      <c r="H2" s="671" t="n"/>
      <c r="I2" s="671" t="n"/>
      <c r="J2" s="671" t="n"/>
    </row>
    <row r="3">
      <c r="A3" s="597" t="n">
        <v>43313</v>
      </c>
      <c r="B3" s="671" t="n"/>
      <c r="C3" s="671" t="n"/>
      <c r="D3" s="671" t="n"/>
      <c r="E3" s="671" t="n"/>
      <c r="F3" s="671" t="n"/>
      <c r="G3" s="671" t="n"/>
      <c r="H3" s="671" t="n"/>
      <c r="I3" s="671" t="n"/>
      <c r="J3" s="671" t="n"/>
    </row>
    <row r="4">
      <c r="A4" s="597" t="n">
        <v>43344</v>
      </c>
      <c r="B4" s="671" t="n"/>
      <c r="C4" s="671" t="n"/>
      <c r="D4" s="671" t="n"/>
      <c r="E4" s="671" t="n"/>
      <c r="F4" s="671" t="n"/>
      <c r="G4" s="671" t="n"/>
      <c r="H4" s="671" t="n"/>
      <c r="I4" s="671" t="n"/>
      <c r="J4" s="671" t="n"/>
    </row>
    <row r="5">
      <c r="A5" s="598" t="n">
        <v>43374</v>
      </c>
      <c r="B5" s="9" t="n">
        <v>4792</v>
      </c>
      <c r="C5" s="9" t="n">
        <v>1813</v>
      </c>
      <c r="D5" s="9" t="n">
        <v>2440</v>
      </c>
      <c r="E5" s="8" t="n">
        <v>221</v>
      </c>
      <c r="F5" s="9" t="n">
        <v>12334</v>
      </c>
      <c r="G5" s="9" t="n">
        <v>10815</v>
      </c>
      <c r="H5" s="366" t="n"/>
      <c r="I5" s="9" t="n">
        <v>1635</v>
      </c>
      <c r="J5" s="56">
        <f>SUM(B5:I5)</f>
        <v/>
      </c>
    </row>
    <row r="6">
      <c r="A6" s="598" t="n">
        <v>43405</v>
      </c>
      <c r="B6" s="9" t="n">
        <v>3791</v>
      </c>
      <c r="C6" s="9" t="n">
        <v>1872</v>
      </c>
      <c r="D6" s="9" t="n">
        <v>2222</v>
      </c>
      <c r="E6" s="8" t="n">
        <v>164</v>
      </c>
      <c r="F6" s="9" t="n">
        <v>12510</v>
      </c>
      <c r="G6" s="9" t="n">
        <v>9900</v>
      </c>
      <c r="H6" s="366" t="n"/>
      <c r="I6" s="9" t="n">
        <v>1312</v>
      </c>
      <c r="J6" s="56">
        <f>SUM(B6:I6)</f>
        <v/>
      </c>
    </row>
    <row r="7">
      <c r="A7" s="598" t="n">
        <v>43435</v>
      </c>
      <c r="B7" s="9" t="n">
        <v>3355</v>
      </c>
      <c r="C7" s="9" t="n">
        <v>1435</v>
      </c>
      <c r="D7" s="9" t="n">
        <v>1947</v>
      </c>
      <c r="E7" s="8" t="n">
        <v>188</v>
      </c>
      <c r="F7" s="9" t="n">
        <v>10429</v>
      </c>
      <c r="G7" s="9" t="n">
        <v>9925</v>
      </c>
      <c r="H7" s="366" t="n"/>
      <c r="I7" s="8" t="n">
        <v>948</v>
      </c>
      <c r="J7" s="56">
        <f>SUM(B7:I7)</f>
        <v/>
      </c>
    </row>
    <row r="8">
      <c r="A8" s="598" t="n">
        <v>43466</v>
      </c>
      <c r="B8" s="9" t="n">
        <v>2572</v>
      </c>
      <c r="C8" s="9" t="n">
        <v>1783</v>
      </c>
      <c r="D8" s="9" t="n">
        <v>1635</v>
      </c>
      <c r="E8" s="8" t="n">
        <v>206</v>
      </c>
      <c r="F8" s="9" t="n">
        <v>5019</v>
      </c>
      <c r="G8" s="9" t="n">
        <v>8948</v>
      </c>
      <c r="H8" s="366" t="n"/>
      <c r="I8" s="8" t="n">
        <v>817</v>
      </c>
      <c r="J8" s="56">
        <f>SUM(B8:I8)</f>
        <v/>
      </c>
    </row>
    <row r="9">
      <c r="A9" s="598" t="n">
        <v>43497</v>
      </c>
      <c r="B9" s="9" t="n">
        <v>3907</v>
      </c>
      <c r="C9" s="9" t="n">
        <v>1415</v>
      </c>
      <c r="D9" s="9" t="n">
        <v>1397</v>
      </c>
      <c r="E9" s="8" t="n">
        <v>104</v>
      </c>
      <c r="F9" s="9" t="n">
        <v>11334</v>
      </c>
      <c r="G9" s="9" t="n">
        <v>9575</v>
      </c>
      <c r="H9" s="366" t="n"/>
      <c r="I9" s="8" t="n">
        <v>721</v>
      </c>
      <c r="J9" s="56">
        <f>SUM(B9:I9)</f>
        <v/>
      </c>
    </row>
    <row r="10">
      <c r="A10" s="598" t="n">
        <v>43525</v>
      </c>
      <c r="B10" s="9" t="n">
        <v>3824</v>
      </c>
      <c r="C10" s="9" t="n">
        <v>2010</v>
      </c>
      <c r="D10" s="9" t="n">
        <v>1521</v>
      </c>
      <c r="E10" s="8" t="n">
        <v>122</v>
      </c>
      <c r="F10" s="9" t="n">
        <v>16283</v>
      </c>
      <c r="G10" s="9" t="n">
        <v>10774</v>
      </c>
      <c r="H10" s="366" t="n"/>
      <c r="I10" s="9" t="n">
        <v>1040</v>
      </c>
      <c r="J10" s="56">
        <f>SUM(B10:I10)</f>
        <v/>
      </c>
    </row>
    <row r="11">
      <c r="A11" s="598" t="n">
        <v>43556</v>
      </c>
      <c r="B11" s="9" t="n">
        <v>6508</v>
      </c>
      <c r="C11" s="9" t="n">
        <v>1496</v>
      </c>
      <c r="D11" s="9" t="n">
        <v>2510</v>
      </c>
      <c r="E11" s="8" t="n">
        <v>144</v>
      </c>
      <c r="F11" s="9" t="n">
        <v>10294</v>
      </c>
      <c r="G11" s="9" t="n">
        <v>12406</v>
      </c>
      <c r="H11" s="366" t="n"/>
      <c r="I11" s="9" t="n">
        <v>1286</v>
      </c>
      <c r="J11" s="56">
        <f>SUM(B11:I11)</f>
        <v/>
      </c>
    </row>
    <row r="12">
      <c r="A12" s="598" t="n">
        <v>43586</v>
      </c>
      <c r="B12" s="9" t="n">
        <v>3052</v>
      </c>
      <c r="C12" s="9" t="n">
        <v>1113</v>
      </c>
      <c r="D12" s="9" t="n">
        <v>2747</v>
      </c>
      <c r="E12" s="8" t="n">
        <v>142</v>
      </c>
      <c r="F12" s="9" t="n">
        <v>10496</v>
      </c>
      <c r="G12" s="9" t="n">
        <v>11155</v>
      </c>
      <c r="H12" s="366" t="n"/>
      <c r="I12" s="9" t="n">
        <v>1432</v>
      </c>
      <c r="J12" s="56">
        <f>SUM(B12:I12)</f>
        <v/>
      </c>
    </row>
    <row r="13">
      <c r="A13" s="598" t="n">
        <v>43617</v>
      </c>
      <c r="B13" s="9" t="n">
        <v>2502</v>
      </c>
      <c r="C13" s="9" t="n">
        <v>1112</v>
      </c>
      <c r="D13" s="9" t="n">
        <v>3174</v>
      </c>
      <c r="E13" s="8" t="n">
        <v>258</v>
      </c>
      <c r="F13" s="9" t="n">
        <v>5127</v>
      </c>
      <c r="G13" s="9" t="n">
        <v>8561</v>
      </c>
      <c r="H13" s="366" t="n"/>
      <c r="I13" s="9" t="n">
        <v>1904</v>
      </c>
      <c r="J13" s="56">
        <f>SUM(B13:I13)</f>
        <v/>
      </c>
    </row>
    <row r="14">
      <c r="A14" s="598" t="n">
        <v>43647</v>
      </c>
      <c r="B14" s="9" t="n">
        <v>1904</v>
      </c>
      <c r="C14" s="9" t="n">
        <v>1234</v>
      </c>
      <c r="D14" s="9" t="n">
        <v>2387</v>
      </c>
      <c r="E14" s="8" t="n">
        <v>178</v>
      </c>
      <c r="F14" s="9" t="n">
        <v>4833</v>
      </c>
      <c r="G14" s="9" t="n">
        <v>6933</v>
      </c>
      <c r="H14" s="366" t="n"/>
      <c r="I14" s="9" t="n">
        <v>1849</v>
      </c>
      <c r="J14" s="56">
        <f>SUM(B14:I14)</f>
        <v/>
      </c>
    </row>
    <row r="15">
      <c r="A15" s="598" t="n">
        <v>43678</v>
      </c>
      <c r="B15" s="56" t="n"/>
      <c r="C15" s="366" t="n"/>
      <c r="D15" s="366" t="n"/>
      <c r="E15" s="366" t="n"/>
      <c r="F15" s="366" t="n"/>
      <c r="G15" s="366" t="n"/>
      <c r="H15" s="366" t="n"/>
      <c r="I15" s="366" t="n"/>
      <c r="J15" s="56" t="n"/>
      <c r="K15" s="247" t="n"/>
    </row>
    <row r="16">
      <c r="A16" s="598" t="n">
        <v>43709</v>
      </c>
      <c r="B16" s="56" t="n"/>
      <c r="C16" s="366" t="n"/>
      <c r="D16" s="366" t="n"/>
      <c r="E16" s="366" t="n"/>
      <c r="F16" s="366" t="n"/>
      <c r="G16" s="366" t="n"/>
      <c r="H16" s="366" t="n"/>
      <c r="I16" s="366" t="n"/>
      <c r="J16" s="56" t="n"/>
    </row>
    <row r="17">
      <c r="A17" s="598" t="n">
        <v>43739</v>
      </c>
      <c r="B17" s="56" t="n"/>
      <c r="C17" s="366" t="n"/>
      <c r="D17" s="366" t="n"/>
      <c r="E17" s="366" t="n"/>
      <c r="F17" s="366" t="n"/>
      <c r="G17" s="366" t="n"/>
      <c r="H17" s="366" t="n"/>
      <c r="I17" s="366" t="n"/>
      <c r="J17" s="56" t="n"/>
    </row>
    <row r="18">
      <c r="A18" s="598" t="n">
        <v>43770</v>
      </c>
      <c r="B18" s="9" t="n">
        <v>4236</v>
      </c>
      <c r="C18" s="8" t="n">
        <v>868</v>
      </c>
      <c r="D18" s="8" t="n">
        <v>975</v>
      </c>
      <c r="E18" s="8" t="n">
        <v>86</v>
      </c>
      <c r="F18" s="9" t="n">
        <v>8314</v>
      </c>
      <c r="G18" s="9" t="n">
        <v>8298</v>
      </c>
      <c r="H18" s="366" t="n"/>
      <c r="I18" s="8" t="n">
        <v>965</v>
      </c>
      <c r="J18" s="56">
        <f>SUM(B18:I18)</f>
        <v/>
      </c>
    </row>
    <row r="19">
      <c r="A19" s="598" t="n">
        <v>43800</v>
      </c>
      <c r="B19" s="9" t="n">
        <v>3907</v>
      </c>
      <c r="C19" s="9" t="n">
        <v>1073</v>
      </c>
      <c r="D19" s="9" t="n">
        <v>1014</v>
      </c>
      <c r="E19" s="8" t="n">
        <v>41</v>
      </c>
      <c r="F19" s="9" t="n">
        <v>4410</v>
      </c>
      <c r="G19" s="9" t="n">
        <v>8316</v>
      </c>
      <c r="H19" s="366" t="n"/>
      <c r="I19" s="9" t="n">
        <v>1133</v>
      </c>
      <c r="J19" s="56">
        <f>SUM(B19:I19)</f>
        <v/>
      </c>
    </row>
    <row r="20">
      <c r="A20" s="598" t="n">
        <v>43831</v>
      </c>
      <c r="B20" s="9" t="n">
        <v>3262</v>
      </c>
      <c r="C20" s="9" t="n">
        <v>1021</v>
      </c>
      <c r="D20" s="9" t="n">
        <v>1165</v>
      </c>
      <c r="E20" s="8" t="n">
        <v>139</v>
      </c>
      <c r="F20" s="9" t="n">
        <v>3205</v>
      </c>
      <c r="G20" s="9" t="n">
        <v>7462</v>
      </c>
      <c r="H20" s="366" t="n"/>
      <c r="I20" s="8" t="n">
        <v>994</v>
      </c>
      <c r="J20" s="56">
        <f>SUM(B20:I20)</f>
        <v/>
      </c>
    </row>
    <row r="21">
      <c r="A21" s="598" t="n">
        <v>43862</v>
      </c>
      <c r="B21" s="8" t="n">
        <v>948</v>
      </c>
      <c r="C21" s="9" t="n">
        <v>1444</v>
      </c>
      <c r="D21" s="8" t="n">
        <v>746</v>
      </c>
      <c r="E21" s="8" t="n">
        <v>763</v>
      </c>
      <c r="F21" s="9" t="n">
        <v>3205</v>
      </c>
      <c r="G21" s="9" t="n">
        <v>3821</v>
      </c>
      <c r="H21" s="366" t="n"/>
      <c r="I21" s="8" t="n">
        <v>793</v>
      </c>
      <c r="J21" s="56">
        <f>SUM(B21:I21)</f>
        <v/>
      </c>
    </row>
    <row r="22">
      <c r="A22" s="598" t="n">
        <v>43891</v>
      </c>
      <c r="B22" s="56" t="n"/>
      <c r="C22" s="366" t="n"/>
      <c r="D22" s="366" t="n"/>
      <c r="E22" s="366" t="n"/>
      <c r="F22" s="366" t="n"/>
      <c r="G22" s="366" t="n"/>
      <c r="H22" s="366" t="n"/>
      <c r="I22" s="366" t="n"/>
      <c r="J22" s="56" t="n"/>
    </row>
    <row r="23">
      <c r="A23" s="598" t="n">
        <v>43922</v>
      </c>
      <c r="B23" s="9" t="n">
        <v>1829</v>
      </c>
      <c r="C23" s="8" t="n">
        <v>685</v>
      </c>
      <c r="D23" s="9" t="n">
        <v>2204</v>
      </c>
      <c r="E23" s="8" t="n">
        <v>32</v>
      </c>
      <c r="F23" s="9" t="n">
        <v>3400</v>
      </c>
      <c r="G23" s="9" t="n">
        <v>5913</v>
      </c>
      <c r="H23" s="366" t="n"/>
      <c r="I23" s="9" t="n">
        <v>2563</v>
      </c>
      <c r="J23" s="56">
        <f>SUM(B23:I23)</f>
        <v/>
      </c>
      <c r="K23" s="9" t="n"/>
    </row>
    <row r="24">
      <c r="A24" s="598" t="n">
        <v>43952</v>
      </c>
      <c r="B24" s="9" t="n">
        <v>6473</v>
      </c>
      <c r="C24" s="9" t="n">
        <v>1030</v>
      </c>
      <c r="D24" s="8" t="n">
        <v>384</v>
      </c>
      <c r="E24" s="8" t="n">
        <v>23</v>
      </c>
      <c r="F24" s="9" t="n">
        <v>4009</v>
      </c>
      <c r="G24" s="9" t="n">
        <v>7244</v>
      </c>
      <c r="H24" s="366" t="n"/>
      <c r="I24" s="8" t="n">
        <v>689</v>
      </c>
      <c r="J24" s="56">
        <f>SUM(B24:I24)</f>
        <v/>
      </c>
      <c r="K24" s="9" t="n"/>
    </row>
    <row r="25">
      <c r="A25" s="598" t="n">
        <v>43983</v>
      </c>
      <c r="B25" s="9" t="n">
        <v>2564</v>
      </c>
      <c r="C25" s="9" t="n">
        <v>1299</v>
      </c>
      <c r="D25" s="9" t="n">
        <v>2061</v>
      </c>
      <c r="E25" s="8" t="n">
        <v>105</v>
      </c>
      <c r="F25" s="9" t="n">
        <v>2296</v>
      </c>
      <c r="G25" s="9" t="n">
        <v>7897</v>
      </c>
      <c r="H25" s="366" t="n"/>
      <c r="I25" s="9" t="n">
        <v>2103</v>
      </c>
      <c r="J25" s="56">
        <f>SUM(B25:I25)</f>
        <v/>
      </c>
      <c r="K25" s="9" t="n"/>
    </row>
    <row r="26">
      <c r="A26" s="598" t="n">
        <v>44013</v>
      </c>
      <c r="B26" s="9" t="n">
        <v>2480</v>
      </c>
      <c r="C26" s="9" t="n">
        <v>1114</v>
      </c>
      <c r="D26" s="9" t="n">
        <v>2086</v>
      </c>
      <c r="E26" s="8" t="n">
        <v>124</v>
      </c>
      <c r="F26" s="9" t="n">
        <v>1920</v>
      </c>
      <c r="G26" s="9" t="n">
        <v>8052</v>
      </c>
      <c r="H26" s="366" t="n"/>
      <c r="I26" s="9" t="n">
        <v>2328</v>
      </c>
      <c r="J26" s="56">
        <f>SUM(B26:I26)</f>
        <v/>
      </c>
      <c r="K26" s="9" t="n"/>
    </row>
    <row r="27">
      <c r="A27" s="598" t="n">
        <v>44044</v>
      </c>
      <c r="B27" s="9" t="n">
        <v>1359</v>
      </c>
      <c r="C27" s="9" t="n">
        <v>1132</v>
      </c>
      <c r="D27" s="9" t="n">
        <v>2755</v>
      </c>
      <c r="E27" s="8" t="n">
        <v>416</v>
      </c>
      <c r="F27" s="9" t="n">
        <v>4179</v>
      </c>
      <c r="G27" s="9" t="n">
        <v>8347</v>
      </c>
      <c r="H27" s="366" t="n"/>
      <c r="I27" s="9" t="n">
        <v>2201</v>
      </c>
      <c r="J27" s="56">
        <f>SUM(B27:I27)</f>
        <v/>
      </c>
      <c r="K27" s="8" t="n"/>
    </row>
    <row r="28">
      <c r="A28" s="598" t="n">
        <v>44075</v>
      </c>
      <c r="B28" s="9" t="n">
        <v>2983</v>
      </c>
      <c r="C28" s="8" t="n">
        <v>365</v>
      </c>
      <c r="D28" s="9" t="n">
        <v>1930</v>
      </c>
      <c r="E28" s="8" t="n">
        <v>184</v>
      </c>
      <c r="F28" s="9" t="n">
        <v>3648</v>
      </c>
      <c r="G28" s="9" t="n">
        <v>6181</v>
      </c>
      <c r="H28" s="366" t="n"/>
      <c r="I28" s="9" t="n">
        <v>1735</v>
      </c>
      <c r="J28" s="56">
        <f>SUM(B28:I28)</f>
        <v/>
      </c>
      <c r="K28" s="9" t="n"/>
    </row>
    <row r="29">
      <c r="A29" s="598" t="n">
        <v>44105</v>
      </c>
      <c r="B29" s="9" t="n">
        <v>3233</v>
      </c>
      <c r="C29" s="9" t="n">
        <v>1284</v>
      </c>
      <c r="D29" s="9" t="n">
        <v>1992</v>
      </c>
      <c r="E29" s="8" t="n">
        <v>181</v>
      </c>
      <c r="F29" s="9" t="n">
        <v>4590</v>
      </c>
      <c r="G29" s="9" t="n">
        <v>7461</v>
      </c>
      <c r="H29" s="366" t="n"/>
      <c r="I29" s="9" t="n">
        <v>1420</v>
      </c>
      <c r="J29" s="56">
        <f>SUM(B29:I29)</f>
        <v/>
      </c>
      <c r="K29" s="9" t="n"/>
    </row>
    <row r="30">
      <c r="A30" s="598" t="n">
        <v>44136</v>
      </c>
      <c r="B30" s="9" t="n">
        <v>4079</v>
      </c>
      <c r="C30" s="9" t="n">
        <v>1290</v>
      </c>
      <c r="D30" s="9" t="n">
        <v>2371</v>
      </c>
      <c r="E30" s="8" t="n">
        <v>66</v>
      </c>
      <c r="F30" s="9" t="n">
        <v>4659</v>
      </c>
      <c r="G30" s="9" t="n">
        <v>8898</v>
      </c>
      <c r="H30" s="366" t="n"/>
      <c r="I30" s="9" t="n">
        <v>1361</v>
      </c>
      <c r="J30" s="56">
        <f>SUM(B30:I30)</f>
        <v/>
      </c>
      <c r="K30" s="9" t="n"/>
    </row>
    <row r="31">
      <c r="A31" s="598" t="n">
        <v>44166</v>
      </c>
      <c r="B31" s="9" t="n">
        <v>3319</v>
      </c>
      <c r="C31" s="9" t="n">
        <v>1227</v>
      </c>
      <c r="D31" s="9" t="n">
        <v>1857</v>
      </c>
      <c r="E31" s="8" t="n">
        <v>16</v>
      </c>
      <c r="F31" s="9" t="n">
        <v>4321</v>
      </c>
      <c r="G31" s="9" t="n">
        <v>6538</v>
      </c>
      <c r="H31" s="366" t="n"/>
      <c r="I31" s="8" t="n">
        <v>752</v>
      </c>
      <c r="J31" s="56">
        <f>SUM(B31:I31)</f>
        <v/>
      </c>
      <c r="K31" s="9" t="n"/>
    </row>
    <row r="32">
      <c r="A32" s="598" t="n">
        <v>44197</v>
      </c>
      <c r="B32" s="9" t="n">
        <v>2867</v>
      </c>
      <c r="C32" s="9" t="n">
        <v>1789</v>
      </c>
      <c r="D32" s="9" t="n">
        <v>1229</v>
      </c>
      <c r="E32" s="8" t="n">
        <v>53</v>
      </c>
      <c r="F32" s="9" t="n">
        <v>4652</v>
      </c>
      <c r="G32" s="9" t="n">
        <v>5646</v>
      </c>
      <c r="H32" s="366" t="n"/>
      <c r="I32" s="8" t="n">
        <v>952</v>
      </c>
      <c r="J32" s="56">
        <f>SUM(B32:I32)</f>
        <v/>
      </c>
      <c r="K32" s="9" t="n"/>
    </row>
    <row r="33">
      <c r="A33" s="598" t="n">
        <v>44228</v>
      </c>
      <c r="B33" s="9" t="n">
        <v>4029</v>
      </c>
      <c r="C33" s="8" t="n">
        <v>930</v>
      </c>
      <c r="D33" s="8" t="n">
        <v>951</v>
      </c>
      <c r="E33" s="8" t="n">
        <v>113</v>
      </c>
      <c r="F33" s="9" t="n">
        <v>6109</v>
      </c>
      <c r="G33" s="9" t="n">
        <v>5131</v>
      </c>
      <c r="H33" s="366" t="n"/>
      <c r="I33" s="8" t="n">
        <v>701</v>
      </c>
      <c r="J33" s="56">
        <f>SUM(B33:I33)</f>
        <v/>
      </c>
      <c r="K33" s="9" t="n"/>
    </row>
    <row r="34">
      <c r="A34" s="598" t="n">
        <v>44256</v>
      </c>
      <c r="B34" s="9" t="n">
        <v>3743</v>
      </c>
      <c r="C34" s="9" t="n">
        <v>1784</v>
      </c>
      <c r="D34" s="9" t="n">
        <v>1197</v>
      </c>
      <c r="E34" s="8" t="n">
        <v>125</v>
      </c>
      <c r="F34" s="9" t="n">
        <v>6153</v>
      </c>
      <c r="G34" s="9" t="n">
        <v>7959</v>
      </c>
      <c r="H34" s="366" t="n"/>
      <c r="I34" s="8" t="n">
        <v>715</v>
      </c>
      <c r="J34" s="56">
        <f>SUM(B34:I34)</f>
        <v/>
      </c>
      <c r="K34" s="9" t="n"/>
    </row>
    <row r="35">
      <c r="A35" s="598" t="n">
        <v>44287</v>
      </c>
      <c r="B35" s="9" t="n">
        <v>4232</v>
      </c>
      <c r="C35" s="9" t="n">
        <v>1458</v>
      </c>
      <c r="D35" s="9" t="n">
        <v>1187</v>
      </c>
      <c r="E35" s="8" t="n">
        <v>111</v>
      </c>
      <c r="F35" s="9" t="n">
        <v>7317</v>
      </c>
      <c r="G35" s="9" t="n">
        <v>7202</v>
      </c>
      <c r="H35" s="366" t="n"/>
      <c r="I35" s="9" t="n">
        <v>1155</v>
      </c>
      <c r="J35" s="56">
        <f>SUM(B35:I35)</f>
        <v/>
      </c>
      <c r="K35" s="9" t="n"/>
    </row>
    <row r="36">
      <c r="A36" s="598" t="n">
        <v>44317</v>
      </c>
      <c r="B36" s="9" t="n">
        <v>7181</v>
      </c>
      <c r="C36" s="9" t="n">
        <v>1360</v>
      </c>
      <c r="D36" s="9" t="n">
        <v>1976</v>
      </c>
      <c r="E36" s="8" t="n">
        <v>110</v>
      </c>
      <c r="F36" s="9" t="n">
        <v>6677</v>
      </c>
      <c r="G36" s="9" t="n">
        <v>7832</v>
      </c>
      <c r="H36" s="366" t="n"/>
      <c r="I36" s="8" t="n">
        <v>947</v>
      </c>
      <c r="J36" s="56">
        <f>SUM(B36:I36)</f>
        <v/>
      </c>
      <c r="K36" s="9" t="n"/>
    </row>
    <row r="37">
      <c r="A37" s="598" t="n">
        <v>44348</v>
      </c>
      <c r="B37" s="9" t="n">
        <v>3375</v>
      </c>
      <c r="C37" s="9" t="n">
        <v>1628</v>
      </c>
      <c r="D37" s="9" t="n">
        <v>2393</v>
      </c>
      <c r="E37" s="8" t="n">
        <v>146</v>
      </c>
      <c r="F37" s="9" t="n">
        <v>4817</v>
      </c>
      <c r="G37" s="9" t="n">
        <v>7495</v>
      </c>
      <c r="H37" s="366" t="n"/>
      <c r="I37" s="9" t="n">
        <v>1140</v>
      </c>
      <c r="J37" s="56">
        <f>SUM(B37:I37)</f>
        <v/>
      </c>
      <c r="K37" s="9" t="n"/>
    </row>
    <row r="38">
      <c r="A38" s="598" t="n">
        <v>44378</v>
      </c>
      <c r="B38" s="9">
        <f>6164-SUM(C38:E38)</f>
        <v/>
      </c>
      <c r="C38" s="9" t="n">
        <v>1142</v>
      </c>
      <c r="D38" s="9" t="n">
        <v>1142</v>
      </c>
      <c r="E38" s="8" t="n">
        <v>115</v>
      </c>
      <c r="F38" s="9" t="n">
        <v>3654</v>
      </c>
      <c r="G38" s="9" t="n">
        <v>6187</v>
      </c>
      <c r="H38" s="366" t="n"/>
      <c r="I38" s="8" t="n">
        <v>960</v>
      </c>
      <c r="J38" s="56">
        <f>SUM(B38:I38)</f>
        <v/>
      </c>
      <c r="K38" s="9" t="n"/>
    </row>
    <row r="39">
      <c r="A39" s="598" t="n">
        <v>44409</v>
      </c>
      <c r="B39" s="9">
        <f>7403-SUM(C39:E39)</f>
        <v/>
      </c>
      <c r="C39" s="9" t="n">
        <v>1656</v>
      </c>
      <c r="D39" s="9" t="n">
        <v>1656</v>
      </c>
      <c r="E39" s="8" t="n">
        <v>206</v>
      </c>
      <c r="F39" s="9" t="n">
        <v>2948</v>
      </c>
      <c r="G39" s="9" t="n">
        <v>8057</v>
      </c>
      <c r="H39" s="366" t="n"/>
      <c r="I39" s="8" t="n">
        <v>748</v>
      </c>
      <c r="J39" s="56">
        <f>SUM(B39:I39)</f>
        <v/>
      </c>
      <c r="K39" s="9" t="n"/>
    </row>
    <row r="40">
      <c r="A40" s="598" t="n">
        <v>44440</v>
      </c>
      <c r="B40" s="9">
        <f>10079-SUM(C40:E40)</f>
        <v/>
      </c>
      <c r="C40" s="9" t="n">
        <v>1439</v>
      </c>
      <c r="D40" s="9" t="n">
        <v>2927</v>
      </c>
      <c r="E40" s="8" t="n">
        <v>234</v>
      </c>
      <c r="F40" s="9" t="n">
        <v>9448</v>
      </c>
      <c r="G40" s="9" t="n">
        <v>9615</v>
      </c>
      <c r="H40" s="366" t="n"/>
      <c r="I40" s="8" t="n">
        <v>661</v>
      </c>
      <c r="J40" s="56">
        <f>SUM(B40:I40)</f>
        <v/>
      </c>
      <c r="K40" s="9" t="n"/>
    </row>
    <row r="41">
      <c r="A41" s="598" t="n">
        <v>44470</v>
      </c>
      <c r="B41" s="9" t="n">
        <v>10442</v>
      </c>
      <c r="C41" s="9" t="n">
        <v>1345</v>
      </c>
      <c r="D41" s="9" t="n">
        <v>1507</v>
      </c>
      <c r="E41" s="8" t="n">
        <v>19</v>
      </c>
      <c r="F41" s="9" t="n">
        <v>10633</v>
      </c>
      <c r="G41" s="9" t="n">
        <v>8612</v>
      </c>
      <c r="H41" s="366" t="n"/>
      <c r="I41" s="8" t="n">
        <v>705</v>
      </c>
      <c r="J41" s="56">
        <f>SUM(B41:I41)</f>
        <v/>
      </c>
    </row>
    <row r="42">
      <c r="A42" s="598" t="n">
        <v>44501</v>
      </c>
      <c r="B42" s="9" t="n">
        <v>10136</v>
      </c>
      <c r="C42" s="9" t="n">
        <v>1364</v>
      </c>
      <c r="D42" s="9" t="n">
        <v>1903</v>
      </c>
      <c r="E42" s="8" t="n">
        <v>35</v>
      </c>
      <c r="F42" s="9" t="n">
        <v>10596</v>
      </c>
      <c r="G42" s="9" t="n">
        <v>10370</v>
      </c>
      <c r="H42" s="366" t="n"/>
      <c r="I42" s="8" t="n">
        <v>849</v>
      </c>
      <c r="J42" s="56">
        <f>SUM(B42:I42)</f>
        <v/>
      </c>
    </row>
    <row r="43">
      <c r="A43" s="598" t="n">
        <v>44531</v>
      </c>
      <c r="B43" s="9" t="n">
        <v>6492</v>
      </c>
      <c r="C43" s="9" t="n">
        <v>1248</v>
      </c>
      <c r="D43" s="9" t="n">
        <v>1182</v>
      </c>
      <c r="E43" s="8" t="n">
        <v>49</v>
      </c>
      <c r="F43" s="9" t="n">
        <v>10814</v>
      </c>
      <c r="G43" s="9" t="n">
        <v>8681</v>
      </c>
      <c r="H43" s="366" t="n"/>
      <c r="I43" s="8" t="n">
        <v>825</v>
      </c>
      <c r="J43" s="56">
        <f>SUM(B43:I43)</f>
        <v/>
      </c>
    </row>
    <row r="44">
      <c r="A44" s="598" t="n">
        <v>44562</v>
      </c>
      <c r="B44" s="9" t="n">
        <v>5198</v>
      </c>
      <c r="C44" s="9" t="n">
        <v>1252</v>
      </c>
      <c r="D44" s="8" t="n">
        <v>797</v>
      </c>
      <c r="E44" s="8" t="n">
        <v>51</v>
      </c>
      <c r="F44" s="9" t="n">
        <v>7669</v>
      </c>
      <c r="G44" s="9" t="n">
        <v>6926</v>
      </c>
      <c r="H44" s="366" t="n"/>
      <c r="I44" s="8" t="n">
        <v>634</v>
      </c>
      <c r="J44" s="56">
        <f>SUM(B44:I44)</f>
        <v/>
      </c>
      <c r="L44" s="56">
        <f>SUM(I50:I61)</f>
        <v/>
      </c>
    </row>
    <row r="45">
      <c r="A45" s="598" t="n">
        <v>44593</v>
      </c>
      <c r="B45" s="9" t="n">
        <v>3868</v>
      </c>
      <c r="C45" s="8" t="n">
        <v>999</v>
      </c>
      <c r="D45" s="8" t="n">
        <v>501</v>
      </c>
      <c r="E45" s="8" t="n">
        <v>58</v>
      </c>
      <c r="F45" s="9" t="n">
        <v>7642</v>
      </c>
      <c r="G45" s="9" t="n">
        <v>4973</v>
      </c>
      <c r="H45" s="366" t="n"/>
      <c r="I45" s="8" t="n">
        <v>697</v>
      </c>
      <c r="J45" s="56">
        <f>SUM(B45:I45)</f>
        <v/>
      </c>
    </row>
    <row r="46">
      <c r="A46" s="598" t="n">
        <v>44621</v>
      </c>
      <c r="B46" s="9" t="n">
        <v>2956</v>
      </c>
      <c r="C46" s="9" t="n">
        <v>1500</v>
      </c>
      <c r="D46" s="8" t="n">
        <v>725</v>
      </c>
      <c r="E46" s="8" t="n">
        <v>96</v>
      </c>
      <c r="F46" s="9" t="n">
        <v>6305</v>
      </c>
      <c r="G46" s="9" t="n">
        <v>3985</v>
      </c>
      <c r="H46" s="366" t="n"/>
      <c r="I46" s="9" t="n">
        <v>2371</v>
      </c>
      <c r="J46" s="56">
        <f>SUM(B46:I46)</f>
        <v/>
      </c>
    </row>
    <row r="47">
      <c r="A47" s="598" t="n">
        <v>44652</v>
      </c>
      <c r="B47" s="9" t="n">
        <v>9842</v>
      </c>
      <c r="C47" s="9" t="n">
        <v>1014</v>
      </c>
      <c r="D47" s="8" t="n">
        <v>917</v>
      </c>
      <c r="E47" s="8" t="n">
        <v>19</v>
      </c>
      <c r="F47" s="9" t="n">
        <v>6981</v>
      </c>
      <c r="G47" s="9" t="n">
        <v>5079</v>
      </c>
      <c r="H47" s="366" t="n"/>
      <c r="I47" s="8" t="n">
        <v>775</v>
      </c>
      <c r="J47" s="56">
        <f>SUM(B47:I47)</f>
        <v/>
      </c>
    </row>
    <row r="48">
      <c r="A48" s="598" t="n">
        <v>44682</v>
      </c>
      <c r="B48" s="9" t="n">
        <v>11534</v>
      </c>
      <c r="C48" s="9" t="n">
        <v>1088</v>
      </c>
      <c r="D48" s="9" t="n">
        <v>1336</v>
      </c>
      <c r="E48" s="8" t="n">
        <v>9</v>
      </c>
      <c r="F48" s="9" t="n">
        <v>7093</v>
      </c>
      <c r="G48" s="9" t="n">
        <v>6786</v>
      </c>
      <c r="H48" s="366" t="n"/>
      <c r="I48" s="8" t="n">
        <v>741</v>
      </c>
      <c r="J48" s="56">
        <f>SUM(B48:I48)</f>
        <v/>
      </c>
    </row>
    <row r="49">
      <c r="A49" s="598" t="n">
        <v>44713</v>
      </c>
      <c r="B49" s="9" t="n">
        <v>11619</v>
      </c>
      <c r="C49" s="9" t="n">
        <v>1067</v>
      </c>
      <c r="D49" s="9" t="n">
        <v>1726</v>
      </c>
      <c r="E49" s="8" t="n">
        <v>23</v>
      </c>
      <c r="F49" s="9" t="n">
        <v>3528</v>
      </c>
      <c r="G49" s="9" t="n">
        <v>5892</v>
      </c>
      <c r="H49" s="366" t="n"/>
      <c r="I49" s="8" t="n">
        <v>582</v>
      </c>
      <c r="J49" s="56">
        <f>SUM(B49:I49)</f>
        <v/>
      </c>
    </row>
    <row r="50">
      <c r="A50" s="598" t="n">
        <v>44743</v>
      </c>
      <c r="B50" s="9" t="n">
        <v>12917</v>
      </c>
      <c r="C50" s="9" t="n">
        <v>1149</v>
      </c>
      <c r="D50" s="9" t="n">
        <v>1963</v>
      </c>
      <c r="E50" s="8" t="n">
        <v>18</v>
      </c>
      <c r="F50" s="9" t="n">
        <v>3104</v>
      </c>
      <c r="G50" s="9" t="n">
        <v>7352</v>
      </c>
      <c r="H50" s="366" t="n"/>
      <c r="I50" s="8" t="n">
        <v>819</v>
      </c>
      <c r="J50" s="56">
        <f>SUM(B50:I50)</f>
        <v/>
      </c>
      <c r="K50" s="9" t="n">
        <v>10417</v>
      </c>
      <c r="L50" s="56" t="n"/>
      <c r="M50" s="56" t="n"/>
    </row>
    <row r="51">
      <c r="A51" s="598" t="n">
        <v>44774</v>
      </c>
      <c r="B51" s="9" t="n">
        <v>14385</v>
      </c>
      <c r="C51" s="9" t="n">
        <v>1139</v>
      </c>
      <c r="D51" s="9" t="n">
        <v>2126</v>
      </c>
      <c r="E51" s="8" t="n">
        <v>16</v>
      </c>
      <c r="F51" s="9" t="n">
        <v>2867</v>
      </c>
      <c r="G51" s="9" t="n">
        <v>6871</v>
      </c>
      <c r="H51" s="366" t="n"/>
      <c r="I51" s="8" t="n">
        <v>639</v>
      </c>
      <c r="J51" s="56">
        <f>SUM(B51:I51)</f>
        <v/>
      </c>
      <c r="K51" s="9" t="n">
        <v>10769</v>
      </c>
      <c r="L51" s="56" t="n"/>
      <c r="M51" s="56" t="n"/>
    </row>
    <row r="52">
      <c r="A52" s="598" t="n">
        <v>44805</v>
      </c>
      <c r="B52" s="9" t="n">
        <v>14369</v>
      </c>
      <c r="C52" s="9" t="n">
        <v>1511</v>
      </c>
      <c r="D52" s="9" t="n">
        <v>2647</v>
      </c>
      <c r="E52" s="8" t="n">
        <v>24</v>
      </c>
      <c r="F52" s="9" t="n">
        <v>9907</v>
      </c>
      <c r="G52" s="9" t="n">
        <v>10118</v>
      </c>
      <c r="H52" s="366" t="n"/>
      <c r="I52" s="8" t="n">
        <v>880</v>
      </c>
      <c r="J52" s="56">
        <f>SUM(B52:I52)</f>
        <v/>
      </c>
      <c r="K52" s="9" t="n">
        <v>10871</v>
      </c>
    </row>
    <row r="53">
      <c r="A53" s="598" t="n">
        <v>44835</v>
      </c>
      <c r="B53" s="9" t="n">
        <v>17984</v>
      </c>
      <c r="C53" s="9" t="n">
        <v>1337</v>
      </c>
      <c r="D53" s="9" t="n">
        <v>1683</v>
      </c>
      <c r="E53" s="8" t="n">
        <v>67</v>
      </c>
      <c r="F53" s="9" t="n">
        <v>11531</v>
      </c>
      <c r="G53" s="9" t="n">
        <v>10791</v>
      </c>
      <c r="H53" s="366" t="n"/>
      <c r="I53" s="8" t="n">
        <v>739</v>
      </c>
      <c r="J53" s="56">
        <f>SUM(B53:I53)</f>
        <v/>
      </c>
      <c r="K53" s="9" t="n">
        <v>8876</v>
      </c>
    </row>
    <row r="54">
      <c r="A54" s="598" t="n">
        <v>44866</v>
      </c>
      <c r="B54" s="9" t="n">
        <v>13357</v>
      </c>
      <c r="C54" s="9" t="n">
        <v>1548</v>
      </c>
      <c r="D54" s="9" t="n">
        <v>2260</v>
      </c>
      <c r="E54" s="8" t="n">
        <v>35</v>
      </c>
      <c r="F54" s="9" t="n">
        <v>14095</v>
      </c>
      <c r="G54" s="9" t="n">
        <v>9942</v>
      </c>
      <c r="H54" s="366" t="n"/>
      <c r="I54" s="8" t="n">
        <v>799</v>
      </c>
      <c r="J54" s="56">
        <f>SUM(B54:I54)</f>
        <v/>
      </c>
      <c r="K54" s="9" t="n">
        <v>7673</v>
      </c>
    </row>
    <row r="55">
      <c r="A55" s="598" t="n">
        <v>44896</v>
      </c>
      <c r="B55" s="9" t="n">
        <v>7710</v>
      </c>
      <c r="C55" s="9" t="n">
        <v>1149</v>
      </c>
      <c r="D55" s="9" t="n">
        <v>1043</v>
      </c>
      <c r="E55" s="8" t="n">
        <v>38</v>
      </c>
      <c r="F55" s="9" t="n">
        <v>19086</v>
      </c>
      <c r="G55" s="9" t="n">
        <v>8353</v>
      </c>
      <c r="H55" s="366" t="n"/>
      <c r="I55" s="8" t="n">
        <v>714</v>
      </c>
      <c r="J55" s="56">
        <f>SUM(B55:I55)</f>
        <v/>
      </c>
      <c r="K55" s="9" t="n">
        <v>1121</v>
      </c>
    </row>
    <row r="56">
      <c r="A56" s="598" t="n">
        <v>44927</v>
      </c>
      <c r="B56" s="9" t="n">
        <v>6540</v>
      </c>
      <c r="C56" s="9" t="n">
        <v>2088</v>
      </c>
      <c r="D56" s="8" t="n">
        <v>921</v>
      </c>
      <c r="E56" s="8" t="n">
        <v>69</v>
      </c>
      <c r="F56" s="9" t="n">
        <v>6393</v>
      </c>
      <c r="G56" s="9" t="n">
        <v>7456</v>
      </c>
      <c r="H56" s="366" t="n"/>
      <c r="I56" s="8" t="n">
        <v>912</v>
      </c>
      <c r="J56" s="56">
        <f>SUM(B56:I56)</f>
        <v/>
      </c>
      <c r="K56" s="9" t="n">
        <v>1093</v>
      </c>
    </row>
    <row r="57">
      <c r="A57" s="598" t="n">
        <v>44958</v>
      </c>
      <c r="B57" s="9" t="n">
        <v>7341</v>
      </c>
      <c r="C57" s="9" t="n">
        <v>1666</v>
      </c>
      <c r="D57" s="9" t="n">
        <v>1216</v>
      </c>
      <c r="E57" s="8" t="n">
        <v>111</v>
      </c>
      <c r="F57" s="9" t="n">
        <v>10383</v>
      </c>
      <c r="G57" s="9" t="n">
        <v>8751</v>
      </c>
      <c r="H57" s="366" t="n"/>
      <c r="I57" s="8" t="n">
        <v>712</v>
      </c>
      <c r="J57" s="56">
        <f>SUM(B57:I57)</f>
        <v/>
      </c>
      <c r="K57" s="9" t="n">
        <v>1727</v>
      </c>
    </row>
    <row r="58">
      <c r="A58" s="598" t="n">
        <v>44986</v>
      </c>
      <c r="B58" s="9" t="n">
        <v>9923</v>
      </c>
      <c r="C58" s="9" t="n">
        <v>1569</v>
      </c>
      <c r="D58" s="9" t="n">
        <v>1299</v>
      </c>
      <c r="E58" s="8" t="n">
        <v>65</v>
      </c>
      <c r="F58" s="9" t="n">
        <v>11659</v>
      </c>
      <c r="G58" s="9" t="n">
        <v>9780</v>
      </c>
      <c r="H58" s="366" t="n"/>
      <c r="I58" s="8" t="n">
        <v>865</v>
      </c>
      <c r="J58" s="56">
        <f>SUM(B58:I58)</f>
        <v/>
      </c>
      <c r="K58" s="9" t="n">
        <v>3550</v>
      </c>
    </row>
    <row r="59">
      <c r="A59" s="598" t="n">
        <v>45017</v>
      </c>
      <c r="B59" s="9" t="n">
        <v>12526</v>
      </c>
      <c r="C59" s="9" t="n">
        <v>1196</v>
      </c>
      <c r="D59" s="9" t="n">
        <v>1485</v>
      </c>
      <c r="E59" s="8" t="n">
        <v>93</v>
      </c>
      <c r="F59" s="9" t="n">
        <v>10521</v>
      </c>
      <c r="G59" s="9" t="n">
        <v>10863</v>
      </c>
      <c r="H59" s="366" t="n"/>
      <c r="I59" s="8" t="n">
        <v>582</v>
      </c>
      <c r="J59" s="56">
        <f>SUM(B59:I59)</f>
        <v/>
      </c>
      <c r="K59" s="9" t="n">
        <v>5861</v>
      </c>
    </row>
    <row r="60">
      <c r="A60" s="598" t="n">
        <v>45047</v>
      </c>
      <c r="B60" s="9" t="n">
        <v>13882</v>
      </c>
      <c r="C60" s="9" t="n">
        <v>1126</v>
      </c>
      <c r="D60" s="9" t="n">
        <v>2104</v>
      </c>
      <c r="E60" s="8" t="n">
        <v>133</v>
      </c>
      <c r="F60" s="9" t="n">
        <v>9803</v>
      </c>
      <c r="G60" s="9" t="n">
        <v>9125</v>
      </c>
      <c r="H60" s="366" t="n"/>
      <c r="I60" s="8" t="n">
        <v>622</v>
      </c>
      <c r="J60" s="56">
        <f>SUM(B60:I60)</f>
        <v/>
      </c>
      <c r="K60" s="9" t="n">
        <v>9229</v>
      </c>
    </row>
    <row r="61">
      <c r="A61" s="598" t="n">
        <v>45078</v>
      </c>
      <c r="B61" s="9" t="n">
        <v>14760</v>
      </c>
      <c r="C61" s="9" t="n">
        <v>1155</v>
      </c>
      <c r="D61" s="9" t="n">
        <v>2339</v>
      </c>
      <c r="E61" s="8" t="n">
        <v>174</v>
      </c>
      <c r="F61" s="9" t="n">
        <v>6322</v>
      </c>
      <c r="G61" s="9" t="n">
        <v>8196</v>
      </c>
      <c r="H61" s="366" t="n"/>
      <c r="I61" s="8" t="n">
        <v>722</v>
      </c>
      <c r="J61" s="56">
        <f>SUM(B61:I61)</f>
        <v/>
      </c>
      <c r="K61" s="9" t="n">
        <v>11403</v>
      </c>
    </row>
    <row r="62">
      <c r="A62" s="598" t="n">
        <v>45108</v>
      </c>
      <c r="B62" s="9" t="n">
        <v>15525</v>
      </c>
      <c r="C62" s="9" t="n">
        <v>1122</v>
      </c>
      <c r="D62" s="9" t="n">
        <v>2675</v>
      </c>
      <c r="E62" s="8" t="n">
        <v>123</v>
      </c>
      <c r="F62" s="9" t="n">
        <v>5054</v>
      </c>
      <c r="G62" s="9" t="n">
        <v>8918</v>
      </c>
      <c r="H62" s="9" t="n">
        <v>5033</v>
      </c>
      <c r="I62" s="8" t="n">
        <v>811</v>
      </c>
      <c r="J62" s="56">
        <f>SUM(B62:I62)</f>
        <v/>
      </c>
      <c r="K62" s="9" t="n">
        <v>12405</v>
      </c>
      <c r="L62" s="56" t="n"/>
    </row>
    <row r="63">
      <c r="A63" s="598" t="n">
        <v>45139</v>
      </c>
      <c r="B63" s="9" t="n">
        <v>13190</v>
      </c>
      <c r="C63" s="8" t="n">
        <v>870</v>
      </c>
      <c r="D63" s="9" t="n">
        <v>2587</v>
      </c>
      <c r="E63" s="8" t="n">
        <v>201</v>
      </c>
      <c r="F63" s="9" t="n">
        <v>3906</v>
      </c>
      <c r="G63" s="9" t="n">
        <v>8003</v>
      </c>
      <c r="H63" s="9" t="n">
        <v>5033</v>
      </c>
      <c r="I63" s="8" t="n">
        <v>893</v>
      </c>
      <c r="J63" s="56">
        <f>SUM(B63:I63)</f>
        <v/>
      </c>
      <c r="K63" s="9" t="n">
        <v>11967</v>
      </c>
    </row>
    <row r="64">
      <c r="A64" s="598" t="n">
        <v>45170</v>
      </c>
      <c r="B64" s="9" t="n">
        <v>9180</v>
      </c>
      <c r="C64" s="8" t="n">
        <v>817</v>
      </c>
      <c r="D64" s="9" t="n">
        <v>6279</v>
      </c>
      <c r="E64" s="9" t="n">
        <v>1297</v>
      </c>
      <c r="F64" s="9" t="n">
        <v>11143</v>
      </c>
      <c r="G64" s="9" t="n">
        <v>10310</v>
      </c>
      <c r="H64" s="9" t="n">
        <v>4870</v>
      </c>
      <c r="I64" s="8" t="n">
        <v>733</v>
      </c>
      <c r="J64" s="56">
        <f>SUM(B64:I64)</f>
        <v/>
      </c>
      <c r="K64" s="9" t="n">
        <v>11433</v>
      </c>
    </row>
    <row r="65">
      <c r="A65" s="598" t="n">
        <v>45200</v>
      </c>
      <c r="B65" s="364" t="n">
        <v>11141</v>
      </c>
      <c r="C65" s="9" t="n">
        <v>1366</v>
      </c>
      <c r="D65" s="9" t="n">
        <v>4385</v>
      </c>
      <c r="E65" s="8" t="n">
        <v>740</v>
      </c>
      <c r="F65" s="9" t="n">
        <v>12101</v>
      </c>
      <c r="G65" s="9" t="n">
        <v>11555</v>
      </c>
      <c r="H65" s="9" t="n">
        <v>5010</v>
      </c>
      <c r="I65" s="8" t="n">
        <v>633</v>
      </c>
      <c r="J65" s="56">
        <f>SUM(B65:I65)</f>
        <v/>
      </c>
      <c r="K65" s="9" t="n">
        <v>9030</v>
      </c>
    </row>
    <row r="66">
      <c r="A66" s="598" t="n">
        <v>45231</v>
      </c>
      <c r="B66" s="364" t="n">
        <v>7139</v>
      </c>
      <c r="C66" s="9" t="n">
        <v>1155</v>
      </c>
      <c r="D66" s="9" t="n">
        <v>5099</v>
      </c>
      <c r="E66" s="9" t="n">
        <v>1127</v>
      </c>
      <c r="F66" s="9" t="n">
        <v>12345</v>
      </c>
      <c r="G66" s="9" t="n">
        <v>9609</v>
      </c>
      <c r="H66" s="9" t="n">
        <v>4848</v>
      </c>
      <c r="I66" s="8" t="n">
        <v>901</v>
      </c>
      <c r="J66" s="56">
        <f>SUM(B66:I66)</f>
        <v/>
      </c>
      <c r="K66" s="9" t="n">
        <v>5627</v>
      </c>
    </row>
    <row r="67">
      <c r="A67" s="598" t="n">
        <v>45261</v>
      </c>
      <c r="B67" s="364" t="n">
        <v>8690</v>
      </c>
      <c r="C67" s="9" t="n">
        <v>1086</v>
      </c>
      <c r="D67" s="9" t="n">
        <v>1891</v>
      </c>
      <c r="E67" s="8" t="n">
        <v>146</v>
      </c>
      <c r="F67" s="9" t="n">
        <v>12811</v>
      </c>
      <c r="G67" s="9" t="n">
        <v>9607</v>
      </c>
      <c r="H67" s="9" t="n">
        <v>5010</v>
      </c>
      <c r="I67" s="8" t="n">
        <v>814</v>
      </c>
      <c r="J67" s="56">
        <f>SUM(B67:I67)</f>
        <v/>
      </c>
      <c r="K67" s="9" t="n">
        <v>2879</v>
      </c>
    </row>
    <row r="68">
      <c r="A68" s="598" t="n">
        <v>45292</v>
      </c>
      <c r="B68" s="9" t="n">
        <v>5770</v>
      </c>
      <c r="C68" s="9" t="n">
        <v>1150</v>
      </c>
      <c r="D68" s="9" t="n">
        <v>1617</v>
      </c>
      <c r="E68" s="8" t="n">
        <v>205</v>
      </c>
      <c r="F68" s="9" t="n">
        <v>5012</v>
      </c>
      <c r="G68" s="9" t="n">
        <v>7282</v>
      </c>
      <c r="H68" s="9" t="n">
        <v>4988</v>
      </c>
      <c r="I68" s="8" t="n">
        <v>719</v>
      </c>
      <c r="J68" s="56">
        <f>SUM(B68:I68)</f>
        <v/>
      </c>
      <c r="K68" s="9" t="n">
        <v>1638</v>
      </c>
    </row>
    <row r="69">
      <c r="A69" s="598" t="n">
        <v>45323</v>
      </c>
      <c r="B69" s="9" t="n">
        <v>8413</v>
      </c>
      <c r="C69" s="8" t="n">
        <v>752</v>
      </c>
      <c r="D69" s="8" t="n">
        <v>602</v>
      </c>
      <c r="E69" s="8" t="n">
        <v>485</v>
      </c>
      <c r="F69" s="9" t="n">
        <v>8652</v>
      </c>
      <c r="G69" s="9" t="n">
        <v>7959</v>
      </c>
      <c r="H69" s="9" t="n">
        <v>4687</v>
      </c>
      <c r="I69" s="8" t="n">
        <v>587</v>
      </c>
      <c r="J69" s="56">
        <f>SUM(B69:I69)</f>
        <v/>
      </c>
      <c r="K69" s="9" t="n">
        <v>1841</v>
      </c>
    </row>
    <row r="70">
      <c r="A70" s="598" t="n">
        <v>45352</v>
      </c>
      <c r="B70" s="9" t="n">
        <v>10100</v>
      </c>
      <c r="C70" s="8" t="n">
        <v>908</v>
      </c>
      <c r="D70" s="8" t="n">
        <v>640</v>
      </c>
      <c r="E70" s="8" t="n">
        <v>218</v>
      </c>
      <c r="F70" s="9" t="n">
        <v>10837</v>
      </c>
      <c r="G70" s="9" t="n">
        <v>8977</v>
      </c>
      <c r="H70" s="9" t="n">
        <v>5010</v>
      </c>
      <c r="I70" s="8" t="n">
        <v>568</v>
      </c>
      <c r="J70" s="56">
        <f>SUM(B70:I70)</f>
        <v/>
      </c>
      <c r="K70" s="9" t="n">
        <v>3661</v>
      </c>
      <c r="N70" s="56" t="n"/>
    </row>
    <row r="71">
      <c r="A71" s="598" t="n">
        <v>45383</v>
      </c>
      <c r="B71" s="9" t="n">
        <v>15117</v>
      </c>
      <c r="C71" s="8" t="n">
        <v>890</v>
      </c>
      <c r="D71" s="9" t="n">
        <v>1150</v>
      </c>
      <c r="E71" s="8" t="n">
        <v>131</v>
      </c>
      <c r="F71" s="9" t="n">
        <v>10675</v>
      </c>
      <c r="G71" s="9" t="n">
        <v>9445</v>
      </c>
      <c r="H71" s="9" t="n">
        <v>4848</v>
      </c>
      <c r="I71" s="8" t="n">
        <v>671</v>
      </c>
      <c r="J71" s="56">
        <f>SUM(B71:I71)</f>
        <v/>
      </c>
    </row>
    <row r="72" ht="29.25" customHeight="1">
      <c r="A72" s="598" t="n">
        <v>45413</v>
      </c>
      <c r="B72" s="9" t="n">
        <v>14227</v>
      </c>
      <c r="C72" s="8" t="n">
        <v>852</v>
      </c>
      <c r="D72" s="9" t="n">
        <v>1062</v>
      </c>
      <c r="E72" s="8" t="n">
        <v>173</v>
      </c>
      <c r="F72" s="9" t="n">
        <v>10554</v>
      </c>
      <c r="G72" s="9" t="n">
        <v>9380</v>
      </c>
      <c r="H72" s="9" t="n">
        <v>5010</v>
      </c>
      <c r="I72" s="8" t="n">
        <v>595</v>
      </c>
      <c r="J72" s="56">
        <f>SUM(B72:I72)</f>
        <v/>
      </c>
    </row>
    <row r="73" ht="85" customHeight="1">
      <c r="A73" s="598" t="n">
        <v>45444</v>
      </c>
      <c r="B73" s="9" t="n">
        <v>15015</v>
      </c>
      <c r="C73" s="8" t="n">
        <v>738</v>
      </c>
      <c r="D73" s="9" t="n">
        <v>1210</v>
      </c>
      <c r="E73" s="8" t="n">
        <v>130</v>
      </c>
      <c r="F73" s="9" t="n">
        <v>4711</v>
      </c>
      <c r="G73" s="9" t="n">
        <v>7496</v>
      </c>
      <c r="H73" s="9" t="n">
        <v>4848</v>
      </c>
      <c r="I73" s="8" t="n">
        <v>638</v>
      </c>
      <c r="J73" s="56">
        <f>SUM(B73:I73)</f>
        <v/>
      </c>
      <c r="P73" s="65" t="inlineStr">
        <is>
          <t>Main Academic Buildings + Public Facilities</t>
        </is>
      </c>
      <c r="Q73" s="65" t="inlineStr">
        <is>
          <t>Cheng Yu Tung Building</t>
        </is>
      </c>
      <c r="R73" s="65" t="inlineStr">
        <is>
          <t>LSK Campus</t>
        </is>
      </c>
      <c r="S73" s="65" t="inlineStr">
        <is>
          <t>Conference Lodge</t>
        </is>
      </c>
      <c r="T73" s="65" t="inlineStr">
        <is>
          <t>Student Housing</t>
        </is>
      </c>
      <c r="U73" s="65" t="inlineStr">
        <is>
          <t>Canteens and Commercial</t>
        </is>
      </c>
      <c r="V73" s="65" t="inlineStr">
        <is>
          <t>Public Facilities</t>
        </is>
      </c>
      <c r="W73" s="65" t="inlineStr">
        <is>
          <t>HKUST Total</t>
        </is>
      </c>
    </row>
    <row r="74" ht="17" customHeight="1">
      <c r="A74" s="598" t="n">
        <v>45474</v>
      </c>
      <c r="B74" s="9">
        <f>22363-(SUM(C74:E74))</f>
        <v/>
      </c>
      <c r="C74" s="9" t="n">
        <v>1040</v>
      </c>
      <c r="D74" s="9" t="n">
        <v>1688</v>
      </c>
      <c r="E74" s="8" t="n">
        <v>117</v>
      </c>
      <c r="F74" s="9" t="n">
        <v>3862</v>
      </c>
      <c r="G74" s="9" t="n">
        <v>8940</v>
      </c>
      <c r="H74" s="9">
        <f>(444*2.6)*(133.2/1000)*31</f>
        <v/>
      </c>
      <c r="I74" s="8" t="n">
        <v>538</v>
      </c>
      <c r="J74" s="56">
        <f>SUM(B74:I74)</f>
        <v/>
      </c>
      <c r="K74" s="56" t="n"/>
      <c r="O74" s="55" t="inlineStr">
        <is>
          <t>Oct 24 - Dec 24</t>
        </is>
      </c>
      <c r="P74" s="56" t="n">
        <v>40274</v>
      </c>
      <c r="Q74" s="56" t="n">
        <v>3495</v>
      </c>
      <c r="R74" s="56">
        <f>SUM(D77:D79)</f>
        <v/>
      </c>
      <c r="S74" s="56">
        <f>SUM(E77:E79)</f>
        <v/>
      </c>
      <c r="T74" s="56">
        <f>SUM(F77:F79)</f>
        <v/>
      </c>
      <c r="U74" s="56">
        <f>SUM(G77:G79)</f>
        <v/>
      </c>
      <c r="V74" s="56">
        <f>SUM(I77:I79)</f>
        <v/>
      </c>
      <c r="W74" s="56">
        <f>SUM(J77:J79)</f>
        <v/>
      </c>
    </row>
    <row r="75" ht="17" customHeight="1">
      <c r="A75" s="598" t="n">
        <v>45505</v>
      </c>
      <c r="B75" s="56">
        <f>20046-(SUM(C75:E75))</f>
        <v/>
      </c>
      <c r="C75" s="8" t="n">
        <v>932</v>
      </c>
      <c r="D75" s="9" t="n">
        <v>1650</v>
      </c>
      <c r="E75" s="8" t="n">
        <v>152</v>
      </c>
      <c r="F75" s="9" t="n">
        <v>3203</v>
      </c>
      <c r="G75" s="9" t="n">
        <v>9043</v>
      </c>
      <c r="H75" s="9">
        <f>(444*2.6)*((133.2/1000)*30)</f>
        <v/>
      </c>
      <c r="I75" s="8" t="n">
        <v>662</v>
      </c>
      <c r="J75" s="56">
        <f>SUM(B75:I75)</f>
        <v/>
      </c>
      <c r="K75" s="56" t="n"/>
      <c r="O75" s="55" t="inlineStr">
        <is>
          <t>Oct 23 - Dec 23</t>
        </is>
      </c>
      <c r="P75" s="56" t="n">
        <v>40209</v>
      </c>
      <c r="Q75" s="56">
        <f>SUM(C65:C67)</f>
        <v/>
      </c>
      <c r="R75" s="56">
        <f>SUM(D65:D67)</f>
        <v/>
      </c>
      <c r="S75" s="56">
        <f>SUM(E65:E67)</f>
        <v/>
      </c>
      <c r="T75" s="56">
        <f>SUM(F65:F67)</f>
        <v/>
      </c>
      <c r="U75" s="56">
        <f>SUM(G65:G67)</f>
        <v/>
      </c>
      <c r="V75" s="56">
        <f>SUM(I65:I67)</f>
        <v/>
      </c>
      <c r="W75" s="56">
        <f>SUM(J65:J67)</f>
        <v/>
      </c>
    </row>
    <row r="76">
      <c r="A76" s="598" t="n">
        <v>45536</v>
      </c>
      <c r="B76" s="9">
        <f>19814-(SUM(C76:E76))</f>
        <v/>
      </c>
      <c r="C76" s="9" t="n">
        <v>1204</v>
      </c>
      <c r="D76" s="9" t="n">
        <v>1619</v>
      </c>
      <c r="E76" s="8" t="n">
        <v>162</v>
      </c>
      <c r="F76" s="9" t="n">
        <v>8389</v>
      </c>
      <c r="G76" s="9" t="n">
        <v>11852</v>
      </c>
      <c r="H76" s="9">
        <f>(444*2.6)*((133.2/1000)*30)</f>
        <v/>
      </c>
      <c r="I76" s="9" t="n">
        <v>1594</v>
      </c>
      <c r="J76" s="56">
        <f>SUM(B76:I76)</f>
        <v/>
      </c>
      <c r="K76" s="56" t="n"/>
      <c r="P76" s="351">
        <f>(P74-P75)/P75</f>
        <v/>
      </c>
      <c r="Q76" s="351">
        <f>(Q74-Q75)/Q75</f>
        <v/>
      </c>
      <c r="R76" s="351">
        <f>(R74-R75)/R75</f>
        <v/>
      </c>
      <c r="S76" s="351">
        <f>(S74-S75)/S75</f>
        <v/>
      </c>
      <c r="T76" s="351">
        <f>(T74-T75)/T75</f>
        <v/>
      </c>
      <c r="U76" s="351">
        <f>(U74-U75)/U75</f>
        <v/>
      </c>
      <c r="V76" s="351">
        <f>(V74-V75)/V75</f>
        <v/>
      </c>
      <c r="W76" s="351">
        <f>(W74-W75)/W75</f>
        <v/>
      </c>
    </row>
    <row r="77">
      <c r="A77" s="598" t="n">
        <v>45566</v>
      </c>
      <c r="B77" s="9">
        <f>19577-(SUM(C77:E77))</f>
        <v/>
      </c>
      <c r="C77" s="56" t="n">
        <v>1480</v>
      </c>
      <c r="D77" s="56" t="n">
        <v>1361</v>
      </c>
      <c r="E77" s="56" t="n">
        <v>149</v>
      </c>
      <c r="F77" s="56" t="n">
        <v>10126</v>
      </c>
      <c r="G77" s="56" t="n">
        <v>11695</v>
      </c>
      <c r="H77" s="9">
        <f>(440*2.6)*((133.2/1000)*31)</f>
        <v/>
      </c>
      <c r="I77" s="56" t="n">
        <v>774</v>
      </c>
      <c r="J77" s="56">
        <f>SUM(B77:I77)</f>
        <v/>
      </c>
      <c r="K77" s="56" t="n"/>
      <c r="W77" s="56" t="n"/>
    </row>
    <row r="78">
      <c r="A78" s="598" t="n">
        <v>45597</v>
      </c>
      <c r="B78" s="9">
        <f>16079-(SUM(C78:E78))</f>
        <v/>
      </c>
      <c r="C78" s="56" t="n">
        <v>1263</v>
      </c>
      <c r="D78" s="56" t="n">
        <v>1081</v>
      </c>
      <c r="E78" s="56" t="n">
        <v>222</v>
      </c>
      <c r="F78" s="56" t="n">
        <v>11918</v>
      </c>
      <c r="G78" s="56" t="n">
        <v>11071</v>
      </c>
      <c r="H78" s="9">
        <f>(440*2.6)*((133.2/1000)*30)</f>
        <v/>
      </c>
      <c r="I78" s="56" t="n">
        <v>766</v>
      </c>
      <c r="J78" s="56">
        <f>SUM(B78:I78)</f>
        <v/>
      </c>
      <c r="K78" s="56" t="n"/>
      <c r="W78" s="56" t="n"/>
    </row>
    <row r="79">
      <c r="A79" s="598" t="n">
        <v>45627</v>
      </c>
      <c r="B79" s="9">
        <f>11403-(SUM(C79:E79))</f>
        <v/>
      </c>
      <c r="C79" s="56" t="n">
        <v>1515</v>
      </c>
      <c r="D79" s="56" t="n">
        <v>717</v>
      </c>
      <c r="E79" s="56" t="n">
        <v>210</v>
      </c>
      <c r="F79" s="56" t="n">
        <v>10691</v>
      </c>
      <c r="G79" s="56" t="n">
        <v>10272</v>
      </c>
      <c r="H79" s="9">
        <f>(440*2.6)*((133.2/1000)*31)</f>
        <v/>
      </c>
      <c r="I79" s="56" t="n">
        <v>877</v>
      </c>
      <c r="J79" s="56">
        <f>SUM(B79:I79)</f>
        <v/>
      </c>
      <c r="K79" s="56" t="n"/>
      <c r="Q79" s="352" t="n">
        <v>45200</v>
      </c>
      <c r="R79" s="352" t="n">
        <v>45231</v>
      </c>
      <c r="S79" s="352" t="n">
        <v>45261</v>
      </c>
      <c r="W79" s="56" t="n"/>
    </row>
    <row r="80">
      <c r="A80" s="598" t="n">
        <v>45658</v>
      </c>
      <c r="B80" s="9">
        <f>9234-(SUM(C80:E80))</f>
        <v/>
      </c>
      <c r="C80" s="56" t="n">
        <v>1245</v>
      </c>
      <c r="D80" s="56" t="n">
        <v>543</v>
      </c>
      <c r="E80" s="56" t="n">
        <v>156</v>
      </c>
      <c r="F80" s="56" t="n">
        <v>4797</v>
      </c>
      <c r="G80" s="56" t="n">
        <v>7943</v>
      </c>
      <c r="H80" s="9">
        <f>(442*2.6)*((133.2/1000)*31)</f>
        <v/>
      </c>
      <c r="I80" s="56" t="n">
        <v>868</v>
      </c>
      <c r="J80" s="56">
        <f>SUM(B80:I80)</f>
        <v/>
      </c>
      <c r="K80" s="56" t="n"/>
      <c r="O80" s="56" t="n"/>
      <c r="P80" s="56" t="n"/>
      <c r="Q80" s="55" t="n">
        <v>47</v>
      </c>
      <c r="R80" s="55" t="n">
        <v>95</v>
      </c>
      <c r="S80" s="55" t="n">
        <v>84</v>
      </c>
    </row>
    <row r="81">
      <c r="A81" s="598" t="n">
        <v>45689</v>
      </c>
      <c r="B81" s="9">
        <f>9881-(SUM(C81:E81))</f>
        <v/>
      </c>
      <c r="C81" s="56" t="n">
        <v>1410</v>
      </c>
      <c r="D81" s="56" t="n">
        <v>544</v>
      </c>
      <c r="E81" s="56" t="n">
        <v>130</v>
      </c>
      <c r="F81" s="56" t="n">
        <v>8651</v>
      </c>
      <c r="G81" s="56" t="n">
        <v>9368</v>
      </c>
      <c r="H81" s="9">
        <f>(442*2.6)*((133.2/1000)*28)</f>
        <v/>
      </c>
      <c r="I81" s="56" t="n">
        <v>607</v>
      </c>
      <c r="J81" s="56">
        <f>SUM(B81:I81)</f>
        <v/>
      </c>
      <c r="K81" s="56" t="n"/>
      <c r="O81" s="56" t="n"/>
      <c r="P81" s="56" t="n"/>
      <c r="Q81" s="55">
        <f>1297-3</f>
        <v/>
      </c>
      <c r="R81" s="55">
        <f>1044-15</f>
        <v/>
      </c>
      <c r="S81" s="55">
        <f>988-42</f>
        <v/>
      </c>
    </row>
    <row r="82">
      <c r="A82" s="598" t="n">
        <v>45717</v>
      </c>
      <c r="B82" s="9">
        <f>13159-(SUM(C82:E82))</f>
        <v/>
      </c>
      <c r="C82" s="56" t="n">
        <v>1441</v>
      </c>
      <c r="D82" s="56" t="n">
        <v>794</v>
      </c>
      <c r="E82" s="56" t="n">
        <v>95</v>
      </c>
      <c r="F82" s="56" t="n">
        <v>11673</v>
      </c>
      <c r="G82" s="56" t="n">
        <v>9839</v>
      </c>
      <c r="H82" s="9">
        <f>(442*2.6)*((133.2/1000)*31)</f>
        <v/>
      </c>
      <c r="I82" s="56" t="n">
        <v>533</v>
      </c>
      <c r="J82" s="56">
        <f>SUM(B82:I82)</f>
        <v/>
      </c>
      <c r="K82" s="56" t="n"/>
      <c r="O82" s="56" t="n"/>
      <c r="P82" s="56" t="n"/>
    </row>
    <row r="83">
      <c r="A83" s="598" t="n">
        <v>45748</v>
      </c>
      <c r="B83" s="9">
        <f>15757-(SUM(C83:E83))</f>
        <v/>
      </c>
      <c r="C83" s="56" t="n">
        <v>1332</v>
      </c>
      <c r="D83" s="56" t="n">
        <v>1115</v>
      </c>
      <c r="E83" s="56" t="n">
        <v>159</v>
      </c>
      <c r="F83" s="56" t="n">
        <v>11908</v>
      </c>
      <c r="G83" s="56" t="n">
        <v>10168</v>
      </c>
      <c r="H83" s="9">
        <f>(461*2.6)*((133.2/1000)*30)</f>
        <v/>
      </c>
      <c r="I83" s="56" t="n">
        <v>643</v>
      </c>
      <c r="J83" s="56">
        <f>SUM(B83:I83)</f>
        <v/>
      </c>
      <c r="K83" s="56" t="n"/>
      <c r="O83" s="56" t="n"/>
      <c r="P83" s="56" t="n"/>
      <c r="Q83" s="353" t="n">
        <v>45953</v>
      </c>
      <c r="R83" s="353" t="n">
        <v>45984</v>
      </c>
      <c r="S83" s="353" t="n">
        <v>46014</v>
      </c>
    </row>
    <row r="84">
      <c r="A84" s="598" t="n">
        <v>45778</v>
      </c>
      <c r="B84" s="9">
        <f>19615-(SUM(C84:E84))</f>
        <v/>
      </c>
      <c r="C84" s="56" t="n">
        <v>1083</v>
      </c>
      <c r="D84" s="56" t="n">
        <v>1442</v>
      </c>
      <c r="E84" s="56" t="n">
        <v>152</v>
      </c>
      <c r="F84" s="56" t="n">
        <v>9981</v>
      </c>
      <c r="G84" s="56" t="n">
        <v>10218</v>
      </c>
      <c r="H84" s="9">
        <f>(461*2.6)*((133.2/1000)*31)</f>
        <v/>
      </c>
      <c r="I84" s="56" t="n">
        <v>534</v>
      </c>
      <c r="J84" s="56">
        <f>SUM(B84:I84)</f>
        <v/>
      </c>
      <c r="K84" s="56" t="n"/>
      <c r="O84" s="56" t="n"/>
      <c r="P84" s="56" t="n"/>
    </row>
    <row r="85">
      <c r="A85" s="598" t="n">
        <v>45809</v>
      </c>
      <c r="B85" s="9">
        <f>20609-(SUM(C85:E85))</f>
        <v/>
      </c>
      <c r="C85" s="56" t="n">
        <v>1282</v>
      </c>
      <c r="D85" s="56" t="n">
        <v>1861</v>
      </c>
      <c r="E85" s="56" t="n">
        <v>138</v>
      </c>
      <c r="F85" s="56" t="n">
        <v>6408</v>
      </c>
      <c r="G85" s="56" t="n">
        <v>9159</v>
      </c>
      <c r="H85" s="9">
        <f>(461*2.6)*((133.2/1000)*30)</f>
        <v/>
      </c>
      <c r="I85" s="56" t="n">
        <v>567</v>
      </c>
      <c r="J85" s="56">
        <f>SUM(B85:I85)</f>
        <v/>
      </c>
      <c r="K85" s="56" t="n"/>
      <c r="O85" s="56" t="n"/>
      <c r="P85" s="56" t="n"/>
    </row>
    <row r="86">
      <c r="A86" s="598" t="n">
        <v>45839</v>
      </c>
      <c r="B86" s="9">
        <f>21149-SUM(C86:E86)</f>
        <v/>
      </c>
      <c r="C86" s="9" t="n">
        <v>873</v>
      </c>
      <c r="D86" s="9" t="n">
        <v>2494</v>
      </c>
      <c r="E86" s="9" t="n">
        <v>158</v>
      </c>
      <c r="F86" s="9" t="n">
        <v>4035</v>
      </c>
      <c r="G86" s="9" t="n">
        <v>8991</v>
      </c>
      <c r="H86" s="9" t="n"/>
      <c r="I86" s="9" t="n">
        <v>820</v>
      </c>
      <c r="J86" s="56">
        <f>SUM(B86:I86)</f>
        <v/>
      </c>
      <c r="O86" s="56" t="n"/>
      <c r="P86" s="56" t="n"/>
    </row>
    <row r="87">
      <c r="A87" s="598" t="n">
        <v>45870</v>
      </c>
      <c r="B87" s="9">
        <f>21892-SUM(C87:E87)</f>
        <v/>
      </c>
      <c r="C87" s="9" t="n">
        <v>845</v>
      </c>
      <c r="D87" s="9" t="n">
        <v>3260</v>
      </c>
      <c r="E87" s="9" t="n">
        <v>246</v>
      </c>
      <c r="F87" s="9" t="n">
        <v>3206</v>
      </c>
      <c r="G87" s="9" t="n">
        <v>8913</v>
      </c>
      <c r="H87" s="9" t="n"/>
      <c r="I87" s="9" t="n">
        <v>491</v>
      </c>
      <c r="J87" s="56">
        <f>SUM(B87:I87)</f>
        <v/>
      </c>
      <c r="O87" s="56" t="n"/>
      <c r="P87" s="56" t="n"/>
    </row>
    <row r="88">
      <c r="A88" s="598" t="n">
        <v>45901</v>
      </c>
      <c r="B88" s="9">
        <f>24742-SUM(C88:E88)</f>
        <v/>
      </c>
      <c r="C88" s="9" t="n">
        <v>1016</v>
      </c>
      <c r="D88" s="9" t="n">
        <v>4071</v>
      </c>
      <c r="E88" s="9" t="n">
        <v>289</v>
      </c>
      <c r="F88" s="9" t="n">
        <v>10499</v>
      </c>
      <c r="G88" s="9" t="n">
        <v>12185</v>
      </c>
      <c r="H88" s="9" t="n"/>
      <c r="I88" s="9" t="n">
        <v>536</v>
      </c>
      <c r="J88" s="56">
        <f>SUM(B88:I88)</f>
        <v/>
      </c>
    </row>
    <row r="89">
      <c r="A89" s="698" t="n">
        <v>45931</v>
      </c>
      <c r="B89" s="56">
        <f>22440-SUM(C89:E89)</f>
        <v/>
      </c>
      <c r="C89" s="56" t="n">
        <v>1121</v>
      </c>
      <c r="D89" s="56" t="n">
        <v>4003</v>
      </c>
      <c r="E89" s="56" t="n">
        <v>251</v>
      </c>
      <c r="F89" s="56" t="n">
        <v>10833</v>
      </c>
      <c r="G89" s="56" t="n">
        <v>11810</v>
      </c>
      <c r="H89" s="56" t="n"/>
      <c r="I89" s="56" t="n">
        <v>734</v>
      </c>
      <c r="J89" s="56">
        <f>SUM(B89:I89)</f>
        <v/>
      </c>
      <c r="K89" s="56" t="n"/>
    </row>
    <row r="90">
      <c r="A90" s="698" t="n">
        <v>45962</v>
      </c>
      <c r="B90" s="56">
        <f>15592-SUM(C90:E90)</f>
        <v/>
      </c>
      <c r="C90" s="56" t="n">
        <v>916</v>
      </c>
      <c r="D90" s="56" t="n">
        <v>1045</v>
      </c>
      <c r="E90" s="56" t="n">
        <v>202</v>
      </c>
      <c r="F90" s="56" t="n">
        <v>9080</v>
      </c>
      <c r="G90" s="56" t="n">
        <v>10674</v>
      </c>
      <c r="H90" s="56" t="n"/>
      <c r="I90" s="56" t="n">
        <v>665</v>
      </c>
      <c r="J90" s="56">
        <f>SUM(B90:I90)</f>
        <v/>
      </c>
      <c r="K90" s="56" t="n"/>
    </row>
    <row r="91">
      <c r="A91" s="698" t="n">
        <v>45992</v>
      </c>
      <c r="B91" s="56">
        <f>13444-SUM(C91:E91)</f>
        <v/>
      </c>
      <c r="C91" s="56" t="n">
        <v>1098</v>
      </c>
      <c r="D91" s="56" t="n">
        <v>903</v>
      </c>
      <c r="E91" s="56" t="n">
        <v>276</v>
      </c>
      <c r="F91" s="56" t="n">
        <v>8717</v>
      </c>
      <c r="G91" s="56" t="n">
        <v>9379</v>
      </c>
      <c r="H91" s="56" t="n"/>
      <c r="I91" s="56" t="n">
        <v>769</v>
      </c>
      <c r="J91" s="56">
        <f>SUM(B91:I91)</f>
        <v/>
      </c>
      <c r="K91" s="56" t="n"/>
    </row>
    <row r="92">
      <c r="A92" s="698" t="n">
        <v>46023</v>
      </c>
      <c r="B92" s="56">
        <f>12438-SUM(C92:E92)</f>
        <v/>
      </c>
      <c r="C92" s="56" t="n">
        <v>916</v>
      </c>
      <c r="D92" s="56" t="n">
        <v>613</v>
      </c>
      <c r="E92" s="56" t="n">
        <v>177</v>
      </c>
      <c r="F92" s="56" t="n">
        <v>4208</v>
      </c>
      <c r="G92" s="56" t="n">
        <v>8065</v>
      </c>
      <c r="H92" s="56" t="n"/>
      <c r="I92" s="56" t="n">
        <v>778</v>
      </c>
      <c r="J92" s="56">
        <f>SUM(B92:I92)</f>
        <v/>
      </c>
      <c r="K92" s="56" t="n"/>
    </row>
    <row r="93">
      <c r="A93" s="698" t="n">
        <v>46054</v>
      </c>
      <c r="B93" s="56">
        <f>10481-SUM(C93:E93)</f>
        <v/>
      </c>
      <c r="C93" s="56" t="n">
        <v>654</v>
      </c>
      <c r="D93" s="56" t="n">
        <v>635</v>
      </c>
      <c r="E93" s="56" t="n">
        <v>138</v>
      </c>
      <c r="F93" s="56" t="n">
        <v>9852</v>
      </c>
      <c r="G93" s="56" t="n">
        <v>8028</v>
      </c>
      <c r="H93" s="56" t="n"/>
      <c r="I93" s="56" t="n">
        <v>579</v>
      </c>
      <c r="J93" s="56">
        <f>SUM(B93:I93)</f>
        <v/>
      </c>
      <c r="K93" s="56" t="n"/>
    </row>
    <row r="94">
      <c r="A94" s="698" t="n">
        <v>46082</v>
      </c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>
        <f>SUM(B94:I94)</f>
        <v/>
      </c>
      <c r="K94" s="56" t="n"/>
    </row>
    <row r="95">
      <c r="A95" s="698" t="n">
        <v>46113</v>
      </c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>
        <f>SUM(B95:I95)</f>
        <v/>
      </c>
      <c r="K95" s="56" t="n"/>
    </row>
    <row r="96">
      <c r="A96" s="698" t="n">
        <v>46143</v>
      </c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>
        <f>SUM(B96:I96)</f>
        <v/>
      </c>
      <c r="K96" s="56" t="n"/>
    </row>
    <row r="97">
      <c r="A97" s="698" t="n">
        <v>46174</v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>
        <f>SUM(B97:I97)</f>
        <v/>
      </c>
      <c r="K97" s="56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10" defaultColWidth="10.1640625" defaultRowHeight="16"/>
  <cols>
    <col width="10.1640625" customWidth="1" style="87" min="1" max="1"/>
    <col width="18.33203125" customWidth="1" style="8" min="2" max="10"/>
    <col width="10.1640625" customWidth="1" style="8" min="11" max="16384"/>
  </cols>
  <sheetData>
    <row r="1" ht="34" customFormat="1" customHeight="1" s="59">
      <c r="A1" s="152" t="inlineStr">
        <is>
          <t xml:space="preserve">Date </t>
        </is>
      </c>
      <c r="B1" s="65" t="inlineStr">
        <is>
          <t>Main Academic Buildings</t>
        </is>
      </c>
      <c r="C1" s="65" t="inlineStr">
        <is>
          <t>Cheng Yu Tung Building</t>
        </is>
      </c>
      <c r="D1" s="65" t="inlineStr">
        <is>
          <t>LSK Campus</t>
        </is>
      </c>
      <c r="E1" s="65" t="inlineStr">
        <is>
          <t>Conference Lodge</t>
        </is>
      </c>
      <c r="F1" s="65" t="inlineStr">
        <is>
          <t>Student Housing</t>
        </is>
      </c>
      <c r="G1" s="65" t="inlineStr">
        <is>
          <t>Public facilities in campus</t>
        </is>
      </c>
      <c r="H1" s="65" t="inlineStr">
        <is>
          <t>Canteens and Commercial</t>
        </is>
      </c>
      <c r="I1" s="65" t="inlineStr">
        <is>
          <t xml:space="preserve">Staff Quarters </t>
        </is>
      </c>
      <c r="J1" s="65" t="inlineStr">
        <is>
          <t>Total (m3)</t>
        </is>
      </c>
    </row>
    <row r="2">
      <c r="A2" s="87" t="inlineStr">
        <is>
          <t>2013/14</t>
        </is>
      </c>
      <c r="B2" s="62" t="n">
        <v>91576</v>
      </c>
      <c r="C2" s="62" t="n"/>
      <c r="D2" s="62" t="n">
        <v>130068</v>
      </c>
      <c r="E2" s="62" t="n"/>
      <c r="F2" s="62" t="n">
        <v>6679</v>
      </c>
      <c r="G2" s="62" t="n">
        <v>83657</v>
      </c>
      <c r="H2" s="62" t="n">
        <v>83657</v>
      </c>
      <c r="I2" s="62" t="n">
        <v>61096.62</v>
      </c>
      <c r="J2" s="62">
        <f>SUM(B2:I2)</f>
        <v/>
      </c>
    </row>
    <row r="3">
      <c r="A3" s="87" t="inlineStr">
        <is>
          <t>2014/15</t>
        </is>
      </c>
      <c r="B3" s="62" t="n">
        <v>90262</v>
      </c>
      <c r="C3" s="62" t="n"/>
      <c r="D3" s="62" t="n">
        <v>124383</v>
      </c>
      <c r="E3" s="62" t="n"/>
      <c r="F3" s="62" t="n">
        <v>7484</v>
      </c>
      <c r="G3" s="62" t="n">
        <v>116140</v>
      </c>
      <c r="H3" s="62" t="n">
        <v>116140</v>
      </c>
      <c r="I3" s="62" t="n">
        <v>61598.78400000001</v>
      </c>
      <c r="J3" s="62">
        <f>SUM(B3:I3)</f>
        <v/>
      </c>
    </row>
    <row r="4">
      <c r="A4" s="87" t="inlineStr">
        <is>
          <t>2015/16</t>
        </is>
      </c>
      <c r="B4" s="62" t="n">
        <v>97307</v>
      </c>
      <c r="C4" s="62" t="n">
        <v>7383</v>
      </c>
      <c r="D4" s="62" t="n">
        <v>2424</v>
      </c>
      <c r="E4" s="62" t="n">
        <v>1727</v>
      </c>
      <c r="F4" s="62" t="n">
        <v>117734</v>
      </c>
      <c r="G4" s="62" t="n">
        <v>6611</v>
      </c>
      <c r="H4" s="62" t="n">
        <v>117818</v>
      </c>
      <c r="I4" s="62" t="n">
        <v>68814.95600000001</v>
      </c>
      <c r="J4" s="62">
        <f>SUM(B4:I4)</f>
        <v/>
      </c>
    </row>
    <row r="5">
      <c r="A5" s="87" t="inlineStr">
        <is>
          <t>2016/17</t>
        </is>
      </c>
      <c r="B5" s="62" t="n">
        <v>87033</v>
      </c>
      <c r="C5" s="62" t="n">
        <v>13328</v>
      </c>
      <c r="D5" s="62" t="n">
        <v>6762</v>
      </c>
      <c r="E5" s="62" t="n">
        <v>1608</v>
      </c>
      <c r="F5" s="62" t="n">
        <v>114980</v>
      </c>
      <c r="G5" s="62" t="n">
        <v>7503</v>
      </c>
      <c r="H5" s="62" t="n">
        <v>125215</v>
      </c>
      <c r="I5" s="62" t="n">
        <v>69931.05559999999</v>
      </c>
      <c r="J5" s="62">
        <f>SUM(B5:I5)</f>
        <v/>
      </c>
    </row>
    <row r="6">
      <c r="A6" s="87" t="inlineStr">
        <is>
          <t>2017/18</t>
        </is>
      </c>
      <c r="B6" s="62" t="n">
        <v>83776</v>
      </c>
      <c r="C6" s="62" t="n">
        <v>22095</v>
      </c>
      <c r="D6" s="62" t="n">
        <v>25843</v>
      </c>
      <c r="E6" s="62" t="n">
        <v>1862</v>
      </c>
      <c r="F6" s="62" t="n">
        <v>108941</v>
      </c>
      <c r="G6" s="62" t="n">
        <v>7341</v>
      </c>
      <c r="H6" s="62" t="n">
        <v>94785</v>
      </c>
      <c r="I6" s="62" t="n">
        <v>53724.45288000001</v>
      </c>
      <c r="J6" s="62">
        <f>SUM(B6:I6)</f>
        <v/>
      </c>
    </row>
    <row r="7">
      <c r="A7" s="87" t="inlineStr">
        <is>
          <t>2018/19</t>
        </is>
      </c>
      <c r="B7" s="62" t="n">
        <v>83643</v>
      </c>
      <c r="C7" s="62" t="n">
        <v>18381</v>
      </c>
      <c r="D7" s="62" t="n">
        <v>25305</v>
      </c>
      <c r="E7" s="62" t="n">
        <v>2127</v>
      </c>
      <c r="F7" s="62" t="n">
        <v>103073</v>
      </c>
      <c r="G7" s="62" t="n">
        <v>6187</v>
      </c>
      <c r="H7" s="62" t="n">
        <v>102223</v>
      </c>
      <c r="I7" s="62" t="n">
        <v>54959.65663999999</v>
      </c>
      <c r="J7" s="62">
        <f>SUM(B7:I7)</f>
        <v/>
      </c>
    </row>
    <row r="8">
      <c r="A8" s="87" t="inlineStr">
        <is>
          <t>2019/20</t>
        </is>
      </c>
      <c r="B8" s="62" t="n">
        <v>74165</v>
      </c>
      <c r="C8" s="62" t="n">
        <v>13180</v>
      </c>
      <c r="D8" s="62" t="n">
        <v>21793</v>
      </c>
      <c r="E8" s="62" t="n">
        <v>2569</v>
      </c>
      <c r="F8" s="62" t="n">
        <v>66051</v>
      </c>
      <c r="G8" s="62" t="n">
        <v>20850</v>
      </c>
      <c r="H8" s="62" t="n">
        <v>90627</v>
      </c>
      <c r="I8" s="62" t="n">
        <v>53434.10799999999</v>
      </c>
      <c r="J8" s="62">
        <f>SUM(B8:I8)</f>
        <v/>
      </c>
    </row>
    <row r="9">
      <c r="A9" s="87" t="inlineStr">
        <is>
          <t>2020/21</t>
        </is>
      </c>
      <c r="B9" s="62" t="n">
        <v>81810</v>
      </c>
      <c r="C9" s="62" t="n">
        <v>15361</v>
      </c>
      <c r="D9" s="62" t="n">
        <v>21744</v>
      </c>
      <c r="E9" s="62" t="n">
        <v>1645</v>
      </c>
      <c r="F9" s="62" t="n">
        <v>59072</v>
      </c>
      <c r="G9" s="62" t="n">
        <v>15359</v>
      </c>
      <c r="H9" s="62" t="n">
        <v>86742</v>
      </c>
      <c r="I9" s="62" t="n">
        <v>54429</v>
      </c>
      <c r="J9" s="62">
        <f>SUM(B9:I9)</f>
        <v/>
      </c>
    </row>
    <row r="10">
      <c r="A10" s="245" t="inlineStr">
        <is>
          <t>2021/22</t>
        </is>
      </c>
      <c r="B10" s="246">
        <f>SUM('Monthly Potable (Overview)'!B38:B49)</f>
        <v/>
      </c>
      <c r="C10" s="246">
        <f>SUM('Monthly Potable (Overview)'!C38:C49)</f>
        <v/>
      </c>
      <c r="D10" s="246">
        <f>SUM('Monthly Potable (Overview)'!D38:D49)</f>
        <v/>
      </c>
      <c r="E10" s="246">
        <f>SUM('Monthly Potable (Overview)'!E38:E49)</f>
        <v/>
      </c>
      <c r="F10" s="246">
        <f>SUM('Monthly Potable (Overview)'!F38:F49)</f>
        <v/>
      </c>
      <c r="G10" s="246">
        <f>SUM('Monthly Potable (Overview)'!I38:I49)</f>
        <v/>
      </c>
      <c r="H10" s="246">
        <f>SUM('Monthly Potable (Overview)'!G38:G49)</f>
        <v/>
      </c>
      <c r="I10" s="246" t="n">
        <v>55371.65400000001</v>
      </c>
      <c r="J10" s="246">
        <f>SUM(B10:I10)</f>
        <v/>
      </c>
    </row>
    <row r="11">
      <c r="A11" s="245" t="inlineStr">
        <is>
          <t>2022/23</t>
        </is>
      </c>
      <c r="B11" s="246">
        <f>SUM('Monthly Potable (Overview)'!B50:B61)</f>
        <v/>
      </c>
      <c r="C11" s="246">
        <f>SUM('Monthly Potable (Overview)'!C50:C61)</f>
        <v/>
      </c>
      <c r="D11" s="246">
        <f>SUM('Monthly Potable (Overview)'!D50:D61)</f>
        <v/>
      </c>
      <c r="E11" s="246">
        <f>SUM('Monthly Potable (Overview)'!E50:E61)</f>
        <v/>
      </c>
      <c r="F11" s="246">
        <f>SUM('Monthly Potable (Overview)'!F50:F61)</f>
        <v/>
      </c>
      <c r="G11" s="246">
        <f>SUM('Monthly Potable (Overview)'!I50:I61)</f>
        <v/>
      </c>
      <c r="H11" s="246">
        <f>SUM('Monthly Potable (Overview)'!G50:G61)</f>
        <v/>
      </c>
      <c r="I11" s="246" t="n">
        <v>53901.666</v>
      </c>
      <c r="J11" s="246">
        <f>SUM(B11:I11)</f>
        <v/>
      </c>
    </row>
    <row r="12">
      <c r="A12" s="245" t="inlineStr">
        <is>
          <t>2023/24</t>
        </is>
      </c>
      <c r="B12" s="246">
        <f>SUM('Monthly Potable (Overview)'!B62:B73)</f>
        <v/>
      </c>
      <c r="C12" s="246">
        <f>SUM('Monthly Potable (Overview)'!C62:C73)</f>
        <v/>
      </c>
      <c r="D12" s="246">
        <f>SUM('Monthly Potable (Overview)'!D62:D73)</f>
        <v/>
      </c>
      <c r="E12" s="246">
        <f>SUM('Monthly Potable (Overview)'!E62:E73)</f>
        <v/>
      </c>
      <c r="F12" s="246">
        <f>SUM('Monthly Potable (Overview)'!F62:F73)</f>
        <v/>
      </c>
      <c r="G12" s="246">
        <f>SUM('Monthly Potable (Overview)'!I62:I73)</f>
        <v/>
      </c>
      <c r="H12" s="246">
        <f>SUM('Monthly Potable (Overview)'!G62:G73)</f>
        <v/>
      </c>
      <c r="I12" s="246">
        <f>SUM('Monthly Potable (Overview)'!H62:H73)</f>
        <v/>
      </c>
      <c r="J12" s="246">
        <f>SUM(B12:I12)</f>
        <v/>
      </c>
    </row>
    <row r="13">
      <c r="A13" s="87" t="inlineStr">
        <is>
          <t>2024/25</t>
        </is>
      </c>
      <c r="B13" s="62">
        <f>SUM('Monthly Potable (Overview)'!B74:B85)</f>
        <v/>
      </c>
      <c r="C13" s="62">
        <f>SUM('Monthly Potable (Overview)'!C74:C85)</f>
        <v/>
      </c>
      <c r="D13" s="62">
        <f>SUM('Monthly Potable (Overview)'!D74:D85)</f>
        <v/>
      </c>
      <c r="E13" s="62">
        <f>SUM('Monthly Potable (Overview)'!E74:E85)</f>
        <v/>
      </c>
      <c r="F13" s="62">
        <f>SUM('Monthly Potable (Overview)'!F74:F85)</f>
        <v/>
      </c>
      <c r="G13" s="62">
        <f>SUM('Monthly Potable (Overview)'!I74:I85)</f>
        <v/>
      </c>
      <c r="H13" s="62">
        <f>SUM('Monthly Potable (Overview)'!G74:G85)</f>
        <v/>
      </c>
      <c r="I13" s="62">
        <f>SUM('Monthly Potable (Overview)'!H74:H85)</f>
        <v/>
      </c>
      <c r="J13" s="62">
        <f>SUM(B13:I13)</f>
        <v/>
      </c>
      <c r="K13" s="151" t="n"/>
    </row>
    <row r="14">
      <c r="B14" s="139">
        <f>B13/$J$13</f>
        <v/>
      </c>
      <c r="C14" s="139">
        <f>C13/$J$13</f>
        <v/>
      </c>
      <c r="D14" s="139">
        <f>D13/$J$13</f>
        <v/>
      </c>
      <c r="E14" s="139">
        <f>E13/$J$13</f>
        <v/>
      </c>
      <c r="F14" s="139">
        <f>F13/$J$13</f>
        <v/>
      </c>
      <c r="G14" s="139">
        <f>G13/$J$13</f>
        <v/>
      </c>
      <c r="H14" s="139">
        <f>H13/$J$13</f>
        <v/>
      </c>
      <c r="I14" s="139">
        <f>I13/$J$13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8"/>
  <sheetViews>
    <sheetView topLeftCell="A82" workbookViewId="0">
      <selection activeCell="Z106" sqref="Z106"/>
    </sheetView>
  </sheetViews>
  <sheetFormatPr baseColWidth="10" defaultColWidth="13.33203125" defaultRowHeight="16"/>
  <cols>
    <col width="15.83203125" customWidth="1" style="18" min="1" max="1"/>
    <col width="11.6640625" customWidth="1" style="55" min="2" max="3"/>
    <col width="13.33203125" customWidth="1" style="55" min="4" max="5"/>
    <col hidden="1" width="10.6640625" customWidth="1" style="55" min="6" max="24"/>
    <col hidden="1" width="77.33203125" customWidth="1" style="55" min="25" max="25"/>
    <col width="13.33203125" customWidth="1" style="55" min="26" max="16384"/>
  </cols>
  <sheetData>
    <row r="1" ht="17" customHeight="1">
      <c r="A1" s="181" t="inlineStr">
        <is>
          <t>2021-22</t>
        </is>
      </c>
    </row>
    <row r="2" ht="17" customHeight="1">
      <c r="A2" s="18" t="inlineStr">
        <is>
          <t>Item</t>
        </is>
      </c>
      <c r="B2" s="55" t="n">
        <v>1</v>
      </c>
      <c r="C2" s="55" t="n">
        <v>2</v>
      </c>
      <c r="D2" s="55" t="n">
        <v>3</v>
      </c>
      <c r="E2" s="55" t="n">
        <v>4</v>
      </c>
      <c r="F2" s="55" t="n">
        <v>5</v>
      </c>
      <c r="G2" s="55" t="n">
        <v>6</v>
      </c>
      <c r="H2" s="55" t="n">
        <v>7</v>
      </c>
      <c r="I2" s="55" t="n">
        <v>8</v>
      </c>
      <c r="J2" s="55" t="n">
        <v>9</v>
      </c>
      <c r="K2" s="55" t="n">
        <v>10</v>
      </c>
      <c r="L2" s="55" t="n">
        <v>11</v>
      </c>
      <c r="M2" s="55" t="n">
        <v>12</v>
      </c>
      <c r="N2" s="55" t="n">
        <v>13</v>
      </c>
      <c r="O2" s="55" t="n">
        <v>14</v>
      </c>
      <c r="P2" s="55" t="n">
        <v>15</v>
      </c>
      <c r="Q2" s="55" t="n">
        <v>16</v>
      </c>
      <c r="R2" s="55" t="n">
        <v>17</v>
      </c>
      <c r="S2" s="55" t="n">
        <v>18</v>
      </c>
      <c r="T2" s="55" t="n">
        <v>19</v>
      </c>
      <c r="U2" s="55" t="n">
        <v>20</v>
      </c>
      <c r="V2" s="55" t="n">
        <v>21</v>
      </c>
      <c r="W2" s="55" t="n">
        <v>22</v>
      </c>
      <c r="X2" s="55" t="n">
        <v>23</v>
      </c>
      <c r="Y2" s="55" t="n">
        <v>24</v>
      </c>
    </row>
    <row r="3" ht="34" customFormat="1" customHeight="1" s="18">
      <c r="A3" s="18" t="inlineStr">
        <is>
          <t>Pump No.</t>
        </is>
      </c>
      <c r="B3" s="671" t="inlineStr">
        <is>
          <t>SWPH-P/P-25</t>
        </is>
      </c>
      <c r="C3" s="671" t="inlineStr">
        <is>
          <t>SWPH-P/P-26</t>
        </is>
      </c>
      <c r="D3" s="671" t="inlineStr">
        <is>
          <t>SWPH-P/P-27</t>
        </is>
      </c>
      <c r="E3" s="671" t="inlineStr">
        <is>
          <t>SWPH-P/P-28</t>
        </is>
      </c>
      <c r="F3" s="671" t="inlineStr">
        <is>
          <t>AB-FTP-1</t>
        </is>
      </c>
      <c r="G3" s="671" t="inlineStr">
        <is>
          <t>AB-FTP-2</t>
        </is>
      </c>
      <c r="H3" s="671" t="inlineStr">
        <is>
          <t>AB-FWTP-1</t>
        </is>
      </c>
      <c r="I3" s="671" t="inlineStr">
        <is>
          <t>AB-FWTP-2</t>
        </is>
      </c>
      <c r="J3" s="671" t="inlineStr">
        <is>
          <t>AB-FWTP-3</t>
        </is>
      </c>
      <c r="K3" s="671" t="inlineStr">
        <is>
          <t>AB-FWTP-4</t>
        </is>
      </c>
      <c r="L3" s="671" t="inlineStr">
        <is>
          <t>UG7-FTP-1</t>
        </is>
      </c>
      <c r="M3" s="671" t="inlineStr">
        <is>
          <t>UG7-FTP-2</t>
        </is>
      </c>
      <c r="N3" s="671" t="inlineStr">
        <is>
          <t>AB-FWTP-7</t>
        </is>
      </c>
      <c r="O3" s="671" t="inlineStr">
        <is>
          <t>AB-FWTP-8</t>
        </is>
      </c>
      <c r="P3" s="671" t="inlineStr">
        <is>
          <t>PG/UG1-FTP-1</t>
        </is>
      </c>
      <c r="Q3" s="671" t="inlineStr">
        <is>
          <t>PG/UG1-FTP-2</t>
        </is>
      </c>
      <c r="R3" s="671" t="inlineStr">
        <is>
          <t>PG2-FTP-1</t>
        </is>
      </c>
      <c r="S3" s="671" t="inlineStr">
        <is>
          <t>PG2-FTP-2</t>
        </is>
      </c>
      <c r="T3" s="671" t="inlineStr">
        <is>
          <t>LSK-FTP-1</t>
        </is>
      </c>
      <c r="U3" s="671" t="inlineStr">
        <is>
          <t>LSK-FTP-2</t>
        </is>
      </c>
      <c r="V3" s="671" t="inlineStr">
        <is>
          <t>LSK-FTJP-3</t>
        </is>
      </c>
      <c r="W3" s="671" t="inlineStr">
        <is>
          <t>RAB-FWTP-1</t>
        </is>
      </c>
      <c r="X3" s="671" t="inlineStr">
        <is>
          <t>RAB-FWTP-2</t>
        </is>
      </c>
      <c r="Y3" s="671" t="inlineStr">
        <is>
          <t>Cooling Tower</t>
        </is>
      </c>
    </row>
    <row r="4" ht="34" customFormat="1" customHeight="1" s="18">
      <c r="A4" s="18" t="inlineStr">
        <is>
          <t>Serving Area</t>
        </is>
      </c>
      <c r="B4" s="671" t="inlineStr">
        <is>
          <t>Acad. Bldg, Staff Qtr, GRUC</t>
        </is>
      </c>
      <c r="D4" s="671" t="inlineStr">
        <is>
          <t>Student Housing, CML, Seafront Complex</t>
        </is>
      </c>
      <c r="F4" s="671" t="inlineStr">
        <is>
          <t>Academic Building</t>
        </is>
      </c>
      <c r="H4" s="671" t="inlineStr">
        <is>
          <t>SSQ T1-T7</t>
        </is>
      </c>
      <c r="J4" s="671" t="inlineStr">
        <is>
          <t>JSQ, Ph-2 SSQ</t>
        </is>
      </c>
      <c r="L4" s="671" t="inlineStr">
        <is>
          <t>UG7</t>
        </is>
      </c>
      <c r="N4" s="671" t="inlineStr">
        <is>
          <t>GRUC, SSQ  T8-T19, LSK, RAB</t>
        </is>
      </c>
      <c r="P4" s="671" t="inlineStr">
        <is>
          <t>PG1/UG1 (Suspended)</t>
        </is>
      </c>
      <c r="R4" s="671" t="inlineStr">
        <is>
          <t>PG2 (Suspended)</t>
        </is>
      </c>
      <c r="T4" s="671" t="inlineStr">
        <is>
          <t>LSK transfer pump room</t>
        </is>
      </c>
      <c r="W4" s="671" t="inlineStr">
        <is>
          <t>RAB G/F pump room</t>
        </is>
      </c>
      <c r="Y4" s="671" t="inlineStr">
        <is>
          <t>Cooling Tower</t>
        </is>
      </c>
      <c r="Z4" s="18" t="inlineStr">
        <is>
          <t>Total (by month)</t>
        </is>
      </c>
    </row>
    <row r="5">
      <c r="A5" s="179" t="n">
        <v>44378</v>
      </c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9" t="n"/>
      <c r="U5" s="9" t="n"/>
      <c r="V5" s="9" t="n"/>
      <c r="W5" s="9" t="n"/>
      <c r="X5" s="9" t="n"/>
      <c r="Y5" s="9" t="n"/>
      <c r="Z5" s="56">
        <f>SUM(B5:X5)</f>
        <v/>
      </c>
    </row>
    <row r="6">
      <c r="A6" s="179" t="n">
        <v>44409</v>
      </c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9" t="n"/>
      <c r="U6" s="9" t="n"/>
      <c r="V6" s="9" t="n"/>
      <c r="W6" s="9" t="n"/>
      <c r="X6" s="9" t="n"/>
      <c r="Y6" s="9" t="n"/>
      <c r="Z6" s="56">
        <f>SUM(B6:X6)</f>
        <v/>
      </c>
    </row>
    <row r="7">
      <c r="A7" s="179" t="n">
        <v>44440</v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9" t="n"/>
      <c r="U7" s="9" t="n"/>
      <c r="V7" s="9" t="n"/>
      <c r="W7" s="9" t="n"/>
      <c r="X7" s="9" t="n"/>
      <c r="Y7" s="9" t="n"/>
      <c r="Z7" s="56">
        <f>SUM(B7:X7)</f>
        <v/>
      </c>
    </row>
    <row r="8">
      <c r="A8" s="179" t="n">
        <v>44470</v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9" t="n"/>
      <c r="U8" s="9" t="n"/>
      <c r="V8" s="9" t="n"/>
      <c r="W8" s="9" t="n"/>
      <c r="X8" s="9" t="n"/>
      <c r="Y8" s="9" t="n"/>
      <c r="Z8" s="56">
        <f>SUM(B8:X8)</f>
        <v/>
      </c>
    </row>
    <row r="9">
      <c r="A9" s="179" t="n">
        <v>44501</v>
      </c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9" t="n"/>
      <c r="U9" s="9" t="n"/>
      <c r="V9" s="9" t="n"/>
      <c r="W9" s="9" t="n"/>
      <c r="X9" s="9" t="n"/>
      <c r="Y9" s="9" t="n"/>
      <c r="Z9" s="56">
        <f>SUM(B9:X9)</f>
        <v/>
      </c>
    </row>
    <row r="10">
      <c r="A10" s="179" t="n">
        <v>44531</v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9" t="n"/>
      <c r="U10" s="9" t="n"/>
      <c r="V10" s="9" t="n"/>
      <c r="W10" s="9" t="n"/>
      <c r="X10" s="9" t="n"/>
      <c r="Y10" s="9" t="n"/>
      <c r="Z10" s="56">
        <f>SUM(B10:X10)</f>
        <v/>
      </c>
    </row>
    <row r="11">
      <c r="A11" s="179" t="n">
        <v>44562</v>
      </c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9" t="n"/>
      <c r="U11" s="9" t="n"/>
      <c r="V11" s="9" t="n"/>
      <c r="W11" s="9" t="n"/>
      <c r="X11" s="9" t="n"/>
      <c r="Y11" s="9" t="n"/>
      <c r="Z11" s="56">
        <f>SUM(B11:X11)</f>
        <v/>
      </c>
    </row>
    <row r="12">
      <c r="A12" s="179" t="n">
        <v>44593</v>
      </c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9" t="n"/>
      <c r="U12" s="9" t="n"/>
      <c r="V12" s="9" t="n"/>
      <c r="W12" s="9" t="n"/>
      <c r="X12" s="9" t="n"/>
      <c r="Y12" s="9" t="n"/>
      <c r="Z12" s="56">
        <f>SUM(B12:X12)</f>
        <v/>
      </c>
    </row>
    <row r="13">
      <c r="A13" s="179" t="n">
        <v>44621</v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9" t="n"/>
      <c r="U13" s="9" t="n"/>
      <c r="V13" s="9" t="n"/>
      <c r="W13" s="9" t="n"/>
      <c r="X13" s="9" t="n"/>
      <c r="Y13" s="9" t="n"/>
      <c r="Z13" s="56">
        <f>SUM(B13:X13)</f>
        <v/>
      </c>
    </row>
    <row r="14">
      <c r="A14" s="179" t="n">
        <v>44652</v>
      </c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9" t="n"/>
      <c r="U14" s="9" t="n"/>
      <c r="V14" s="9" t="n"/>
      <c r="W14" s="9" t="n"/>
      <c r="X14" s="9" t="n"/>
      <c r="Y14" s="9" t="n"/>
      <c r="Z14" s="56">
        <f>SUM(B14:X14)</f>
        <v/>
      </c>
    </row>
    <row r="15">
      <c r="A15" s="179" t="n">
        <v>44682</v>
      </c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9" t="n"/>
      <c r="U15" s="9" t="n"/>
      <c r="V15" s="9" t="n"/>
      <c r="W15" s="9" t="n"/>
      <c r="X15" s="9" t="n"/>
      <c r="Y15" s="9" t="n"/>
      <c r="Z15" s="56">
        <f>SUM(B15:X15)</f>
        <v/>
      </c>
    </row>
    <row r="16">
      <c r="A16" s="179" t="n">
        <v>44713</v>
      </c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9" t="n"/>
      <c r="U16" s="9" t="n"/>
      <c r="V16" s="9" t="n"/>
      <c r="W16" s="9" t="n"/>
      <c r="X16" s="9" t="n"/>
      <c r="Y16" s="9" t="n"/>
      <c r="Z16" s="56">
        <f>SUM(B16:X16)</f>
        <v/>
      </c>
    </row>
    <row r="17" ht="34" customHeight="1">
      <c r="A17" s="18" t="inlineStr">
        <is>
          <t>Total (by meter)</t>
        </is>
      </c>
      <c r="B17" s="56">
        <f>SUM(B5:B16)</f>
        <v/>
      </c>
      <c r="C17" s="56">
        <f>SUM(C5:C16)</f>
        <v/>
      </c>
      <c r="D17" s="56">
        <f>SUM(D5:D16)</f>
        <v/>
      </c>
      <c r="E17" s="56">
        <f>SUM(E5:E16)</f>
        <v/>
      </c>
      <c r="F17" s="56">
        <f>SUM(F5:F16)</f>
        <v/>
      </c>
      <c r="G17" s="56">
        <f>SUM(G5:G16)</f>
        <v/>
      </c>
      <c r="H17" s="56">
        <f>SUM(H5:H16)</f>
        <v/>
      </c>
      <c r="I17" s="56">
        <f>SUM(I5:I16)</f>
        <v/>
      </c>
      <c r="J17" s="56">
        <f>SUM(J5:J16)</f>
        <v/>
      </c>
      <c r="K17" s="56">
        <f>SUM(K5:K16)</f>
        <v/>
      </c>
      <c r="L17" s="56">
        <f>SUM(L5:L16)</f>
        <v/>
      </c>
      <c r="M17" s="56">
        <f>SUM(M5:M16)</f>
        <v/>
      </c>
      <c r="N17" s="56">
        <f>SUM(N5:N16)</f>
        <v/>
      </c>
      <c r="O17" s="56">
        <f>SUM(O5:O16)</f>
        <v/>
      </c>
      <c r="P17" s="56">
        <f>SUM(P5:P16)</f>
        <v/>
      </c>
      <c r="Q17" s="56">
        <f>SUM(Q5:Q16)</f>
        <v/>
      </c>
      <c r="R17" s="56">
        <f>SUM(R5:R16)</f>
        <v/>
      </c>
      <c r="S17" s="56">
        <f>SUM(S5:S16)</f>
        <v/>
      </c>
      <c r="T17" s="56">
        <f>SUM(T5:T16)</f>
        <v/>
      </c>
      <c r="U17" s="56">
        <f>SUM(U5:U16)</f>
        <v/>
      </c>
      <c r="V17" s="56">
        <f>SUM(V5:V16)</f>
        <v/>
      </c>
      <c r="W17" s="56">
        <f>SUM(W5:W16)</f>
        <v/>
      </c>
      <c r="X17" s="56">
        <f>SUM(X5:X16)</f>
        <v/>
      </c>
      <c r="Y17" s="56">
        <f>SUM(Y5:Y16)</f>
        <v/>
      </c>
      <c r="Z17" s="56" t="n"/>
    </row>
    <row r="18" ht="34" customHeight="1">
      <c r="A18" s="18" t="inlineStr">
        <is>
          <t>Total (by serving area)</t>
        </is>
      </c>
      <c r="B18" s="672">
        <f>SUM(B5:C16)</f>
        <v/>
      </c>
      <c r="D18" s="672">
        <f>SUM(D5:E16)</f>
        <v/>
      </c>
      <c r="F18" s="672">
        <f>SUM(F5:G16)</f>
        <v/>
      </c>
      <c r="H18" s="672">
        <f>SUM(H5:I16)</f>
        <v/>
      </c>
      <c r="J18" s="672">
        <f>SUM(J5:K16)</f>
        <v/>
      </c>
      <c r="L18" s="672">
        <f>SUM(L5:M16)</f>
        <v/>
      </c>
      <c r="N18" s="672">
        <f>SUM(N5:O16)</f>
        <v/>
      </c>
      <c r="P18" s="672">
        <f>SUM(P5:Q16)</f>
        <v/>
      </c>
      <c r="R18" s="672">
        <f>SUM(R5:S16)</f>
        <v/>
      </c>
      <c r="T18" s="672">
        <f>SUM(T5:V16)</f>
        <v/>
      </c>
      <c r="W18" s="672">
        <f>SUM(W5:X16)</f>
        <v/>
      </c>
      <c r="Y18" s="56">
        <f>SUM(Y5:Y16)</f>
        <v/>
      </c>
      <c r="Z18" s="56" t="n"/>
    </row>
    <row r="19"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 ht="17" customHeight="1">
      <c r="A20" s="18" t="inlineStr">
        <is>
          <t>Annual Total</t>
        </is>
      </c>
      <c r="B20" s="178">
        <f>SUM(B17:Y17)</f>
        <v/>
      </c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3" ht="17" customHeight="1">
      <c r="A23" s="181" t="inlineStr">
        <is>
          <t>2022-23</t>
        </is>
      </c>
    </row>
    <row r="24" ht="17" customHeight="1">
      <c r="A24" s="18" t="inlineStr">
        <is>
          <t>Item</t>
        </is>
      </c>
      <c r="B24" s="55" t="n">
        <v>1</v>
      </c>
      <c r="C24" s="55" t="n">
        <v>2</v>
      </c>
      <c r="D24" s="55" t="n">
        <v>3</v>
      </c>
      <c r="E24" s="55" t="n">
        <v>4</v>
      </c>
      <c r="F24" s="55" t="n">
        <v>5</v>
      </c>
      <c r="G24" s="55" t="n">
        <v>6</v>
      </c>
      <c r="H24" s="55" t="n">
        <v>7</v>
      </c>
      <c r="I24" s="55" t="n">
        <v>8</v>
      </c>
      <c r="J24" s="55" t="n">
        <v>9</v>
      </c>
      <c r="K24" s="55" t="n">
        <v>10</v>
      </c>
      <c r="L24" s="55" t="n">
        <v>11</v>
      </c>
      <c r="M24" s="55" t="n">
        <v>12</v>
      </c>
      <c r="N24" s="55" t="n">
        <v>13</v>
      </c>
      <c r="O24" s="55" t="n">
        <v>14</v>
      </c>
      <c r="P24" s="55" t="n">
        <v>15</v>
      </c>
      <c r="Q24" s="55" t="n">
        <v>16</v>
      </c>
      <c r="R24" s="55" t="n">
        <v>17</v>
      </c>
      <c r="S24" s="55" t="n">
        <v>18</v>
      </c>
      <c r="T24" s="55" t="n">
        <v>19</v>
      </c>
      <c r="U24" s="55" t="n">
        <v>20</v>
      </c>
      <c r="V24" s="55" t="n">
        <v>21</v>
      </c>
      <c r="W24" s="55" t="n">
        <v>22</v>
      </c>
      <c r="X24" s="55" t="n">
        <v>23</v>
      </c>
      <c r="Y24" s="55" t="n">
        <v>24</v>
      </c>
    </row>
    <row r="25" ht="34" customHeight="1">
      <c r="A25" s="18" t="inlineStr">
        <is>
          <t>Pump No.</t>
        </is>
      </c>
      <c r="B25" s="671" t="inlineStr">
        <is>
          <t>SWPH-P/P-25</t>
        </is>
      </c>
      <c r="C25" s="671" t="inlineStr">
        <is>
          <t>SWPH-P/P-26</t>
        </is>
      </c>
      <c r="D25" s="671" t="inlineStr">
        <is>
          <t>SWPH-P/P-27</t>
        </is>
      </c>
      <c r="E25" s="671" t="inlineStr">
        <is>
          <t>SWPH-P/P-28</t>
        </is>
      </c>
      <c r="F25" s="671" t="inlineStr">
        <is>
          <t>AB-FTP-1</t>
        </is>
      </c>
      <c r="G25" s="671" t="inlineStr">
        <is>
          <t>AB-FTP-2</t>
        </is>
      </c>
      <c r="H25" s="671" t="inlineStr">
        <is>
          <t>AB-FWTP-1</t>
        </is>
      </c>
      <c r="I25" s="671" t="inlineStr">
        <is>
          <t>AB-FWTP-2</t>
        </is>
      </c>
      <c r="J25" s="671" t="inlineStr">
        <is>
          <t>AB-FWTP-3</t>
        </is>
      </c>
      <c r="K25" s="671" t="inlineStr">
        <is>
          <t>AB-FWTP-4</t>
        </is>
      </c>
      <c r="L25" s="671" t="inlineStr">
        <is>
          <t>UG7-FTP-1</t>
        </is>
      </c>
      <c r="M25" s="671" t="inlineStr">
        <is>
          <t>UG7-FTP-2</t>
        </is>
      </c>
      <c r="N25" s="671" t="inlineStr">
        <is>
          <t>AB-FWTP-7</t>
        </is>
      </c>
      <c r="O25" s="671" t="inlineStr">
        <is>
          <t>AB-FWTP-8</t>
        </is>
      </c>
      <c r="P25" s="671" t="inlineStr">
        <is>
          <t>PG/UG1-FTP-1</t>
        </is>
      </c>
      <c r="Q25" s="671" t="inlineStr">
        <is>
          <t>PG/UG1-FTP-2</t>
        </is>
      </c>
      <c r="R25" s="671" t="inlineStr">
        <is>
          <t>PG2-FTP-1</t>
        </is>
      </c>
      <c r="S25" s="671" t="inlineStr">
        <is>
          <t>PG2-FTP-2</t>
        </is>
      </c>
      <c r="T25" s="671" t="inlineStr">
        <is>
          <t>LSK-FTP-1</t>
        </is>
      </c>
      <c r="U25" s="671" t="inlineStr">
        <is>
          <t>LSK-FTP-2</t>
        </is>
      </c>
      <c r="V25" s="671" t="inlineStr">
        <is>
          <t>LSK-FTJP-3</t>
        </is>
      </c>
      <c r="W25" s="671" t="inlineStr">
        <is>
          <t>RAB-FWTP-1</t>
        </is>
      </c>
      <c r="X25" s="671" t="inlineStr">
        <is>
          <t>RAB-FWTP-2</t>
        </is>
      </c>
      <c r="Y25" s="671" t="inlineStr">
        <is>
          <t>Cooling Tower</t>
        </is>
      </c>
      <c r="Z25" s="18" t="n"/>
    </row>
    <row r="26" ht="34.25" customHeight="1">
      <c r="A26" s="18" t="inlineStr">
        <is>
          <t>Serving Area</t>
        </is>
      </c>
      <c r="B26" s="671" t="inlineStr">
        <is>
          <t>Acad. Bldg, Staff Qtr, GRUC</t>
        </is>
      </c>
      <c r="D26" s="671" t="inlineStr">
        <is>
          <t>Student Housing, CML, Seafront Complex</t>
        </is>
      </c>
      <c r="F26" s="671" t="inlineStr">
        <is>
          <t>Academic Building</t>
        </is>
      </c>
      <c r="H26" s="671" t="inlineStr">
        <is>
          <t>SSQ T1-T7</t>
        </is>
      </c>
      <c r="J26" s="671" t="inlineStr">
        <is>
          <t>JSQ, Ph-2 SSQ</t>
        </is>
      </c>
      <c r="L26" s="671" t="inlineStr">
        <is>
          <t>UG7</t>
        </is>
      </c>
      <c r="N26" s="671" t="inlineStr">
        <is>
          <t>GRUC, SSQ  T8-T19, LSK, RAB</t>
        </is>
      </c>
      <c r="P26" s="671" t="inlineStr">
        <is>
          <t>PG1/UG1 (Suspended)</t>
        </is>
      </c>
      <c r="R26" s="671" t="inlineStr">
        <is>
          <t>PG2 (Suspended)</t>
        </is>
      </c>
      <c r="T26" s="671" t="inlineStr">
        <is>
          <t>LSK transfer pump room</t>
        </is>
      </c>
      <c r="W26" s="671" t="inlineStr">
        <is>
          <t>RAB G/F pump room</t>
        </is>
      </c>
      <c r="Y26" s="671" t="inlineStr">
        <is>
          <t>Cooling Tower</t>
        </is>
      </c>
      <c r="Z26" s="18" t="inlineStr">
        <is>
          <t>Total (by month)</t>
        </is>
      </c>
    </row>
    <row r="27">
      <c r="A27" s="179" t="n">
        <v>44743</v>
      </c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Z27" s="56" t="n"/>
    </row>
    <row r="28">
      <c r="A28" s="179" t="n">
        <v>44774</v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9" t="n"/>
      <c r="U28" s="9" t="n"/>
      <c r="V28" s="9" t="n"/>
      <c r="W28" s="9" t="n"/>
      <c r="X28" s="9" t="n"/>
      <c r="Z28" s="56" t="n"/>
    </row>
    <row r="29">
      <c r="A29" s="179" t="n">
        <v>44805</v>
      </c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9" t="n"/>
      <c r="U29" s="9" t="n"/>
      <c r="V29" s="9" t="n"/>
      <c r="W29" s="9" t="n"/>
      <c r="X29" s="9" t="n"/>
      <c r="Y29" s="9" t="n"/>
      <c r="Z29" s="56" t="n"/>
    </row>
    <row r="30">
      <c r="A30" s="179" t="n">
        <v>44835</v>
      </c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Q30" s="56" t="n"/>
      <c r="R30" s="56" t="n"/>
      <c r="S30" s="56" t="n"/>
      <c r="T30" s="9" t="n"/>
      <c r="U30" s="9" t="n"/>
      <c r="V30" s="9" t="n"/>
      <c r="W30" s="9" t="n"/>
      <c r="X30" s="9" t="n"/>
      <c r="Y30" s="9" t="n"/>
      <c r="Z30" s="56" t="n"/>
    </row>
    <row r="31">
      <c r="A31" s="179" t="n">
        <v>44866</v>
      </c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Q31" s="56" t="n"/>
      <c r="R31" s="56" t="n"/>
      <c r="S31" s="56" t="n"/>
      <c r="T31" s="9" t="n"/>
      <c r="U31" s="9" t="n"/>
      <c r="V31" s="9" t="n"/>
      <c r="W31" s="9" t="n"/>
      <c r="X31" s="9" t="n"/>
      <c r="Y31" s="9" t="n"/>
      <c r="Z31" s="56" t="n"/>
    </row>
    <row r="32">
      <c r="A32" s="179" t="n">
        <v>44896</v>
      </c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Q32" s="56" t="n"/>
      <c r="R32" s="56" t="n"/>
      <c r="S32" s="56" t="n"/>
      <c r="T32" s="9" t="n"/>
      <c r="U32" s="9" t="n"/>
      <c r="V32" s="9" t="n"/>
      <c r="W32" s="9" t="n"/>
      <c r="X32" s="9" t="n"/>
      <c r="Y32" s="9" t="n"/>
      <c r="Z32" s="56" t="n"/>
    </row>
    <row r="33">
      <c r="A33" s="179" t="n">
        <v>44927</v>
      </c>
      <c r="B33" s="56" t="n">
        <v>6048</v>
      </c>
      <c r="C33" s="56" t="n">
        <v>6156</v>
      </c>
      <c r="D33" s="56" t="n">
        <v>5719</v>
      </c>
      <c r="E33" s="56" t="n">
        <v>5848</v>
      </c>
      <c r="F33" s="56" t="n">
        <v>2722</v>
      </c>
      <c r="G33" s="56" t="n">
        <v>1728</v>
      </c>
      <c r="H33" s="56" t="n">
        <v>1210</v>
      </c>
      <c r="I33" s="56" t="n">
        <v>1312</v>
      </c>
      <c r="J33" s="56" t="n">
        <v>972</v>
      </c>
      <c r="K33" s="56" t="n">
        <v>243</v>
      </c>
      <c r="L33" s="56" t="n">
        <v>396</v>
      </c>
      <c r="M33" s="56" t="n">
        <v>288</v>
      </c>
      <c r="N33" s="56" t="n">
        <v>1888</v>
      </c>
      <c r="O33" s="56" t="n">
        <v>1869</v>
      </c>
      <c r="P33" s="56" t="n">
        <v>0</v>
      </c>
      <c r="Q33" s="56" t="n">
        <v>0</v>
      </c>
      <c r="R33" s="56" t="n">
        <v>0</v>
      </c>
      <c r="S33" s="56" t="n">
        <v>0</v>
      </c>
      <c r="T33" s="9" t="n">
        <v>504</v>
      </c>
      <c r="U33" s="9" t="n">
        <v>360</v>
      </c>
      <c r="V33" s="9" t="n">
        <v>0</v>
      </c>
      <c r="W33" s="9" t="n">
        <v>432</v>
      </c>
      <c r="X33" s="9" t="n">
        <v>738</v>
      </c>
      <c r="Y33" s="9" t="n">
        <v>610884</v>
      </c>
      <c r="Z33" s="56">
        <f>SUM(B33:E33)</f>
        <v/>
      </c>
    </row>
    <row r="34">
      <c r="A34" s="179" t="n">
        <v>44958</v>
      </c>
      <c r="B34" s="56" t="n">
        <v>7452</v>
      </c>
      <c r="C34" s="56" t="n">
        <v>7668</v>
      </c>
      <c r="D34" s="56" t="n">
        <v>5200</v>
      </c>
      <c r="E34" s="56" t="n">
        <v>5233</v>
      </c>
      <c r="F34" s="56" t="n">
        <v>2549</v>
      </c>
      <c r="G34" s="56" t="n">
        <v>2419</v>
      </c>
      <c r="H34" s="56" t="n">
        <v>1066</v>
      </c>
      <c r="I34" s="56" t="n">
        <v>1128</v>
      </c>
      <c r="J34" s="56" t="n">
        <v>486</v>
      </c>
      <c r="K34" s="56" t="n">
        <v>470</v>
      </c>
      <c r="L34" s="56" t="n">
        <v>666</v>
      </c>
      <c r="M34" s="56" t="n">
        <v>468</v>
      </c>
      <c r="N34" s="56" t="n">
        <v>1790</v>
      </c>
      <c r="O34" s="56" t="n">
        <v>1465</v>
      </c>
      <c r="P34" s="56" t="n">
        <v>0</v>
      </c>
      <c r="Q34" s="56" t="n">
        <v>0</v>
      </c>
      <c r="R34" s="56" t="n">
        <v>0</v>
      </c>
      <c r="S34" s="56" t="n">
        <v>0</v>
      </c>
      <c r="T34" s="9" t="n">
        <v>684</v>
      </c>
      <c r="U34" s="9" t="n">
        <v>468</v>
      </c>
      <c r="V34" s="9" t="n">
        <v>0</v>
      </c>
      <c r="W34" s="9" t="n">
        <v>450</v>
      </c>
      <c r="X34" s="9" t="n">
        <v>801</v>
      </c>
      <c r="Y34" s="9" t="n">
        <v>572942</v>
      </c>
      <c r="Z34" s="56">
        <f>SUM(B34:E34)</f>
        <v/>
      </c>
    </row>
    <row r="35">
      <c r="A35" s="179" t="n">
        <v>44986</v>
      </c>
      <c r="B35" s="56" t="n">
        <v>13500</v>
      </c>
      <c r="C35" s="56" t="n">
        <v>5400</v>
      </c>
      <c r="D35" s="56" t="n">
        <v>5686</v>
      </c>
      <c r="E35" s="56" t="n">
        <v>5816</v>
      </c>
      <c r="F35" s="56" t="n">
        <v>2894</v>
      </c>
      <c r="G35" s="56" t="n">
        <v>2678</v>
      </c>
      <c r="H35" s="56" t="n">
        <v>1005</v>
      </c>
      <c r="I35" s="56" t="n">
        <v>1107</v>
      </c>
      <c r="J35" s="56" t="n">
        <v>502</v>
      </c>
      <c r="K35" s="56" t="n">
        <v>502</v>
      </c>
      <c r="L35" s="56" t="n">
        <v>918</v>
      </c>
      <c r="M35" s="56" t="n">
        <v>702</v>
      </c>
      <c r="N35" s="56" t="n">
        <v>2130</v>
      </c>
      <c r="O35" s="56" t="n">
        <v>1204</v>
      </c>
      <c r="P35" s="56" t="n">
        <v>0</v>
      </c>
      <c r="Q35" s="56" t="n">
        <v>0</v>
      </c>
      <c r="R35" s="56" t="n">
        <v>0</v>
      </c>
      <c r="S35" s="56" t="n">
        <v>0</v>
      </c>
      <c r="T35" s="9" t="n">
        <v>648</v>
      </c>
      <c r="U35" s="9" t="n">
        <v>396</v>
      </c>
      <c r="V35" s="9" t="n">
        <v>0</v>
      </c>
      <c r="W35" s="9" t="n">
        <v>459</v>
      </c>
      <c r="X35" s="9" t="n">
        <v>792</v>
      </c>
      <c r="Y35" s="9" t="n">
        <v>637727</v>
      </c>
      <c r="Z35" s="56">
        <f>SUM(B35:E35)</f>
        <v/>
      </c>
    </row>
    <row r="36">
      <c r="A36" s="179" t="n">
        <v>45017</v>
      </c>
      <c r="B36" s="56" t="n">
        <v>11340</v>
      </c>
      <c r="C36" s="56" t="n">
        <v>11988</v>
      </c>
      <c r="D36" s="56" t="n">
        <v>5589</v>
      </c>
      <c r="E36" s="56" t="n">
        <v>5589</v>
      </c>
      <c r="F36" s="56" t="n">
        <v>4968</v>
      </c>
      <c r="G36" s="56" t="n">
        <v>2635</v>
      </c>
      <c r="H36" s="56" t="n">
        <v>1046</v>
      </c>
      <c r="I36" s="56" t="n">
        <v>1271</v>
      </c>
      <c r="J36" s="56" t="n">
        <v>648</v>
      </c>
      <c r="K36" s="56" t="n">
        <v>632</v>
      </c>
      <c r="L36" s="56" t="n">
        <v>738</v>
      </c>
      <c r="M36" s="56" t="n">
        <v>558</v>
      </c>
      <c r="N36" s="56" t="n">
        <v>2678</v>
      </c>
      <c r="O36" s="56" t="n">
        <v>2943</v>
      </c>
      <c r="P36" s="56" t="n">
        <v>0</v>
      </c>
      <c r="Q36" s="56" t="n">
        <v>0</v>
      </c>
      <c r="R36" s="56" t="n">
        <v>0</v>
      </c>
      <c r="S36" s="56" t="n">
        <v>0</v>
      </c>
      <c r="T36" s="9" t="n">
        <v>756</v>
      </c>
      <c r="U36" s="9" t="n">
        <v>468</v>
      </c>
      <c r="V36" s="9" t="n">
        <v>0</v>
      </c>
      <c r="W36" s="9" t="n">
        <v>477</v>
      </c>
      <c r="X36" s="9" t="n">
        <v>783</v>
      </c>
      <c r="Y36" s="9" t="n">
        <v>659082</v>
      </c>
      <c r="Z36" s="56">
        <f>SUM(B36:E36)</f>
        <v/>
      </c>
    </row>
    <row r="37">
      <c r="A37" s="179" t="n">
        <v>45047</v>
      </c>
      <c r="B37" s="56" t="n">
        <v>17604</v>
      </c>
      <c r="C37" s="56" t="n">
        <v>16632</v>
      </c>
      <c r="D37" s="56" t="n">
        <v>5719</v>
      </c>
      <c r="E37" s="56" t="n">
        <v>5783</v>
      </c>
      <c r="F37" s="56" t="n">
        <v>346</v>
      </c>
      <c r="G37" s="56" t="n">
        <v>2333</v>
      </c>
      <c r="H37" s="56" t="n">
        <v>1189</v>
      </c>
      <c r="I37" s="56" t="n">
        <v>1066</v>
      </c>
      <c r="J37" s="56" t="n">
        <v>648</v>
      </c>
      <c r="K37" s="56" t="n">
        <v>632</v>
      </c>
      <c r="L37" s="56" t="n">
        <v>630</v>
      </c>
      <c r="M37" s="56" t="n">
        <v>486</v>
      </c>
      <c r="N37" s="56" t="n">
        <v>3181</v>
      </c>
      <c r="O37" s="56" t="n">
        <v>3176</v>
      </c>
      <c r="P37" s="56" t="n">
        <v>0</v>
      </c>
      <c r="Q37" s="56" t="n">
        <v>0</v>
      </c>
      <c r="R37" s="56" t="n">
        <v>0</v>
      </c>
      <c r="S37" s="56" t="n">
        <v>0</v>
      </c>
      <c r="T37" s="9" t="n">
        <v>792</v>
      </c>
      <c r="U37" s="9" t="n">
        <v>468</v>
      </c>
      <c r="V37" s="9" t="n">
        <v>0</v>
      </c>
      <c r="W37" s="9" t="n">
        <v>513</v>
      </c>
      <c r="X37" s="9" t="n">
        <v>918</v>
      </c>
      <c r="Y37" s="9" t="n">
        <v>833919</v>
      </c>
      <c r="Z37" s="56">
        <f>SUM(B37:E37)</f>
        <v/>
      </c>
    </row>
    <row r="38">
      <c r="A38" s="179" t="n">
        <v>45078</v>
      </c>
      <c r="B38" s="56" t="n">
        <v>14580</v>
      </c>
      <c r="C38" s="56" t="n">
        <v>15768</v>
      </c>
      <c r="D38" s="56" t="n">
        <v>5573</v>
      </c>
      <c r="E38" s="56" t="n">
        <v>5589</v>
      </c>
      <c r="F38" s="56" t="n">
        <v>1944</v>
      </c>
      <c r="G38" s="56" t="n">
        <v>1858</v>
      </c>
      <c r="H38" s="56" t="n">
        <v>984</v>
      </c>
      <c r="I38" s="56" t="n">
        <v>1046</v>
      </c>
      <c r="J38" s="56" t="n">
        <v>583</v>
      </c>
      <c r="K38" s="56" t="n">
        <v>583</v>
      </c>
      <c r="L38" s="56" t="n">
        <v>342</v>
      </c>
      <c r="M38" s="56" t="n">
        <v>270</v>
      </c>
      <c r="N38" s="56" t="n">
        <v>3264</v>
      </c>
      <c r="O38" s="56" t="n">
        <v>3246</v>
      </c>
      <c r="P38" s="56" t="n">
        <v>0</v>
      </c>
      <c r="Q38" s="56" t="n">
        <v>0</v>
      </c>
      <c r="R38" s="56" t="n">
        <v>0</v>
      </c>
      <c r="S38" s="56" t="n">
        <v>0</v>
      </c>
      <c r="T38" s="9" t="n">
        <v>720</v>
      </c>
      <c r="U38" s="9" t="n">
        <v>360</v>
      </c>
      <c r="V38" s="9" t="n">
        <v>0</v>
      </c>
      <c r="W38" s="9" t="n">
        <v>396</v>
      </c>
      <c r="X38" s="9" t="n">
        <v>648</v>
      </c>
      <c r="Y38" s="9" t="n">
        <v>1055397</v>
      </c>
      <c r="Z38" s="56">
        <f>SUM(B38:E38)</f>
        <v/>
      </c>
    </row>
    <row r="39" ht="34" customHeight="1">
      <c r="A39" s="18" t="inlineStr">
        <is>
          <t>Total (by meter)</t>
        </is>
      </c>
      <c r="B39" s="56">
        <f>SUM(B27:B38)</f>
        <v/>
      </c>
      <c r="C39" s="56">
        <f>SUM(C27:C38)</f>
        <v/>
      </c>
      <c r="D39" s="56">
        <f>SUM(D27:D38)</f>
        <v/>
      </c>
      <c r="E39" s="56">
        <f>SUM(E27:E38)</f>
        <v/>
      </c>
      <c r="F39" s="56">
        <f>SUM(F27:F38)</f>
        <v/>
      </c>
      <c r="G39" s="56">
        <f>SUM(G27:G38)</f>
        <v/>
      </c>
      <c r="H39" s="56">
        <f>SUM(H27:H38)</f>
        <v/>
      </c>
      <c r="I39" s="56">
        <f>SUM(I27:I38)</f>
        <v/>
      </c>
      <c r="J39" s="56">
        <f>SUM(J27:J38)</f>
        <v/>
      </c>
      <c r="K39" s="56">
        <f>SUM(K27:K38)</f>
        <v/>
      </c>
      <c r="L39" s="56">
        <f>SUM(L27:L38)</f>
        <v/>
      </c>
      <c r="M39" s="56">
        <f>SUM(M27:M38)</f>
        <v/>
      </c>
      <c r="N39" s="56">
        <f>SUM(N27:N38)</f>
        <v/>
      </c>
      <c r="O39" s="56">
        <f>SUM(O27:O38)</f>
        <v/>
      </c>
      <c r="P39" s="56">
        <f>SUM(P27:P38)</f>
        <v/>
      </c>
      <c r="Q39" s="56">
        <f>SUM(Q27:Q38)</f>
        <v/>
      </c>
      <c r="R39" s="56">
        <f>SUM(R27:R38)</f>
        <v/>
      </c>
      <c r="S39" s="56">
        <f>SUM(S27:S38)</f>
        <v/>
      </c>
      <c r="T39" s="56">
        <f>SUM(T27:T38)</f>
        <v/>
      </c>
      <c r="U39" s="56">
        <f>SUM(U27:U38)</f>
        <v/>
      </c>
      <c r="V39" s="56">
        <f>SUM(V27:V38)</f>
        <v/>
      </c>
      <c r="W39" s="56">
        <f>SUM(W27:W38)</f>
        <v/>
      </c>
      <c r="X39" s="56">
        <f>SUM(X27:X38)</f>
        <v/>
      </c>
      <c r="Y39" s="56">
        <f>SUM(Y27:Y38)</f>
        <v/>
      </c>
      <c r="Z39" s="56" t="n"/>
    </row>
    <row r="40" ht="34" customHeight="1">
      <c r="A40" s="18" t="inlineStr">
        <is>
          <t>Total (by serving area)</t>
        </is>
      </c>
      <c r="B40" s="672">
        <f>SUM(B27:C38)</f>
        <v/>
      </c>
      <c r="D40" s="672">
        <f>SUM(D27:E38)</f>
        <v/>
      </c>
      <c r="F40" s="672">
        <f>SUM(F27:G38)</f>
        <v/>
      </c>
      <c r="H40" s="672">
        <f>SUM(H27:I38)</f>
        <v/>
      </c>
      <c r="J40" s="672">
        <f>SUM(J27:K38)</f>
        <v/>
      </c>
      <c r="L40" s="672">
        <f>SUM(L27:M38)</f>
        <v/>
      </c>
      <c r="N40" s="672">
        <f>SUM(N27:O38)</f>
        <v/>
      </c>
      <c r="P40" s="672">
        <f>SUM(P27:Q38)</f>
        <v/>
      </c>
      <c r="R40" s="672">
        <f>SUM(R27:S38)</f>
        <v/>
      </c>
      <c r="T40" s="672">
        <f>SUM(T27:V38)</f>
        <v/>
      </c>
      <c r="W40" s="672">
        <f>SUM(W27:X38)</f>
        <v/>
      </c>
      <c r="Y40" s="56">
        <f>SUM(Y27:Y38)</f>
        <v/>
      </c>
      <c r="Z40" s="56" t="n"/>
    </row>
    <row r="41">
      <c r="B41" s="56" t="n"/>
      <c r="C41" s="56" t="n"/>
      <c r="D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 ht="17" customHeight="1">
      <c r="A42" s="18" t="inlineStr">
        <is>
          <t>Annual Total</t>
        </is>
      </c>
      <c r="B42" s="178">
        <f>SUM(B39:E39)</f>
        <v/>
      </c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5" ht="17" customHeight="1">
      <c r="A45" s="181" t="inlineStr">
        <is>
          <t>2023-24</t>
        </is>
      </c>
    </row>
    <row r="46" ht="17" customHeight="1">
      <c r="A46" s="18" t="inlineStr">
        <is>
          <t>Item</t>
        </is>
      </c>
      <c r="B46" s="55" t="n">
        <v>1</v>
      </c>
      <c r="C46" s="55" t="n">
        <v>2</v>
      </c>
      <c r="D46" s="55" t="n">
        <v>3</v>
      </c>
      <c r="E46" s="55" t="n">
        <v>4</v>
      </c>
      <c r="F46" s="55" t="n">
        <v>5</v>
      </c>
      <c r="G46" s="55" t="n">
        <v>6</v>
      </c>
      <c r="H46" s="55" t="n">
        <v>7</v>
      </c>
      <c r="I46" s="55" t="n">
        <v>8</v>
      </c>
      <c r="J46" s="55" t="n">
        <v>9</v>
      </c>
      <c r="K46" s="55" t="n">
        <v>10</v>
      </c>
      <c r="L46" s="55" t="n">
        <v>11</v>
      </c>
      <c r="M46" s="55" t="n">
        <v>12</v>
      </c>
      <c r="N46" s="55" t="n">
        <v>13</v>
      </c>
      <c r="O46" s="55" t="n">
        <v>14</v>
      </c>
      <c r="P46" s="55" t="n">
        <v>15</v>
      </c>
      <c r="Q46" s="55" t="n">
        <v>16</v>
      </c>
      <c r="R46" s="55" t="n">
        <v>17</v>
      </c>
      <c r="S46" s="55" t="n">
        <v>18</v>
      </c>
      <c r="T46" s="55" t="n">
        <v>19</v>
      </c>
      <c r="U46" s="55" t="n">
        <v>20</v>
      </c>
      <c r="V46" s="55" t="n">
        <v>21</v>
      </c>
      <c r="W46" s="55" t="n">
        <v>22</v>
      </c>
      <c r="X46" s="55" t="n">
        <v>23</v>
      </c>
      <c r="Y46" s="55" t="n">
        <v>24</v>
      </c>
    </row>
    <row r="47" ht="34" customHeight="1">
      <c r="A47" s="18" t="inlineStr">
        <is>
          <t>Pump No.</t>
        </is>
      </c>
      <c r="B47" s="671" t="inlineStr">
        <is>
          <t>SWPH-P/P-25</t>
        </is>
      </c>
      <c r="C47" s="671" t="inlineStr">
        <is>
          <t>SWPH-P/P-26</t>
        </is>
      </c>
      <c r="D47" s="671" t="inlineStr">
        <is>
          <t>SWPH-P/P-27</t>
        </is>
      </c>
      <c r="E47" s="671" t="inlineStr">
        <is>
          <t>SWPH-P/P-28</t>
        </is>
      </c>
      <c r="F47" s="671" t="inlineStr">
        <is>
          <t>AB-FTP-1</t>
        </is>
      </c>
      <c r="G47" s="671" t="inlineStr">
        <is>
          <t>AB-FTP-2</t>
        </is>
      </c>
      <c r="H47" s="671" t="inlineStr">
        <is>
          <t>AB-FWTP-1</t>
        </is>
      </c>
      <c r="I47" s="671" t="inlineStr">
        <is>
          <t>AB-FWTP-2</t>
        </is>
      </c>
      <c r="J47" s="671" t="inlineStr">
        <is>
          <t>AB-FWTP-3</t>
        </is>
      </c>
      <c r="K47" s="671" t="inlineStr">
        <is>
          <t>AB-FWTP-4</t>
        </is>
      </c>
      <c r="L47" s="671" t="inlineStr">
        <is>
          <t>UG7-FTP-1</t>
        </is>
      </c>
      <c r="M47" s="671" t="inlineStr">
        <is>
          <t>UG7-FTP-2</t>
        </is>
      </c>
      <c r="N47" s="671" t="inlineStr">
        <is>
          <t>AB-FWTP-7</t>
        </is>
      </c>
      <c r="O47" s="671" t="inlineStr">
        <is>
          <t>AB-FWTP-8</t>
        </is>
      </c>
      <c r="P47" s="671" t="inlineStr">
        <is>
          <t>PG/UG1-FTP-1</t>
        </is>
      </c>
      <c r="Q47" s="671" t="inlineStr">
        <is>
          <t>PG/UG1-FTP-2</t>
        </is>
      </c>
      <c r="R47" s="671" t="inlineStr">
        <is>
          <t>PG2-FTP-1</t>
        </is>
      </c>
      <c r="S47" s="671" t="inlineStr">
        <is>
          <t>PG2-FTP-2</t>
        </is>
      </c>
      <c r="T47" s="671" t="inlineStr">
        <is>
          <t>LSK-FTP-1</t>
        </is>
      </c>
      <c r="U47" s="671" t="inlineStr">
        <is>
          <t>LSK-FTP-2</t>
        </is>
      </c>
      <c r="V47" s="671" t="inlineStr">
        <is>
          <t>LSK-FTJP-3</t>
        </is>
      </c>
      <c r="W47" s="671" t="inlineStr">
        <is>
          <t>RAB-FWTP-1</t>
        </is>
      </c>
      <c r="X47" s="671" t="inlineStr">
        <is>
          <t>RAB-FWTP-2</t>
        </is>
      </c>
      <c r="Y47" s="671" t="inlineStr">
        <is>
          <t>Cooling System</t>
        </is>
      </c>
      <c r="Z47" s="18" t="n"/>
    </row>
    <row r="48" ht="34" customHeight="1">
      <c r="A48" s="18" t="inlineStr">
        <is>
          <t>Serving Area</t>
        </is>
      </c>
      <c r="B48" s="671" t="inlineStr">
        <is>
          <t>Acad. Bldg, Staff Qtr, GRUC</t>
        </is>
      </c>
      <c r="D48" s="671" t="inlineStr">
        <is>
          <t>Student Housing, CML, Seafront Complex</t>
        </is>
      </c>
      <c r="F48" s="671" t="inlineStr">
        <is>
          <t>Academic Building</t>
        </is>
      </c>
      <c r="H48" s="671" t="inlineStr">
        <is>
          <t>SSQ T1-T7</t>
        </is>
      </c>
      <c r="J48" s="671" t="inlineStr">
        <is>
          <t>JSQ, Ph-2 SSQ</t>
        </is>
      </c>
      <c r="L48" s="671" t="inlineStr">
        <is>
          <t>UG7</t>
        </is>
      </c>
      <c r="N48" s="671" t="inlineStr">
        <is>
          <t>GRUC, SSQ  T8-T19, LSK, RAB</t>
        </is>
      </c>
      <c r="P48" s="671" t="inlineStr">
        <is>
          <t>PG1/UG1 (Suspended)</t>
        </is>
      </c>
      <c r="R48" s="671" t="inlineStr">
        <is>
          <t>PG2 (Suspended)</t>
        </is>
      </c>
      <c r="T48" s="671" t="inlineStr">
        <is>
          <t>LSK transfer pump room</t>
        </is>
      </c>
      <c r="W48" s="671" t="inlineStr">
        <is>
          <t>RAB G/F pump room</t>
        </is>
      </c>
      <c r="Y48" s="671" t="inlineStr">
        <is>
          <t>Cooling System</t>
        </is>
      </c>
      <c r="Z48" s="18" t="inlineStr">
        <is>
          <t>Total (by month)</t>
        </is>
      </c>
    </row>
    <row r="49">
      <c r="A49" s="179" t="n">
        <v>45108</v>
      </c>
      <c r="B49" s="56" t="n">
        <v>15120</v>
      </c>
      <c r="C49" s="56" t="n">
        <v>16200</v>
      </c>
      <c r="D49" s="56" t="n">
        <v>5800</v>
      </c>
      <c r="E49" s="56" t="n">
        <v>5783</v>
      </c>
      <c r="F49" s="56" t="n">
        <v>2074</v>
      </c>
      <c r="G49" s="56" t="n">
        <v>1944</v>
      </c>
      <c r="H49" s="56" t="n">
        <v>779</v>
      </c>
      <c r="I49" s="56" t="n">
        <v>841</v>
      </c>
      <c r="J49" s="56" t="n">
        <v>551</v>
      </c>
      <c r="K49" s="56" t="n">
        <v>567</v>
      </c>
      <c r="L49" s="56" t="n">
        <v>342</v>
      </c>
      <c r="M49" s="56" t="n">
        <v>252</v>
      </c>
      <c r="N49" s="56" t="n">
        <v>3664</v>
      </c>
      <c r="O49" s="56" t="n">
        <v>3683</v>
      </c>
      <c r="P49" s="56" t="n">
        <v>0</v>
      </c>
      <c r="Q49" s="56" t="n">
        <v>0</v>
      </c>
      <c r="R49" s="56" t="n">
        <v>0</v>
      </c>
      <c r="S49" s="56" t="n">
        <v>0</v>
      </c>
      <c r="T49" s="9" t="n">
        <v>792</v>
      </c>
      <c r="U49" s="9" t="n">
        <v>432</v>
      </c>
      <c r="V49" s="9" t="n">
        <v>0</v>
      </c>
      <c r="W49" s="9" t="n">
        <v>486</v>
      </c>
      <c r="X49" s="9" t="n">
        <v>900</v>
      </c>
      <c r="Y49" s="9" t="n">
        <v>1161414</v>
      </c>
      <c r="Z49" s="56">
        <f>SUM(B49:E49)</f>
        <v/>
      </c>
    </row>
    <row r="50">
      <c r="A50" s="179" t="n">
        <v>45139</v>
      </c>
      <c r="B50" s="56" t="n">
        <v>15444</v>
      </c>
      <c r="C50" s="56" t="n">
        <v>16524</v>
      </c>
      <c r="D50" s="56" t="n">
        <v>5783</v>
      </c>
      <c r="E50" s="56" t="n">
        <v>5783</v>
      </c>
      <c r="F50" s="56" t="n">
        <v>1771</v>
      </c>
      <c r="G50" s="56" t="n">
        <v>1339</v>
      </c>
      <c r="H50" s="56" t="n">
        <v>513</v>
      </c>
      <c r="I50" s="56" t="n">
        <v>554</v>
      </c>
      <c r="J50" s="56" t="n">
        <v>551</v>
      </c>
      <c r="K50" s="56" t="n">
        <v>551</v>
      </c>
      <c r="L50" s="56" t="n">
        <v>324</v>
      </c>
      <c r="M50" s="56" t="n">
        <v>252</v>
      </c>
      <c r="N50" s="56" t="n">
        <v>3027</v>
      </c>
      <c r="O50" s="56" t="n">
        <v>3027</v>
      </c>
      <c r="P50" s="56" t="n">
        <v>0</v>
      </c>
      <c r="Q50" s="56" t="n">
        <v>0</v>
      </c>
      <c r="R50" s="56" t="n">
        <v>0</v>
      </c>
      <c r="S50" s="56" t="n">
        <v>0</v>
      </c>
      <c r="T50" s="9" t="n">
        <v>576</v>
      </c>
      <c r="U50" s="9" t="n">
        <v>540</v>
      </c>
      <c r="V50" s="9" t="n">
        <v>0</v>
      </c>
      <c r="W50" s="9" t="n">
        <v>315</v>
      </c>
      <c r="X50" s="9" t="n">
        <v>594</v>
      </c>
      <c r="Y50" s="9" t="n">
        <v>1191598</v>
      </c>
      <c r="Z50" s="56">
        <f>SUM(B50:E50)</f>
        <v/>
      </c>
    </row>
    <row r="51">
      <c r="A51" s="179" t="n">
        <v>45170</v>
      </c>
      <c r="B51" s="56" t="n">
        <v>16848</v>
      </c>
      <c r="C51" s="56" t="n">
        <v>17928</v>
      </c>
      <c r="D51" s="56" t="n">
        <v>5670</v>
      </c>
      <c r="E51" s="56" t="n">
        <v>5573</v>
      </c>
      <c r="F51" s="56" t="n">
        <v>3240</v>
      </c>
      <c r="G51" s="56" t="n">
        <v>3326</v>
      </c>
      <c r="H51" s="56" t="n">
        <v>820</v>
      </c>
      <c r="I51" s="56" t="n">
        <v>861</v>
      </c>
      <c r="J51" s="56" t="n">
        <v>648</v>
      </c>
      <c r="K51" s="56" t="n">
        <v>664</v>
      </c>
      <c r="L51" s="56" t="n">
        <v>630</v>
      </c>
      <c r="M51" s="56" t="n">
        <v>486</v>
      </c>
      <c r="N51" s="56" t="n">
        <v>3436</v>
      </c>
      <c r="O51" s="56" t="n">
        <v>3436</v>
      </c>
      <c r="P51" s="56" t="n">
        <v>0</v>
      </c>
      <c r="Q51" s="56" t="n">
        <v>0</v>
      </c>
      <c r="R51" s="56" t="n">
        <v>0</v>
      </c>
      <c r="S51" s="56" t="n">
        <v>0</v>
      </c>
      <c r="T51" s="9" t="n">
        <v>4716</v>
      </c>
      <c r="U51" s="9" t="n">
        <v>36</v>
      </c>
      <c r="V51" s="9" t="n">
        <v>0</v>
      </c>
      <c r="W51" s="9" t="n">
        <v>369</v>
      </c>
      <c r="X51" s="9" t="n">
        <v>828</v>
      </c>
      <c r="Y51" s="9" t="n">
        <v>1003356</v>
      </c>
      <c r="Z51" s="56">
        <f>SUM(B51:E51)</f>
        <v/>
      </c>
    </row>
    <row r="52">
      <c r="A52" s="179" t="n">
        <v>45200</v>
      </c>
      <c r="B52" s="56" t="n">
        <v>17928</v>
      </c>
      <c r="C52" s="56" t="n">
        <v>17820</v>
      </c>
      <c r="D52" s="56" t="n">
        <v>5783</v>
      </c>
      <c r="E52" s="56" t="n">
        <v>5832</v>
      </c>
      <c r="F52" s="56" t="n">
        <v>3931</v>
      </c>
      <c r="G52" s="56" t="n">
        <v>3758</v>
      </c>
      <c r="H52" s="56" t="n">
        <v>882</v>
      </c>
      <c r="I52" s="56" t="n">
        <v>964</v>
      </c>
      <c r="J52" s="56" t="n">
        <v>680</v>
      </c>
      <c r="K52" s="56" t="n">
        <v>697</v>
      </c>
      <c r="L52" s="56" t="n">
        <v>810</v>
      </c>
      <c r="M52" s="56" t="n">
        <v>630</v>
      </c>
      <c r="N52" s="56" t="n">
        <v>3585</v>
      </c>
      <c r="O52" s="56" t="n">
        <v>2032</v>
      </c>
      <c r="P52" s="56" t="n">
        <v>0</v>
      </c>
      <c r="Q52" s="56" t="n">
        <v>0</v>
      </c>
      <c r="R52" s="56" t="n">
        <v>0</v>
      </c>
      <c r="S52" s="56" t="n">
        <v>0</v>
      </c>
      <c r="T52" s="9" t="n">
        <v>612</v>
      </c>
      <c r="U52" s="9" t="n">
        <v>432</v>
      </c>
      <c r="V52" s="9" t="n">
        <v>0</v>
      </c>
      <c r="W52" s="9" t="n">
        <v>477</v>
      </c>
      <c r="X52" s="9" t="n">
        <v>1026</v>
      </c>
      <c r="Y52" s="9" t="n">
        <v>817068</v>
      </c>
      <c r="Z52" s="56">
        <f>SUM(B52:E52)</f>
        <v/>
      </c>
    </row>
    <row r="53">
      <c r="A53" s="179" t="n">
        <v>45231</v>
      </c>
      <c r="B53" s="56" t="n">
        <v>13284</v>
      </c>
      <c r="C53" s="56" t="n">
        <v>14040</v>
      </c>
      <c r="D53" s="56" t="n">
        <v>5605</v>
      </c>
      <c r="E53" s="56" t="n">
        <v>5103</v>
      </c>
      <c r="F53" s="56" t="n">
        <v>3715</v>
      </c>
      <c r="G53" s="56" t="n">
        <v>3456</v>
      </c>
      <c r="H53" s="56" t="n">
        <v>779</v>
      </c>
      <c r="I53" s="56" t="n">
        <v>820</v>
      </c>
      <c r="J53" s="56" t="n">
        <v>583</v>
      </c>
      <c r="K53" s="56" t="n">
        <v>567</v>
      </c>
      <c r="L53" s="56" t="n">
        <v>702</v>
      </c>
      <c r="M53" s="56" t="n">
        <v>522</v>
      </c>
      <c r="N53" s="56" t="n">
        <v>2757</v>
      </c>
      <c r="O53" s="56" t="n">
        <v>372</v>
      </c>
      <c r="P53" s="56" t="n">
        <v>0</v>
      </c>
      <c r="Q53" s="56" t="n">
        <v>0</v>
      </c>
      <c r="R53" s="56" t="n">
        <v>0</v>
      </c>
      <c r="S53" s="56" t="n">
        <v>0</v>
      </c>
      <c r="T53" s="9" t="n">
        <v>72</v>
      </c>
      <c r="U53" s="9" t="n">
        <v>144</v>
      </c>
      <c r="V53" s="9" t="n">
        <v>0</v>
      </c>
      <c r="W53" s="9" t="n">
        <v>378</v>
      </c>
      <c r="X53" s="9" t="n">
        <v>882</v>
      </c>
      <c r="Y53" s="9" t="n">
        <v>556197</v>
      </c>
      <c r="Z53" s="56">
        <f>SUM(B53:E53)</f>
        <v/>
      </c>
    </row>
    <row r="54">
      <c r="A54" s="179" t="n">
        <v>45261</v>
      </c>
      <c r="B54" s="56" t="n">
        <v>7776</v>
      </c>
      <c r="C54" s="56" t="n">
        <v>7992</v>
      </c>
      <c r="D54" s="56" t="n">
        <v>5816</v>
      </c>
      <c r="E54" s="56" t="n">
        <v>5800</v>
      </c>
      <c r="F54" s="56" t="n">
        <v>3067</v>
      </c>
      <c r="G54" s="56" t="n">
        <v>3715</v>
      </c>
      <c r="H54" s="56" t="n">
        <v>451</v>
      </c>
      <c r="I54" s="56" t="n">
        <v>1476</v>
      </c>
      <c r="J54" s="56" t="n">
        <v>697</v>
      </c>
      <c r="K54" s="56" t="n">
        <v>680</v>
      </c>
      <c r="L54" s="56" t="n">
        <v>594</v>
      </c>
      <c r="M54" s="56" t="n">
        <v>450</v>
      </c>
      <c r="N54" s="56" t="n">
        <v>0</v>
      </c>
      <c r="O54" s="56" t="n">
        <v>3883</v>
      </c>
      <c r="P54" s="56" t="n">
        <v>0</v>
      </c>
      <c r="Q54" s="56" t="n">
        <v>0</v>
      </c>
      <c r="R54" s="56" t="n">
        <v>0</v>
      </c>
      <c r="S54" s="56" t="n">
        <v>0</v>
      </c>
      <c r="T54" s="9" t="n">
        <v>576</v>
      </c>
      <c r="U54" s="9" t="n">
        <v>684</v>
      </c>
      <c r="V54" s="9" t="n">
        <v>0</v>
      </c>
      <c r="W54" s="9" t="n">
        <v>378</v>
      </c>
      <c r="X54" s="9" t="n">
        <v>873</v>
      </c>
      <c r="Y54" s="9" t="n">
        <v>552970</v>
      </c>
      <c r="Z54" s="56">
        <f>SUM(B54:E54)</f>
        <v/>
      </c>
    </row>
    <row r="55">
      <c r="A55" s="179" t="n">
        <v>45292</v>
      </c>
      <c r="B55" s="180" t="n">
        <v>4212</v>
      </c>
      <c r="C55" s="180" t="n">
        <v>10044</v>
      </c>
      <c r="D55" s="180" t="n">
        <v>4471</v>
      </c>
      <c r="E55" s="180" t="n">
        <v>7015</v>
      </c>
      <c r="F55" s="180" t="n">
        <v>2462</v>
      </c>
      <c r="G55" s="180" t="n">
        <v>2290</v>
      </c>
      <c r="H55" s="180" t="n">
        <v>779</v>
      </c>
      <c r="I55" s="180" t="n">
        <v>820</v>
      </c>
      <c r="J55" s="180" t="n">
        <v>567</v>
      </c>
      <c r="K55" s="180" t="n">
        <v>535</v>
      </c>
      <c r="L55" s="180" t="n">
        <v>396</v>
      </c>
      <c r="M55" s="180" t="n">
        <v>288</v>
      </c>
      <c r="N55" s="180" t="n">
        <v>460</v>
      </c>
      <c r="O55" s="180" t="n">
        <v>2609</v>
      </c>
      <c r="P55" s="180" t="n">
        <v>0</v>
      </c>
      <c r="Q55" s="180" t="n">
        <v>0</v>
      </c>
      <c r="R55" s="180" t="n">
        <v>0</v>
      </c>
      <c r="S55" s="180" t="n">
        <v>0</v>
      </c>
      <c r="T55" s="180" t="n">
        <v>468</v>
      </c>
      <c r="U55" s="180" t="n">
        <v>504</v>
      </c>
      <c r="V55" s="180" t="n">
        <v>0</v>
      </c>
      <c r="W55" s="180" t="n">
        <v>387</v>
      </c>
      <c r="X55" s="180" t="n">
        <v>567</v>
      </c>
      <c r="Y55" s="55" t="n">
        <v>469230</v>
      </c>
      <c r="Z55" s="56">
        <f>SUM(B55:E55)</f>
        <v/>
      </c>
    </row>
    <row r="56">
      <c r="A56" s="179" t="n">
        <v>45323</v>
      </c>
      <c r="B56" s="56" t="n">
        <v>2376</v>
      </c>
      <c r="C56" s="56" t="n">
        <v>13068</v>
      </c>
      <c r="D56" s="56" t="n">
        <v>5216</v>
      </c>
      <c r="E56" s="56" t="n">
        <v>10514</v>
      </c>
      <c r="F56" s="56" t="n">
        <v>2808</v>
      </c>
      <c r="G56" s="56" t="n">
        <v>2678</v>
      </c>
      <c r="H56" s="56" t="n">
        <v>1271</v>
      </c>
      <c r="I56" s="56" t="n">
        <v>1333</v>
      </c>
      <c r="J56" s="56" t="n">
        <v>761</v>
      </c>
      <c r="K56" s="56" t="n">
        <v>713</v>
      </c>
      <c r="L56" s="56" t="n">
        <v>684</v>
      </c>
      <c r="M56" s="56" t="n">
        <v>522</v>
      </c>
      <c r="N56" s="56" t="n">
        <v>0</v>
      </c>
      <c r="O56" s="56" t="n">
        <v>3227</v>
      </c>
      <c r="P56" s="56" t="n"/>
      <c r="Q56" s="56" t="n"/>
      <c r="R56" s="56" t="n"/>
      <c r="S56" s="56" t="n"/>
      <c r="T56" s="9" t="n">
        <v>540</v>
      </c>
      <c r="U56" s="9" t="n">
        <v>612</v>
      </c>
      <c r="V56" s="9" t="n">
        <v>0</v>
      </c>
      <c r="W56" s="9" t="n">
        <v>387</v>
      </c>
      <c r="X56" s="9" t="n">
        <v>414</v>
      </c>
      <c r="Y56" s="55" t="n">
        <v>674956</v>
      </c>
      <c r="Z56" s="56">
        <f>SUM(B56:E56)</f>
        <v/>
      </c>
    </row>
    <row r="57">
      <c r="A57" s="179" t="n">
        <v>45352</v>
      </c>
      <c r="B57" s="56" t="n">
        <v>8748</v>
      </c>
      <c r="C57" s="56" t="n">
        <v>8964</v>
      </c>
      <c r="D57" s="56" t="n">
        <v>5751</v>
      </c>
      <c r="E57" s="56" t="n">
        <v>875</v>
      </c>
      <c r="F57" s="56" t="n">
        <v>3758</v>
      </c>
      <c r="G57" s="56" t="n">
        <v>3067</v>
      </c>
      <c r="H57" s="56" t="n">
        <v>1046</v>
      </c>
      <c r="I57" s="56" t="n">
        <v>1107</v>
      </c>
      <c r="J57" s="56" t="n">
        <v>1069</v>
      </c>
      <c r="K57" s="56" t="n">
        <v>972</v>
      </c>
      <c r="L57" s="56" t="n">
        <v>702</v>
      </c>
      <c r="M57" s="56" t="n">
        <v>522</v>
      </c>
      <c r="N57" s="56" t="n">
        <v>944</v>
      </c>
      <c r="O57" s="56" t="n">
        <v>0</v>
      </c>
      <c r="P57" s="56" t="n"/>
      <c r="Q57" s="56" t="n"/>
      <c r="R57" s="56" t="n"/>
      <c r="S57" s="56" t="n"/>
      <c r="T57" s="9" t="n">
        <v>504</v>
      </c>
      <c r="U57" s="9" t="n">
        <v>576</v>
      </c>
      <c r="V57" s="9" t="n">
        <v>0</v>
      </c>
      <c r="W57" s="9" t="n">
        <v>396</v>
      </c>
      <c r="X57" s="9" t="n">
        <v>423</v>
      </c>
      <c r="Y57" s="9" t="n">
        <v>727210</v>
      </c>
      <c r="Z57" s="56">
        <f>SUM(B57:E57)</f>
        <v/>
      </c>
    </row>
    <row r="58">
      <c r="A58" s="179" t="n">
        <v>45383</v>
      </c>
      <c r="B58" s="56" t="n">
        <v>8316</v>
      </c>
      <c r="C58" s="56" t="n">
        <v>8640</v>
      </c>
      <c r="D58" s="56" t="n">
        <v>5735</v>
      </c>
      <c r="E58" s="56" t="n">
        <v>5994</v>
      </c>
      <c r="F58" s="56" t="n">
        <v>3413</v>
      </c>
      <c r="G58" s="56" t="n">
        <v>3197</v>
      </c>
      <c r="H58" s="56" t="n">
        <v>1128</v>
      </c>
      <c r="I58" s="56" t="n">
        <v>1230</v>
      </c>
      <c r="J58" s="56" t="n">
        <v>1150</v>
      </c>
      <c r="K58" s="56" t="n">
        <v>1053</v>
      </c>
      <c r="L58" s="56" t="n">
        <v>540</v>
      </c>
      <c r="M58" s="56" t="n">
        <v>774</v>
      </c>
      <c r="N58" s="56" t="n">
        <v>1841</v>
      </c>
      <c r="O58" s="56" t="n">
        <v>1730</v>
      </c>
      <c r="Q58" s="56" t="n"/>
      <c r="R58" s="56" t="n"/>
      <c r="S58" s="56" t="n"/>
      <c r="T58" s="9" t="n">
        <v>540</v>
      </c>
      <c r="U58" s="9" t="n">
        <v>576</v>
      </c>
      <c r="V58" s="9" t="n">
        <v>0</v>
      </c>
      <c r="W58" s="9" t="n">
        <v>468</v>
      </c>
      <c r="X58" s="9" t="n">
        <v>495</v>
      </c>
      <c r="Y58" s="9" t="n">
        <v>782602</v>
      </c>
      <c r="Z58" s="56">
        <f>SUM(B58:E58)</f>
        <v/>
      </c>
    </row>
    <row r="59">
      <c r="A59" s="179" t="n">
        <v>45413</v>
      </c>
      <c r="B59" s="56" t="n">
        <v>7992</v>
      </c>
      <c r="C59" s="56" t="n">
        <v>7992</v>
      </c>
      <c r="D59" s="56" t="n">
        <v>5346</v>
      </c>
      <c r="E59" s="56" t="n">
        <v>5330</v>
      </c>
      <c r="F59" s="56" t="n">
        <v>3326</v>
      </c>
      <c r="G59" s="56" t="n">
        <v>3110</v>
      </c>
      <c r="H59" s="56" t="n">
        <v>1230</v>
      </c>
      <c r="I59" s="56" t="n">
        <v>1312</v>
      </c>
      <c r="J59" s="56" t="n">
        <v>1053</v>
      </c>
      <c r="K59" s="56" t="n">
        <v>972</v>
      </c>
      <c r="L59" s="56" t="n">
        <v>486</v>
      </c>
      <c r="M59" s="56" t="n">
        <v>378</v>
      </c>
      <c r="N59" s="56" t="n">
        <v>1748</v>
      </c>
      <c r="O59" s="56" t="n">
        <v>0</v>
      </c>
      <c r="Q59" s="56" t="n"/>
      <c r="R59" s="56" t="n"/>
      <c r="S59" s="56" t="n"/>
      <c r="T59" s="9" t="n">
        <v>468</v>
      </c>
      <c r="U59" s="9" t="n">
        <v>612</v>
      </c>
      <c r="V59" s="9" t="n">
        <v>0</v>
      </c>
      <c r="W59" s="9" t="n">
        <v>594</v>
      </c>
      <c r="X59" s="9" t="n">
        <v>666</v>
      </c>
      <c r="Y59" s="9" t="n">
        <v>889955</v>
      </c>
      <c r="Z59" s="56">
        <f>SUM(B59:E59)</f>
        <v/>
      </c>
    </row>
    <row r="60">
      <c r="A60" s="179" t="n">
        <v>45444</v>
      </c>
      <c r="B60" s="56" t="n">
        <v>6912</v>
      </c>
      <c r="C60" s="56" t="n">
        <v>6912</v>
      </c>
      <c r="D60" s="56" t="n">
        <v>5508</v>
      </c>
      <c r="E60" s="56" t="n">
        <v>5508</v>
      </c>
      <c r="F60" s="56" t="n">
        <v>2246</v>
      </c>
      <c r="G60" s="56" t="n">
        <v>2074</v>
      </c>
      <c r="H60" s="56" t="n">
        <v>1230</v>
      </c>
      <c r="I60" s="56" t="n">
        <v>1333</v>
      </c>
      <c r="J60" s="56" t="n">
        <v>486</v>
      </c>
      <c r="K60" s="56" t="n">
        <v>470</v>
      </c>
      <c r="L60" s="56" t="n">
        <v>108</v>
      </c>
      <c r="M60" s="56" t="n">
        <v>108</v>
      </c>
      <c r="N60" s="56" t="n">
        <v>1432</v>
      </c>
      <c r="O60" s="56" t="n">
        <v>307</v>
      </c>
      <c r="Q60" s="56" t="n"/>
      <c r="R60" s="56" t="n"/>
      <c r="S60" s="56" t="n"/>
      <c r="T60" s="9" t="n">
        <v>360</v>
      </c>
      <c r="U60" s="9" t="n">
        <v>396</v>
      </c>
      <c r="V60" s="9" t="n">
        <v>0</v>
      </c>
      <c r="W60" s="9" t="n">
        <v>549</v>
      </c>
      <c r="X60" s="9" t="n">
        <v>612</v>
      </c>
      <c r="Y60" s="9" t="n">
        <v>1094278</v>
      </c>
      <c r="Z60" s="56">
        <f>SUM(B60:E60)</f>
        <v/>
      </c>
    </row>
    <row r="61" ht="34" customHeight="1">
      <c r="A61" s="18" t="inlineStr">
        <is>
          <t>Total (by meter)</t>
        </is>
      </c>
      <c r="B61" s="56">
        <f>SUM(B49:B60)</f>
        <v/>
      </c>
      <c r="C61" s="56">
        <f>SUM(C49:C60)</f>
        <v/>
      </c>
      <c r="D61" s="56">
        <f>SUM(D49:D60)</f>
        <v/>
      </c>
      <c r="E61" s="56">
        <f>SUM(E49:E60)</f>
        <v/>
      </c>
      <c r="F61" s="56">
        <f>SUM(F49:F60)</f>
        <v/>
      </c>
      <c r="G61" s="56">
        <f>SUM(G49:G60)</f>
        <v/>
      </c>
      <c r="H61" s="56">
        <f>SUM(H49:H60)</f>
        <v/>
      </c>
      <c r="I61" s="56">
        <f>SUM(I49:I60)</f>
        <v/>
      </c>
      <c r="J61" s="56">
        <f>SUM(J49:J60)</f>
        <v/>
      </c>
      <c r="K61" s="56">
        <f>SUM(K49:K60)</f>
        <v/>
      </c>
      <c r="L61" s="56">
        <f>SUM(L49:L60)</f>
        <v/>
      </c>
      <c r="M61" s="56">
        <f>SUM(M49:M60)</f>
        <v/>
      </c>
      <c r="N61" s="56">
        <f>SUM(N49:N60)</f>
        <v/>
      </c>
      <c r="O61" s="56">
        <f>SUM(O49:O60)</f>
        <v/>
      </c>
      <c r="P61" s="56">
        <f>SUM(P49:P60)</f>
        <v/>
      </c>
      <c r="Q61" s="56">
        <f>SUM(Q49:Q60)</f>
        <v/>
      </c>
      <c r="R61" s="56">
        <f>SUM(R49:R60)</f>
        <v/>
      </c>
      <c r="S61" s="56">
        <f>SUM(S49:S60)</f>
        <v/>
      </c>
      <c r="T61" s="56">
        <f>SUM(T49:T60)</f>
        <v/>
      </c>
      <c r="U61" s="56">
        <f>SUM(U49:U60)</f>
        <v/>
      </c>
      <c r="V61" s="56">
        <f>SUM(V49:V60)</f>
        <v/>
      </c>
      <c r="W61" s="56">
        <f>SUM(W49:W60)</f>
        <v/>
      </c>
      <c r="X61" s="56">
        <f>SUM(X49:X60)</f>
        <v/>
      </c>
      <c r="Y61" s="56">
        <f>SUM(Y49:Y60)</f>
        <v/>
      </c>
      <c r="Z61" s="56">
        <f>SUM(Z49:Z60)</f>
        <v/>
      </c>
    </row>
    <row r="62" ht="34" customHeight="1">
      <c r="A62" s="18" t="inlineStr">
        <is>
          <t>Total (by serving area)</t>
        </is>
      </c>
      <c r="B62" s="672">
        <f>SUM(B49:C60)</f>
        <v/>
      </c>
      <c r="D62" s="672">
        <f>SUM(D49:E60)</f>
        <v/>
      </c>
      <c r="F62" s="672">
        <f>SUM(F55:G60)</f>
        <v/>
      </c>
      <c r="H62" s="672">
        <f>SUM(H55:I60)</f>
        <v/>
      </c>
      <c r="J62" s="672">
        <f>SUM(J55:K60)</f>
        <v/>
      </c>
      <c r="L62" s="672">
        <f>SUM(L55:M60)</f>
        <v/>
      </c>
      <c r="N62" s="672">
        <f>SUM(N55:O60)</f>
        <v/>
      </c>
      <c r="P62" s="672">
        <f>SUM(P55:Q60)</f>
        <v/>
      </c>
      <c r="R62" s="672">
        <f>SUM(R55:S60)</f>
        <v/>
      </c>
      <c r="T62" s="672">
        <f>SUM(T55:V60)</f>
        <v/>
      </c>
      <c r="W62" s="672">
        <f>SUM(W55:X60)</f>
        <v/>
      </c>
      <c r="Y62" s="56">
        <f>SUM(Y55:Y60)</f>
        <v/>
      </c>
      <c r="Z62" s="56" t="n"/>
    </row>
    <row r="63"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 ht="17" customHeight="1">
      <c r="A64" s="18" t="inlineStr">
        <is>
          <t>Annual Total</t>
        </is>
      </c>
      <c r="B64" s="178">
        <f>SUM(B61:E61)</f>
        <v/>
      </c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Z64" s="56" t="n"/>
    </row>
    <row r="65">
      <c r="F65" s="56" t="n"/>
      <c r="Y65" s="81" t="inlineStr">
        <is>
          <t>Note for cooling - The seawater "consumed" for our cooling system means that the offshore cold seawater is drawn into the HKUST Seawater Pump House to absorb the unwanted heat from the closed-loop condensing water circuit. Before discharging the hot seawater back to sea, part of the hot seawater detours to fill the seawater flushing tank.</t>
        </is>
      </c>
    </row>
    <row r="67" ht="17" customHeight="1">
      <c r="A67" s="181" t="inlineStr">
        <is>
          <t>2024-25</t>
        </is>
      </c>
    </row>
    <row r="68" ht="17" customHeight="1">
      <c r="A68" s="18" t="inlineStr">
        <is>
          <t>Item</t>
        </is>
      </c>
      <c r="B68" s="55" t="n">
        <v>1</v>
      </c>
      <c r="C68" s="55" t="n">
        <v>2</v>
      </c>
      <c r="D68" s="55" t="n">
        <v>3</v>
      </c>
      <c r="E68" s="55" t="n">
        <v>4</v>
      </c>
      <c r="F68" s="55" t="n">
        <v>5</v>
      </c>
      <c r="G68" s="55" t="n">
        <v>6</v>
      </c>
      <c r="H68" s="55" t="n">
        <v>7</v>
      </c>
      <c r="I68" s="55" t="n">
        <v>8</v>
      </c>
      <c r="J68" s="55" t="n">
        <v>9</v>
      </c>
      <c r="K68" s="55" t="n">
        <v>10</v>
      </c>
      <c r="L68" s="55" t="n">
        <v>11</v>
      </c>
      <c r="M68" s="55" t="n">
        <v>12</v>
      </c>
      <c r="N68" s="55" t="n">
        <v>13</v>
      </c>
      <c r="O68" s="55" t="n">
        <v>14</v>
      </c>
      <c r="P68" s="55" t="n">
        <v>15</v>
      </c>
      <c r="Q68" s="55" t="n">
        <v>16</v>
      </c>
      <c r="R68" s="55" t="n">
        <v>17</v>
      </c>
      <c r="S68" s="55" t="n">
        <v>18</v>
      </c>
      <c r="T68" s="55" t="n">
        <v>19</v>
      </c>
      <c r="U68" s="55" t="n">
        <v>20</v>
      </c>
      <c r="V68" s="55" t="n">
        <v>21</v>
      </c>
      <c r="W68" s="55" t="n">
        <v>22</v>
      </c>
      <c r="X68" s="55" t="n">
        <v>23</v>
      </c>
      <c r="Y68" s="55" t="n">
        <v>24</v>
      </c>
    </row>
    <row r="69" ht="34" customHeight="1">
      <c r="A69" s="18" t="inlineStr">
        <is>
          <t>Pump No.</t>
        </is>
      </c>
      <c r="B69" s="671" t="inlineStr">
        <is>
          <t>SWPH-P/P-25</t>
        </is>
      </c>
      <c r="C69" s="671" t="inlineStr">
        <is>
          <t>SWPH-P/P-26</t>
        </is>
      </c>
      <c r="D69" s="671" t="inlineStr">
        <is>
          <t>SWPH-P/P-27</t>
        </is>
      </c>
      <c r="E69" s="671" t="inlineStr">
        <is>
          <t>SWPH-P/P-28</t>
        </is>
      </c>
      <c r="F69" s="671" t="inlineStr">
        <is>
          <t>AB-FTP-1</t>
        </is>
      </c>
      <c r="G69" s="671" t="inlineStr">
        <is>
          <t>AB-FTP-2</t>
        </is>
      </c>
      <c r="H69" s="671" t="inlineStr">
        <is>
          <t>AB-FWTP-1</t>
        </is>
      </c>
      <c r="I69" s="671" t="inlineStr">
        <is>
          <t>AB-FWTP-2</t>
        </is>
      </c>
      <c r="J69" s="671" t="inlineStr">
        <is>
          <t>AB-FWTP-3</t>
        </is>
      </c>
      <c r="K69" s="671" t="inlineStr">
        <is>
          <t>AB-FWTP-4</t>
        </is>
      </c>
      <c r="L69" s="671" t="inlineStr">
        <is>
          <t>UG7-FTP-1</t>
        </is>
      </c>
      <c r="M69" s="671" t="inlineStr">
        <is>
          <t>UG7-FTP-2</t>
        </is>
      </c>
      <c r="N69" s="671" t="inlineStr">
        <is>
          <t>AB-FWTP-7</t>
        </is>
      </c>
      <c r="O69" s="671" t="inlineStr">
        <is>
          <t>AB-FWTP-8</t>
        </is>
      </c>
      <c r="P69" s="671" t="inlineStr">
        <is>
          <t>PG/UG1-FTP-1</t>
        </is>
      </c>
      <c r="Q69" s="671" t="inlineStr">
        <is>
          <t>PG/UG1-FTP-2</t>
        </is>
      </c>
      <c r="R69" s="671" t="inlineStr">
        <is>
          <t>PG2-FTP-1</t>
        </is>
      </c>
      <c r="S69" s="671" t="inlineStr">
        <is>
          <t>PG2-FTP-2</t>
        </is>
      </c>
      <c r="T69" s="671" t="inlineStr">
        <is>
          <t>LSK-FTP-1</t>
        </is>
      </c>
      <c r="U69" s="671" t="inlineStr">
        <is>
          <t>LSK-FTP-2</t>
        </is>
      </c>
      <c r="V69" s="671" t="inlineStr">
        <is>
          <t>LSK-FTJP-3</t>
        </is>
      </c>
      <c r="W69" s="671" t="inlineStr">
        <is>
          <t>RAB-FWTP-1</t>
        </is>
      </c>
      <c r="X69" s="671" t="inlineStr">
        <is>
          <t>RAB-FWTP-2</t>
        </is>
      </c>
      <c r="Y69" s="671" t="inlineStr">
        <is>
          <t>Cooling System</t>
        </is>
      </c>
      <c r="Z69" s="18" t="n"/>
    </row>
    <row r="70" ht="34" customHeight="1">
      <c r="A70" s="18" t="inlineStr">
        <is>
          <t>Serving Area</t>
        </is>
      </c>
      <c r="B70" s="671" t="inlineStr">
        <is>
          <t>Acad. Bldg, Staff Qtr, GRUC</t>
        </is>
      </c>
      <c r="D70" s="671" t="inlineStr">
        <is>
          <t>Student Housing, CML, Seafront Complex</t>
        </is>
      </c>
      <c r="F70" s="671" t="inlineStr">
        <is>
          <t>Academic Building</t>
        </is>
      </c>
      <c r="H70" s="671" t="inlineStr">
        <is>
          <t>SSQ T1-T7</t>
        </is>
      </c>
      <c r="J70" s="671" t="inlineStr">
        <is>
          <t>JSQ, Ph-2 SSQ</t>
        </is>
      </c>
      <c r="L70" s="671" t="inlineStr">
        <is>
          <t>UG7</t>
        </is>
      </c>
      <c r="N70" s="671" t="inlineStr">
        <is>
          <t>GRUC, SSQ  T8-T19, LSK, RAB</t>
        </is>
      </c>
      <c r="P70" s="671" t="inlineStr">
        <is>
          <t>PG1/UG1 (Suspended)</t>
        </is>
      </c>
      <c r="R70" s="671" t="inlineStr">
        <is>
          <t>PG2 (Suspended)</t>
        </is>
      </c>
      <c r="T70" s="671" t="inlineStr">
        <is>
          <t>LSK transfer pump room</t>
        </is>
      </c>
      <c r="W70" s="671" t="inlineStr">
        <is>
          <t>RAB G/F pump room</t>
        </is>
      </c>
      <c r="Y70" s="671" t="inlineStr">
        <is>
          <t>Cooling System</t>
        </is>
      </c>
      <c r="Z70" s="18" t="inlineStr">
        <is>
          <t>Total (by month)</t>
        </is>
      </c>
    </row>
    <row r="71">
      <c r="A71" s="179" t="n">
        <v>45474</v>
      </c>
      <c r="B71" s="56" t="n">
        <v>5508</v>
      </c>
      <c r="C71" s="56" t="n">
        <v>7992</v>
      </c>
      <c r="D71" s="56" t="n">
        <v>4747</v>
      </c>
      <c r="E71" s="56" t="n">
        <v>6561</v>
      </c>
      <c r="F71" s="56" t="n">
        <v>2678</v>
      </c>
      <c r="G71" s="56" t="n">
        <v>2419</v>
      </c>
      <c r="H71" s="56" t="n">
        <v>1353</v>
      </c>
      <c r="I71" s="56" t="n">
        <v>1476</v>
      </c>
      <c r="J71" s="56" t="n">
        <v>535</v>
      </c>
      <c r="K71" s="56" t="n">
        <v>518</v>
      </c>
      <c r="L71" s="56" t="n">
        <v>198</v>
      </c>
      <c r="M71" s="56" t="n">
        <v>144</v>
      </c>
      <c r="N71" s="56" t="n">
        <v>1256</v>
      </c>
      <c r="O71" s="56" t="n">
        <v>1232</v>
      </c>
      <c r="P71" s="56" t="n"/>
      <c r="Q71" s="56" t="n"/>
      <c r="R71" s="56" t="n"/>
      <c r="S71" s="56" t="n"/>
      <c r="T71" s="9" t="n">
        <v>360</v>
      </c>
      <c r="U71" s="9" t="n">
        <v>468</v>
      </c>
      <c r="V71" s="9" t="n"/>
      <c r="W71" s="9" t="n">
        <v>612</v>
      </c>
      <c r="X71" s="9" t="n">
        <v>693</v>
      </c>
      <c r="Y71" s="9" t="n"/>
      <c r="Z71" s="56">
        <f>SUM(B71:E71)</f>
        <v/>
      </c>
    </row>
    <row r="72">
      <c r="A72" s="179" t="n">
        <v>45505</v>
      </c>
      <c r="B72" s="362" t="n">
        <v>6912</v>
      </c>
      <c r="C72" s="362" t="n">
        <v>7236</v>
      </c>
      <c r="D72" s="362" t="n">
        <v>5702</v>
      </c>
      <c r="E72" s="362" t="n">
        <v>5783</v>
      </c>
      <c r="F72" s="362" t="n">
        <v>2333</v>
      </c>
      <c r="G72" s="362" t="n">
        <v>2203</v>
      </c>
      <c r="H72" s="362" t="n">
        <v>1210</v>
      </c>
      <c r="I72" s="362" t="n">
        <v>1312</v>
      </c>
      <c r="J72" s="362" t="n">
        <v>567</v>
      </c>
      <c r="K72" s="362" t="n">
        <v>551</v>
      </c>
      <c r="L72" s="362" t="n">
        <v>234</v>
      </c>
      <c r="M72" s="362" t="n">
        <v>162</v>
      </c>
      <c r="N72" s="362" t="n">
        <v>1144</v>
      </c>
      <c r="O72" s="362" t="n">
        <v>1121</v>
      </c>
      <c r="P72" s="363" t="n"/>
      <c r="Q72" s="363" t="n"/>
      <c r="R72" s="363" t="n"/>
      <c r="S72" s="363" t="n"/>
      <c r="T72" s="362" t="n">
        <v>396</v>
      </c>
      <c r="U72" s="362" t="n">
        <v>1044</v>
      </c>
      <c r="V72" s="362" t="n">
        <v>0</v>
      </c>
      <c r="W72" s="362" t="n">
        <v>585</v>
      </c>
      <c r="X72" s="362" t="n">
        <v>666</v>
      </c>
      <c r="Y72" s="9" t="n"/>
      <c r="Z72" s="56">
        <f>SUM(B72:E72)</f>
        <v/>
      </c>
    </row>
    <row r="73">
      <c r="A73" s="179" t="n">
        <v>45536</v>
      </c>
      <c r="B73" s="362" t="n">
        <v>8100</v>
      </c>
      <c r="C73" s="362" t="n">
        <v>8208</v>
      </c>
      <c r="D73" s="362" t="n">
        <v>5524</v>
      </c>
      <c r="E73" s="362" t="n">
        <v>5524</v>
      </c>
      <c r="F73" s="362" t="n">
        <v>3283</v>
      </c>
      <c r="G73" s="362" t="n">
        <v>3067</v>
      </c>
      <c r="H73" s="362" t="n">
        <v>1230</v>
      </c>
      <c r="I73" s="362" t="n">
        <v>1394</v>
      </c>
      <c r="J73" s="362" t="n">
        <v>632</v>
      </c>
      <c r="K73" s="362" t="n">
        <v>632</v>
      </c>
      <c r="L73" s="362" t="n">
        <v>378</v>
      </c>
      <c r="M73" s="362" t="n">
        <v>288</v>
      </c>
      <c r="N73" s="362" t="n">
        <v>958</v>
      </c>
      <c r="O73" s="362" t="n">
        <v>842</v>
      </c>
      <c r="P73" s="363" t="n"/>
      <c r="Q73" s="363" t="n"/>
      <c r="R73" s="363" t="n"/>
      <c r="S73" s="363" t="n"/>
      <c r="T73" s="362" t="n">
        <v>540</v>
      </c>
      <c r="U73" s="362" t="n">
        <v>684</v>
      </c>
      <c r="V73" s="362" t="n">
        <v>0</v>
      </c>
      <c r="W73" s="362" t="n">
        <v>666</v>
      </c>
      <c r="X73" s="362" t="n">
        <v>756</v>
      </c>
      <c r="Y73" s="9" t="n"/>
      <c r="Z73" s="56">
        <f>SUM(B73:E73)</f>
        <v/>
      </c>
    </row>
    <row r="74">
      <c r="A74" s="179" t="n">
        <v>45566</v>
      </c>
      <c r="B74" s="362" t="n">
        <v>9504</v>
      </c>
      <c r="C74" s="362" t="n">
        <v>9612</v>
      </c>
      <c r="D74" s="362" t="n">
        <v>5670</v>
      </c>
      <c r="E74" s="362" t="n">
        <v>5670</v>
      </c>
      <c r="F74" s="362" t="n">
        <v>3802</v>
      </c>
      <c r="G74" s="362" t="n">
        <v>3542</v>
      </c>
      <c r="H74" s="362" t="n">
        <v>1107</v>
      </c>
      <c r="I74" s="362" t="n">
        <v>1251</v>
      </c>
      <c r="J74" s="362" t="n">
        <v>599</v>
      </c>
      <c r="K74" s="362" t="n">
        <v>599</v>
      </c>
      <c r="L74" s="362" t="n">
        <v>342</v>
      </c>
      <c r="M74" s="362" t="n">
        <v>270</v>
      </c>
      <c r="N74" s="362" t="n">
        <v>1232</v>
      </c>
      <c r="O74" s="362" t="n">
        <v>1149</v>
      </c>
      <c r="P74" s="363" t="n"/>
      <c r="Q74" s="363" t="n"/>
      <c r="R74" s="363" t="n"/>
      <c r="S74" s="363" t="n"/>
      <c r="T74" s="362" t="n">
        <v>612</v>
      </c>
      <c r="U74" s="362" t="n">
        <v>432</v>
      </c>
      <c r="V74" s="362" t="n">
        <v>0</v>
      </c>
      <c r="W74" s="362" t="n">
        <v>720</v>
      </c>
      <c r="X74" s="362" t="n">
        <v>828</v>
      </c>
      <c r="Y74" s="9" t="n"/>
      <c r="Z74" s="56">
        <f>SUM(B74:E74)</f>
        <v/>
      </c>
    </row>
    <row r="75">
      <c r="A75" s="179" t="n">
        <v>45597</v>
      </c>
      <c r="B75" s="362" t="n">
        <v>9504</v>
      </c>
      <c r="C75" s="362" t="n">
        <v>9936</v>
      </c>
      <c r="D75" s="362" t="n">
        <v>5443</v>
      </c>
      <c r="E75" s="362" t="n">
        <v>5557</v>
      </c>
      <c r="F75" s="362" t="n">
        <v>3802</v>
      </c>
      <c r="G75" s="362" t="n">
        <v>3542</v>
      </c>
      <c r="H75" s="362" t="n">
        <v>1107</v>
      </c>
      <c r="I75" s="362" t="n">
        <v>1271</v>
      </c>
      <c r="J75" s="362" t="n">
        <v>583</v>
      </c>
      <c r="K75" s="362" t="n">
        <v>599</v>
      </c>
      <c r="L75" s="362" t="n">
        <v>414</v>
      </c>
      <c r="M75" s="362" t="n">
        <v>270</v>
      </c>
      <c r="N75" s="362" t="n">
        <v>1149</v>
      </c>
      <c r="O75" s="362" t="n">
        <v>1125</v>
      </c>
      <c r="P75" s="363" t="n"/>
      <c r="Q75" s="363" t="n"/>
      <c r="R75" s="363" t="n"/>
      <c r="S75" s="363" t="n"/>
      <c r="T75" s="362" t="n">
        <v>612</v>
      </c>
      <c r="U75" s="362" t="n">
        <v>936</v>
      </c>
      <c r="V75" s="362" t="n">
        <v>0</v>
      </c>
      <c r="W75" s="362" t="n">
        <v>513</v>
      </c>
      <c r="X75" s="362" t="n">
        <v>576</v>
      </c>
      <c r="Y75" s="9" t="n"/>
      <c r="Z75" s="56">
        <f>SUM(B75:E75)</f>
        <v/>
      </c>
    </row>
    <row r="76">
      <c r="A76" s="179" t="n">
        <v>45627</v>
      </c>
      <c r="B76" s="362" t="n">
        <v>7668</v>
      </c>
      <c r="C76" s="362" t="n">
        <v>7776</v>
      </c>
      <c r="D76" s="362" t="n">
        <v>5751</v>
      </c>
      <c r="E76" s="362" t="n">
        <v>5767</v>
      </c>
      <c r="F76" s="362" t="n">
        <v>3370</v>
      </c>
      <c r="G76" s="362" t="n">
        <v>3110</v>
      </c>
      <c r="H76" s="362" t="n">
        <v>1128</v>
      </c>
      <c r="I76" s="362" t="n">
        <v>1251</v>
      </c>
      <c r="J76" s="362" t="n">
        <v>518</v>
      </c>
      <c r="K76" s="362" t="n">
        <v>2219</v>
      </c>
      <c r="L76" s="362" t="n">
        <v>306</v>
      </c>
      <c r="M76" s="362" t="n">
        <v>234</v>
      </c>
      <c r="N76" s="362" t="n">
        <v>1455</v>
      </c>
      <c r="O76" s="362" t="n">
        <v>1428</v>
      </c>
      <c r="P76" s="363" t="n"/>
      <c r="Q76" s="363" t="n"/>
      <c r="R76" s="363" t="n"/>
      <c r="S76" s="363" t="n"/>
      <c r="T76" s="362" t="n">
        <v>0</v>
      </c>
      <c r="U76" s="362" t="n">
        <v>0</v>
      </c>
      <c r="V76" s="362" t="n">
        <v>0</v>
      </c>
      <c r="W76" s="362" t="n">
        <v>549</v>
      </c>
      <c r="X76" s="362" t="n">
        <v>621</v>
      </c>
      <c r="Y76" s="9" t="n"/>
      <c r="Z76" s="56">
        <f>SUM(B76:E76)</f>
        <v/>
      </c>
    </row>
    <row r="77">
      <c r="A77" s="179" t="n">
        <v>45658</v>
      </c>
      <c r="B77" s="362" t="n">
        <v>7236</v>
      </c>
      <c r="C77" s="362" t="n">
        <v>9180</v>
      </c>
      <c r="D77" s="362" t="n">
        <v>5735</v>
      </c>
      <c r="E77" s="362" t="n">
        <v>5702</v>
      </c>
      <c r="F77" s="362" t="n">
        <v>2808</v>
      </c>
      <c r="G77" s="362" t="n">
        <v>2678</v>
      </c>
      <c r="H77" s="362" t="n">
        <v>1025</v>
      </c>
      <c r="I77" s="362" t="n">
        <v>1107</v>
      </c>
      <c r="J77" s="362" t="n">
        <v>7954</v>
      </c>
      <c r="K77" s="362" t="n">
        <v>1944</v>
      </c>
      <c r="L77" s="362" t="n">
        <v>162</v>
      </c>
      <c r="M77" s="362" t="n">
        <v>108</v>
      </c>
      <c r="N77" s="362" t="n">
        <v>1056</v>
      </c>
      <c r="O77" s="362" t="n">
        <v>1018</v>
      </c>
      <c r="P77" s="363" t="n"/>
      <c r="Q77" s="363" t="n"/>
      <c r="R77" s="363" t="n"/>
      <c r="S77" s="363" t="n"/>
      <c r="T77" s="362" t="n">
        <v>900</v>
      </c>
      <c r="U77" s="362" t="n">
        <v>1080</v>
      </c>
      <c r="V77" s="362" t="n">
        <v>0</v>
      </c>
      <c r="W77" s="362" t="n">
        <v>495</v>
      </c>
      <c r="X77" s="362" t="n">
        <v>576</v>
      </c>
      <c r="Z77" s="56">
        <f>SUM(B77:E77)</f>
        <v/>
      </c>
    </row>
    <row r="78">
      <c r="A78" s="179" t="n">
        <v>45689</v>
      </c>
      <c r="B78" s="56" t="n">
        <v>8964</v>
      </c>
      <c r="C78" s="56" t="n">
        <v>8964</v>
      </c>
      <c r="D78" s="56" t="n">
        <v>5119</v>
      </c>
      <c r="E78" s="56" t="n">
        <v>5135</v>
      </c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9" t="n"/>
      <c r="U78" s="9" t="n"/>
      <c r="V78" s="9" t="n"/>
      <c r="W78" s="9" t="n"/>
      <c r="X78" s="9" t="n"/>
      <c r="Z78" s="56">
        <f>SUM(B78:E78)</f>
        <v/>
      </c>
    </row>
    <row r="79">
      <c r="A79" s="179" t="n">
        <v>45717</v>
      </c>
      <c r="B79" s="56" t="n">
        <v>10368</v>
      </c>
      <c r="C79" s="56" t="n">
        <v>10152</v>
      </c>
      <c r="D79" s="56" t="n">
        <v>5686</v>
      </c>
      <c r="E79" s="56" t="n">
        <v>5686</v>
      </c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9" t="n"/>
      <c r="U79" s="9" t="n"/>
      <c r="V79" s="9" t="n"/>
      <c r="W79" s="9" t="n"/>
      <c r="X79" s="9" t="n"/>
      <c r="Y79" s="9" t="n"/>
      <c r="Z79" s="56">
        <f>SUM(B79:E79)</f>
        <v/>
      </c>
    </row>
    <row r="80">
      <c r="A80" s="179" t="n">
        <v>45748</v>
      </c>
      <c r="B80" s="56" t="n">
        <v>9720</v>
      </c>
      <c r="C80" s="56" t="n">
        <v>8612</v>
      </c>
      <c r="D80" s="56" t="n">
        <v>5492</v>
      </c>
      <c r="E80" s="56" t="n">
        <v>5476</v>
      </c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9" t="n"/>
      <c r="U80" s="9" t="n"/>
      <c r="V80" s="9" t="n"/>
      <c r="W80" s="9" t="n"/>
      <c r="X80" s="9" t="n"/>
      <c r="Y80" s="9" t="n"/>
      <c r="Z80" s="56">
        <f>SUM(B80:E80)</f>
        <v/>
      </c>
    </row>
    <row r="81">
      <c r="A81" s="179" t="n">
        <v>45778</v>
      </c>
      <c r="B81" s="56" t="n">
        <v>8640</v>
      </c>
      <c r="C81" s="56" t="n">
        <v>8640</v>
      </c>
      <c r="D81" s="56" t="n">
        <v>5573</v>
      </c>
      <c r="E81" s="56" t="n">
        <v>5621</v>
      </c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9" t="n"/>
      <c r="U81" s="9" t="n"/>
      <c r="V81" s="9" t="n"/>
      <c r="W81" s="9" t="n"/>
      <c r="X81" s="9" t="n"/>
      <c r="Y81" s="9" t="n"/>
      <c r="Z81" s="56">
        <f>SUM(B81:E81)</f>
        <v/>
      </c>
    </row>
    <row r="82">
      <c r="A82" s="179" t="n">
        <v>45809</v>
      </c>
      <c r="B82" s="56" t="n">
        <v>7344</v>
      </c>
      <c r="C82" s="56" t="n">
        <v>15984</v>
      </c>
      <c r="D82" s="56" t="n">
        <v>5119</v>
      </c>
      <c r="E82" s="56" t="n">
        <v>5152</v>
      </c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9" t="n"/>
      <c r="U82" s="9" t="n"/>
      <c r="V82" s="9" t="n"/>
      <c r="W82" s="9" t="n"/>
      <c r="X82" s="9" t="n"/>
      <c r="Y82" s="9" t="n"/>
      <c r="Z82" s="56">
        <f>SUM(B82:E82)</f>
        <v/>
      </c>
    </row>
    <row r="83" ht="34" customHeight="1">
      <c r="A83" s="18" t="inlineStr">
        <is>
          <t>Total (by meter)</t>
        </is>
      </c>
      <c r="B83" s="56">
        <f>SUM(B71:B82)</f>
        <v/>
      </c>
      <c r="C83" s="56">
        <f>SUM(C71:C82)</f>
        <v/>
      </c>
      <c r="D83" s="56">
        <f>SUM(D71:D82)</f>
        <v/>
      </c>
      <c r="E83" s="56">
        <f>SUM(E71:E82)</f>
        <v/>
      </c>
      <c r="F83" s="56">
        <f>SUM(F71:F82)</f>
        <v/>
      </c>
      <c r="G83" s="56">
        <f>SUM(G71:G82)</f>
        <v/>
      </c>
      <c r="H83" s="56">
        <f>SUM(H71:H82)</f>
        <v/>
      </c>
      <c r="I83" s="56">
        <f>SUM(I71:I82)</f>
        <v/>
      </c>
      <c r="J83" s="56">
        <f>SUM(J71:J82)</f>
        <v/>
      </c>
      <c r="K83" s="56">
        <f>SUM(K71:K82)</f>
        <v/>
      </c>
      <c r="L83" s="56">
        <f>SUM(L71:L82)</f>
        <v/>
      </c>
      <c r="M83" s="56">
        <f>SUM(M71:M82)</f>
        <v/>
      </c>
      <c r="N83" s="56">
        <f>SUM(N71:N82)</f>
        <v/>
      </c>
      <c r="O83" s="56">
        <f>SUM(O71:O82)</f>
        <v/>
      </c>
      <c r="P83" s="56">
        <f>SUM(P71:P82)</f>
        <v/>
      </c>
      <c r="Q83" s="56">
        <f>SUM(Q71:Q82)</f>
        <v/>
      </c>
      <c r="R83" s="56">
        <f>SUM(R71:R82)</f>
        <v/>
      </c>
      <c r="S83" s="56">
        <f>SUM(S71:S82)</f>
        <v/>
      </c>
      <c r="T83" s="56">
        <f>SUM(T71:T82)</f>
        <v/>
      </c>
      <c r="U83" s="56">
        <f>SUM(U71:U82)</f>
        <v/>
      </c>
      <c r="V83" s="56">
        <f>SUM(V71:V82)</f>
        <v/>
      </c>
      <c r="W83" s="56">
        <f>SUM(W71:W82)</f>
        <v/>
      </c>
      <c r="X83" s="56">
        <f>SUM(X71:X82)</f>
        <v/>
      </c>
      <c r="Y83" s="56">
        <f>SUM(Y71:Y82)</f>
        <v/>
      </c>
      <c r="Z83" s="56">
        <f>SUM(Z71:Z82)</f>
        <v/>
      </c>
    </row>
    <row r="84" ht="34" customHeight="1">
      <c r="A84" s="18" t="inlineStr">
        <is>
          <t>Total (by serving area)</t>
        </is>
      </c>
      <c r="B84" s="672">
        <f>SUM(B71:C82)</f>
        <v/>
      </c>
      <c r="D84" s="672">
        <f>SUM(D71:E82)</f>
        <v/>
      </c>
      <c r="F84" s="672">
        <f>SUM(F77:G82)</f>
        <v/>
      </c>
      <c r="H84" s="672">
        <f>SUM(H77:I82)</f>
        <v/>
      </c>
      <c r="J84" s="672">
        <f>SUM(J77:K82)</f>
        <v/>
      </c>
      <c r="L84" s="672">
        <f>SUM(L77:M82)</f>
        <v/>
      </c>
      <c r="N84" s="672">
        <f>SUM(N77:O82)</f>
        <v/>
      </c>
      <c r="P84" s="672">
        <f>SUM(P77:Q82)</f>
        <v/>
      </c>
      <c r="R84" s="672">
        <f>SUM(R77:S82)</f>
        <v/>
      </c>
      <c r="T84" s="672">
        <f>SUM(T77:V82)</f>
        <v/>
      </c>
      <c r="W84" s="672">
        <f>SUM(W77:X82)</f>
        <v/>
      </c>
      <c r="Y84" s="56">
        <f>SUM(Y77:Y82)</f>
        <v/>
      </c>
      <c r="Z84" s="56" t="n"/>
    </row>
    <row r="85"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 ht="17" customHeight="1">
      <c r="A86" s="18" t="inlineStr">
        <is>
          <t>Annual Total</t>
        </is>
      </c>
      <c r="B86" s="178">
        <f>SUM(B83:E83)</f>
        <v/>
      </c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Z86" s="56" t="n"/>
    </row>
    <row r="89" ht="17" customHeight="1">
      <c r="A89" s="181" t="inlineStr">
        <is>
          <t>2025-26</t>
        </is>
      </c>
    </row>
    <row r="90" ht="17" customHeight="1">
      <c r="A90" s="18" t="inlineStr">
        <is>
          <t>Item</t>
        </is>
      </c>
      <c r="B90" s="55" t="n">
        <v>1</v>
      </c>
      <c r="C90" s="55" t="n">
        <v>2</v>
      </c>
      <c r="D90" s="55" t="n">
        <v>3</v>
      </c>
      <c r="E90" s="55" t="n">
        <v>4</v>
      </c>
      <c r="F90" s="55" t="n">
        <v>5</v>
      </c>
      <c r="G90" s="55" t="n">
        <v>6</v>
      </c>
      <c r="H90" s="55" t="n">
        <v>7</v>
      </c>
      <c r="I90" s="55" t="n">
        <v>8</v>
      </c>
      <c r="J90" s="55" t="n">
        <v>9</v>
      </c>
      <c r="K90" s="55" t="n">
        <v>10</v>
      </c>
      <c r="L90" s="55" t="n">
        <v>11</v>
      </c>
      <c r="M90" s="55" t="n">
        <v>12</v>
      </c>
      <c r="N90" s="55" t="n">
        <v>13</v>
      </c>
      <c r="O90" s="55" t="n">
        <v>14</v>
      </c>
      <c r="P90" s="55" t="n">
        <v>15</v>
      </c>
      <c r="Q90" s="55" t="n">
        <v>16</v>
      </c>
      <c r="R90" s="55" t="n">
        <v>17</v>
      </c>
      <c r="S90" s="55" t="n">
        <v>18</v>
      </c>
      <c r="T90" s="55" t="n">
        <v>19</v>
      </c>
      <c r="U90" s="55" t="n">
        <v>20</v>
      </c>
      <c r="V90" s="55" t="n">
        <v>21</v>
      </c>
      <c r="W90" s="55" t="n">
        <v>22</v>
      </c>
      <c r="X90" s="55" t="n">
        <v>23</v>
      </c>
      <c r="Y90" s="55" t="n">
        <v>24</v>
      </c>
    </row>
    <row r="91" ht="34" customHeight="1">
      <c r="A91" s="18" t="inlineStr">
        <is>
          <t>Pump No.</t>
        </is>
      </c>
      <c r="B91" s="671" t="inlineStr">
        <is>
          <t>SWPH-P/P-25</t>
        </is>
      </c>
      <c r="C91" s="671" t="inlineStr">
        <is>
          <t>SWPH-P/P-26</t>
        </is>
      </c>
      <c r="D91" s="671" t="inlineStr">
        <is>
          <t>SWPH-P/P-27</t>
        </is>
      </c>
      <c r="E91" s="671" t="inlineStr">
        <is>
          <t>SWPH-P/P-28</t>
        </is>
      </c>
      <c r="F91" s="671" t="inlineStr">
        <is>
          <t>AB-FTP-1</t>
        </is>
      </c>
      <c r="G91" s="671" t="inlineStr">
        <is>
          <t>AB-FTP-2</t>
        </is>
      </c>
      <c r="H91" s="671" t="inlineStr">
        <is>
          <t>AB-FWTP-1</t>
        </is>
      </c>
      <c r="I91" s="671" t="inlineStr">
        <is>
          <t>AB-FWTP-2</t>
        </is>
      </c>
      <c r="J91" s="671" t="inlineStr">
        <is>
          <t>AB-FWTP-3</t>
        </is>
      </c>
      <c r="K91" s="671" t="inlineStr">
        <is>
          <t>AB-FWTP-4</t>
        </is>
      </c>
      <c r="L91" s="671" t="inlineStr">
        <is>
          <t>UG7-FTP-1</t>
        </is>
      </c>
      <c r="M91" s="671" t="inlineStr">
        <is>
          <t>UG7-FTP-2</t>
        </is>
      </c>
      <c r="N91" s="671" t="inlineStr">
        <is>
          <t>AB-FWTP-7</t>
        </is>
      </c>
      <c r="O91" s="671" t="inlineStr">
        <is>
          <t>AB-FWTP-8</t>
        </is>
      </c>
      <c r="P91" s="671" t="inlineStr">
        <is>
          <t>PG/UG1-FTP-1</t>
        </is>
      </c>
      <c r="Q91" s="671" t="inlineStr">
        <is>
          <t>PG/UG1-FTP-2</t>
        </is>
      </c>
      <c r="R91" s="671" t="inlineStr">
        <is>
          <t>PG2-FTP-1</t>
        </is>
      </c>
      <c r="S91" s="671" t="inlineStr">
        <is>
          <t>PG2-FTP-2</t>
        </is>
      </c>
      <c r="T91" s="671" t="inlineStr">
        <is>
          <t>LSK-FTP-1</t>
        </is>
      </c>
      <c r="U91" s="671" t="inlineStr">
        <is>
          <t>LSK-FTP-2</t>
        </is>
      </c>
      <c r="V91" s="671" t="inlineStr">
        <is>
          <t>LSK-FTJP-3</t>
        </is>
      </c>
      <c r="W91" s="671" t="inlineStr">
        <is>
          <t>RAB-FWTP-1</t>
        </is>
      </c>
      <c r="X91" s="671" t="inlineStr">
        <is>
          <t>RAB-FWTP-2</t>
        </is>
      </c>
      <c r="Y91" s="671" t="inlineStr">
        <is>
          <t>Cooling System</t>
        </is>
      </c>
      <c r="Z91" s="18" t="n"/>
    </row>
    <row r="92" ht="34" customHeight="1">
      <c r="A92" s="18" t="inlineStr">
        <is>
          <t>Serving Area</t>
        </is>
      </c>
      <c r="B92" s="671" t="inlineStr">
        <is>
          <t>Acad. Bldg, Staff Qtr, GRUC</t>
        </is>
      </c>
      <c r="D92" s="671" t="inlineStr">
        <is>
          <t>Student Housing, CML, Seafront Complex</t>
        </is>
      </c>
      <c r="F92" s="671" t="inlineStr">
        <is>
          <t>Academic Building</t>
        </is>
      </c>
      <c r="H92" s="671" t="inlineStr">
        <is>
          <t>SSQ T1-T7</t>
        </is>
      </c>
      <c r="J92" s="671" t="inlineStr">
        <is>
          <t>JSQ, Ph-2 SSQ</t>
        </is>
      </c>
      <c r="L92" s="671" t="inlineStr">
        <is>
          <t>UG7</t>
        </is>
      </c>
      <c r="N92" s="671" t="inlineStr">
        <is>
          <t>GRUC, SSQ  T8-T19, LSK, RAB</t>
        </is>
      </c>
      <c r="P92" s="671" t="inlineStr">
        <is>
          <t>PG1/UG1 (Suspended)</t>
        </is>
      </c>
      <c r="R92" s="671" t="inlineStr">
        <is>
          <t>PG2 (Suspended)</t>
        </is>
      </c>
      <c r="T92" s="671" t="inlineStr">
        <is>
          <t>LSK transfer pump room</t>
        </is>
      </c>
      <c r="W92" s="671" t="inlineStr">
        <is>
          <t>RAB G/F pump room</t>
        </is>
      </c>
      <c r="Y92" s="671" t="inlineStr">
        <is>
          <t>Cooling System</t>
        </is>
      </c>
      <c r="Z92" s="18" t="inlineStr">
        <is>
          <t>Total (by month)</t>
        </is>
      </c>
    </row>
    <row r="93">
      <c r="A93" s="179" t="n">
        <v>45839</v>
      </c>
      <c r="B93" s="56" t="n">
        <v>7668</v>
      </c>
      <c r="C93" s="56" t="n">
        <v>15984</v>
      </c>
      <c r="D93" s="56" t="n">
        <v>4811</v>
      </c>
      <c r="E93" s="56" t="n">
        <v>6010</v>
      </c>
      <c r="F93" s="56" t="n">
        <v>2678</v>
      </c>
      <c r="G93" s="56" t="n">
        <v>2419</v>
      </c>
      <c r="H93" s="56" t="n">
        <v>1353</v>
      </c>
      <c r="I93" s="56" t="n">
        <v>1476</v>
      </c>
      <c r="J93" s="56" t="n">
        <v>535</v>
      </c>
      <c r="K93" s="56" t="n">
        <v>518</v>
      </c>
      <c r="L93" s="56" t="n">
        <v>198</v>
      </c>
      <c r="M93" s="56" t="n">
        <v>144</v>
      </c>
      <c r="N93" s="56" t="n">
        <v>1256</v>
      </c>
      <c r="O93" s="56" t="n">
        <v>1232</v>
      </c>
      <c r="P93" s="56" t="n"/>
      <c r="Q93" s="56" t="n"/>
      <c r="R93" s="56" t="n"/>
      <c r="S93" s="56" t="n"/>
      <c r="T93" s="9" t="n">
        <v>360</v>
      </c>
      <c r="U93" s="9" t="n">
        <v>468</v>
      </c>
      <c r="V93" s="9" t="n"/>
      <c r="W93" s="9" t="n">
        <v>612</v>
      </c>
      <c r="X93" s="9" t="n">
        <v>693</v>
      </c>
      <c r="Y93" s="9" t="n"/>
      <c r="Z93" s="56">
        <f>SUM(B93:E93)</f>
        <v/>
      </c>
    </row>
    <row r="94">
      <c r="A94" s="179" t="n">
        <v>45870</v>
      </c>
      <c r="B94" s="362" t="n">
        <v>7992</v>
      </c>
      <c r="C94" s="362" t="n">
        <v>17604</v>
      </c>
      <c r="D94" s="362" t="n">
        <v>5735</v>
      </c>
      <c r="E94" s="362" t="n">
        <v>5719</v>
      </c>
      <c r="F94" s="362" t="n">
        <v>2333</v>
      </c>
      <c r="G94" s="362" t="n">
        <v>2203</v>
      </c>
      <c r="H94" s="362" t="n">
        <v>1210</v>
      </c>
      <c r="I94" s="362" t="n">
        <v>1312</v>
      </c>
      <c r="J94" s="362" t="n">
        <v>567</v>
      </c>
      <c r="K94" s="362" t="n">
        <v>551</v>
      </c>
      <c r="L94" s="362" t="n">
        <v>234</v>
      </c>
      <c r="M94" s="362" t="n">
        <v>162</v>
      </c>
      <c r="N94" s="362" t="n">
        <v>1144</v>
      </c>
      <c r="O94" s="362" t="n">
        <v>1121</v>
      </c>
      <c r="P94" s="363" t="n"/>
      <c r="Q94" s="363" t="n"/>
      <c r="R94" s="363" t="n"/>
      <c r="S94" s="363" t="n"/>
      <c r="T94" s="362" t="n">
        <v>396</v>
      </c>
      <c r="U94" s="362" t="n">
        <v>1044</v>
      </c>
      <c r="V94" s="362" t="n">
        <v>0</v>
      </c>
      <c r="W94" s="362" t="n">
        <v>585</v>
      </c>
      <c r="X94" s="362" t="n">
        <v>666</v>
      </c>
      <c r="Y94" s="9" t="n"/>
      <c r="Z94" s="56">
        <f>SUM(B94:E94)</f>
        <v/>
      </c>
    </row>
    <row r="95">
      <c r="A95" s="179" t="n">
        <v>45901</v>
      </c>
      <c r="B95" s="362" t="n">
        <v>8532</v>
      </c>
      <c r="C95" s="362" t="n">
        <v>21924</v>
      </c>
      <c r="D95" s="362" t="n">
        <v>5540</v>
      </c>
      <c r="E95" s="362" t="n">
        <v>5540</v>
      </c>
      <c r="F95" s="362" t="n">
        <v>3283</v>
      </c>
      <c r="G95" s="362" t="n">
        <v>3067</v>
      </c>
      <c r="H95" s="362" t="n">
        <v>1230</v>
      </c>
      <c r="I95" s="362" t="n">
        <v>1394</v>
      </c>
      <c r="J95" s="362" t="n">
        <v>632</v>
      </c>
      <c r="K95" s="362" t="n">
        <v>632</v>
      </c>
      <c r="L95" s="362" t="n">
        <v>378</v>
      </c>
      <c r="M95" s="362" t="n">
        <v>288</v>
      </c>
      <c r="N95" s="362" t="n">
        <v>958</v>
      </c>
      <c r="O95" s="362" t="n">
        <v>842</v>
      </c>
      <c r="P95" s="363" t="n"/>
      <c r="Q95" s="363" t="n"/>
      <c r="R95" s="363" t="n"/>
      <c r="S95" s="363" t="n"/>
      <c r="T95" s="362" t="n">
        <v>540</v>
      </c>
      <c r="U95" s="362" t="n">
        <v>684</v>
      </c>
      <c r="V95" s="362" t="n">
        <v>0</v>
      </c>
      <c r="W95" s="362" t="n">
        <v>666</v>
      </c>
      <c r="X95" s="362" t="n">
        <v>756</v>
      </c>
      <c r="Y95" s="9" t="n"/>
      <c r="Z95" s="56">
        <f>SUM(B95:E95)</f>
        <v/>
      </c>
    </row>
    <row r="96">
      <c r="A96" s="179" t="n">
        <v>45931</v>
      </c>
      <c r="B96" s="362" t="n">
        <v>15660</v>
      </c>
      <c r="C96" s="362" t="n">
        <v>12204</v>
      </c>
      <c r="D96" s="362" t="n">
        <v>5735</v>
      </c>
      <c r="E96" s="362" t="n">
        <v>5719</v>
      </c>
      <c r="F96" s="362" t="n">
        <v>3802</v>
      </c>
      <c r="G96" s="362" t="n">
        <v>3542</v>
      </c>
      <c r="H96" s="362" t="n">
        <v>1107</v>
      </c>
      <c r="I96" s="362" t="n">
        <v>1251</v>
      </c>
      <c r="J96" s="362" t="n">
        <v>599</v>
      </c>
      <c r="K96" s="362" t="n">
        <v>599</v>
      </c>
      <c r="L96" s="362" t="n">
        <v>342</v>
      </c>
      <c r="M96" s="362" t="n">
        <v>270</v>
      </c>
      <c r="N96" s="362" t="n">
        <v>1232</v>
      </c>
      <c r="O96" s="362" t="n">
        <v>1149</v>
      </c>
      <c r="P96" s="363" t="n"/>
      <c r="Q96" s="363" t="n"/>
      <c r="R96" s="363" t="n"/>
      <c r="S96" s="363" t="n"/>
      <c r="T96" s="362" t="n">
        <v>612</v>
      </c>
      <c r="U96" s="362" t="n">
        <v>432</v>
      </c>
      <c r="V96" s="362" t="n">
        <v>0</v>
      </c>
      <c r="W96" s="362" t="n">
        <v>720</v>
      </c>
      <c r="X96" s="362" t="n">
        <v>828</v>
      </c>
      <c r="Y96" s="9" t="n"/>
      <c r="Z96" s="56">
        <f>SUM(B96:E96)</f>
        <v/>
      </c>
    </row>
    <row r="97">
      <c r="A97" s="179" t="n">
        <v>45962</v>
      </c>
      <c r="B97" s="362" t="n">
        <v>11880</v>
      </c>
      <c r="C97" s="362" t="n">
        <v>22356</v>
      </c>
      <c r="D97" s="362" t="n">
        <v>2543</v>
      </c>
      <c r="E97" s="362" t="n">
        <v>5508</v>
      </c>
      <c r="F97" s="362" t="n">
        <v>3802</v>
      </c>
      <c r="G97" s="362" t="n">
        <v>3542</v>
      </c>
      <c r="H97" s="362" t="n">
        <v>1107</v>
      </c>
      <c r="I97" s="362" t="n">
        <v>1271</v>
      </c>
      <c r="J97" s="362" t="n">
        <v>583</v>
      </c>
      <c r="K97" s="362" t="n">
        <v>599</v>
      </c>
      <c r="L97" s="362" t="n">
        <v>414</v>
      </c>
      <c r="M97" s="362" t="n">
        <v>270</v>
      </c>
      <c r="N97" s="362" t="n">
        <v>1149</v>
      </c>
      <c r="O97" s="362" t="n">
        <v>1125</v>
      </c>
      <c r="P97" s="363" t="n"/>
      <c r="Q97" s="363" t="n"/>
      <c r="R97" s="363" t="n"/>
      <c r="S97" s="363" t="n"/>
      <c r="T97" s="362" t="n">
        <v>612</v>
      </c>
      <c r="U97" s="362" t="n">
        <v>936</v>
      </c>
      <c r="V97" s="362" t="n">
        <v>0</v>
      </c>
      <c r="W97" s="362" t="n">
        <v>513</v>
      </c>
      <c r="X97" s="362" t="n">
        <v>576</v>
      </c>
      <c r="Y97" s="9" t="n"/>
      <c r="Z97" s="56">
        <f>SUM(B97:E97)</f>
        <v/>
      </c>
    </row>
    <row r="98">
      <c r="A98" s="179" t="n">
        <v>45992</v>
      </c>
      <c r="B98" s="362" t="n">
        <v>7668</v>
      </c>
      <c r="C98" s="362" t="n">
        <v>8028</v>
      </c>
      <c r="D98" s="362" t="n">
        <v>3839</v>
      </c>
      <c r="E98" s="362" t="n">
        <v>7209</v>
      </c>
      <c r="F98" s="362" t="n">
        <v>3370</v>
      </c>
      <c r="G98" s="362" t="n">
        <v>3110</v>
      </c>
      <c r="H98" s="362" t="n">
        <v>1128</v>
      </c>
      <c r="I98" s="362" t="n">
        <v>1251</v>
      </c>
      <c r="J98" s="362" t="n">
        <v>518</v>
      </c>
      <c r="K98" s="362" t="n">
        <v>2219</v>
      </c>
      <c r="L98" s="362" t="n">
        <v>306</v>
      </c>
      <c r="M98" s="362" t="n">
        <v>234</v>
      </c>
      <c r="N98" s="362" t="n">
        <v>1455</v>
      </c>
      <c r="O98" s="362" t="n">
        <v>1428</v>
      </c>
      <c r="P98" s="363" t="n"/>
      <c r="Q98" s="363" t="n"/>
      <c r="R98" s="363" t="n"/>
      <c r="S98" s="363" t="n"/>
      <c r="T98" s="362" t="n">
        <v>0</v>
      </c>
      <c r="U98" s="362" t="n">
        <v>0</v>
      </c>
      <c r="V98" s="362" t="n">
        <v>0</v>
      </c>
      <c r="W98" s="362" t="n">
        <v>549</v>
      </c>
      <c r="X98" s="362" t="n">
        <v>621</v>
      </c>
      <c r="Y98" s="9" t="n"/>
      <c r="Z98" s="56">
        <f>SUM(B98:E98)</f>
        <v/>
      </c>
    </row>
    <row r="99">
      <c r="A99" s="179" t="n">
        <v>46023</v>
      </c>
      <c r="B99" s="362" t="n">
        <v>8208</v>
      </c>
      <c r="C99" s="362" t="n">
        <v>7295</v>
      </c>
      <c r="D99" s="362" t="n">
        <v>5913</v>
      </c>
      <c r="E99" s="362" t="n">
        <v>5524</v>
      </c>
      <c r="F99" s="362" t="n">
        <v>2808</v>
      </c>
      <c r="G99" s="362" t="n">
        <v>2678</v>
      </c>
      <c r="H99" s="362" t="n">
        <v>1025</v>
      </c>
      <c r="I99" s="362" t="n">
        <v>1107</v>
      </c>
      <c r="J99" s="362" t="n">
        <v>7954</v>
      </c>
      <c r="K99" s="362" t="n">
        <v>1944</v>
      </c>
      <c r="L99" s="362" t="n">
        <v>162</v>
      </c>
      <c r="M99" s="362" t="n">
        <v>108</v>
      </c>
      <c r="N99" s="362" t="n">
        <v>1056</v>
      </c>
      <c r="O99" s="362" t="n">
        <v>1018</v>
      </c>
      <c r="P99" s="363" t="n"/>
      <c r="Q99" s="363" t="n"/>
      <c r="R99" s="363" t="n"/>
      <c r="S99" s="363" t="n"/>
      <c r="T99" s="362" t="n">
        <v>900</v>
      </c>
      <c r="U99" s="362" t="n">
        <v>1080</v>
      </c>
      <c r="V99" s="362" t="n">
        <v>0</v>
      </c>
      <c r="W99" s="362" t="n">
        <v>495</v>
      </c>
      <c r="X99" s="362" t="n">
        <v>576</v>
      </c>
      <c r="Z99" s="56">
        <f>SUM(B99:E99)</f>
        <v/>
      </c>
    </row>
    <row r="100">
      <c r="A100" s="179" t="n">
        <v>46054</v>
      </c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9" t="n"/>
      <c r="U100" s="9" t="n"/>
      <c r="V100" s="9" t="n"/>
      <c r="W100" s="9" t="n"/>
      <c r="X100" s="9" t="n"/>
      <c r="Z100" s="56">
        <f>SUM(B100:E100)</f>
        <v/>
      </c>
    </row>
    <row r="101">
      <c r="A101" s="179" t="n">
        <v>46082</v>
      </c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9" t="n"/>
      <c r="U101" s="9" t="n"/>
      <c r="V101" s="9" t="n"/>
      <c r="W101" s="9" t="n"/>
      <c r="X101" s="9" t="n"/>
      <c r="Y101" s="9" t="n"/>
      <c r="Z101" s="56">
        <f>SUM(B101:E101)</f>
        <v/>
      </c>
    </row>
    <row r="102">
      <c r="A102" s="179" t="n">
        <v>46113</v>
      </c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9" t="n"/>
      <c r="U102" s="9" t="n"/>
      <c r="V102" s="9" t="n"/>
      <c r="W102" s="9" t="n"/>
      <c r="X102" s="9" t="n"/>
      <c r="Y102" s="9" t="n"/>
      <c r="Z102" s="56">
        <f>SUM(B102:E102)</f>
        <v/>
      </c>
    </row>
    <row r="103">
      <c r="A103" s="179" t="n">
        <v>46143</v>
      </c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9" t="n"/>
      <c r="U103" s="9" t="n"/>
      <c r="V103" s="9" t="n"/>
      <c r="W103" s="9" t="n"/>
      <c r="X103" s="9" t="n"/>
      <c r="Y103" s="9" t="n"/>
      <c r="Z103" s="56">
        <f>SUM(B103:E103)</f>
        <v/>
      </c>
    </row>
    <row r="104">
      <c r="A104" s="179" t="n">
        <v>46174</v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9" t="n"/>
      <c r="U104" s="9" t="n"/>
      <c r="V104" s="9" t="n"/>
      <c r="W104" s="9" t="n"/>
      <c r="X104" s="9" t="n"/>
      <c r="Y104" s="9" t="n"/>
      <c r="Z104" s="56">
        <f>SUM(B104:E104)</f>
        <v/>
      </c>
    </row>
    <row r="105" ht="34" customHeight="1">
      <c r="A105" s="18" t="inlineStr">
        <is>
          <t>Total (by meter)</t>
        </is>
      </c>
      <c r="B105" s="56">
        <f>SUM(B93:B104)</f>
        <v/>
      </c>
      <c r="C105" s="56">
        <f>SUM(C93:C104)</f>
        <v/>
      </c>
      <c r="D105" s="56">
        <f>SUM(D93:D104)</f>
        <v/>
      </c>
      <c r="E105" s="56">
        <f>SUM(E93:E104)</f>
        <v/>
      </c>
      <c r="F105" s="56">
        <f>SUM(F93:F104)</f>
        <v/>
      </c>
      <c r="G105" s="56">
        <f>SUM(G93:G104)</f>
        <v/>
      </c>
      <c r="H105" s="56">
        <f>SUM(H93:H104)</f>
        <v/>
      </c>
      <c r="I105" s="56">
        <f>SUM(I93:I104)</f>
        <v/>
      </c>
      <c r="J105" s="56">
        <f>SUM(J93:J104)</f>
        <v/>
      </c>
      <c r="K105" s="56">
        <f>SUM(K93:K104)</f>
        <v/>
      </c>
      <c r="L105" s="56">
        <f>SUM(L93:L104)</f>
        <v/>
      </c>
      <c r="M105" s="56">
        <f>SUM(M93:M104)</f>
        <v/>
      </c>
      <c r="N105" s="56">
        <f>SUM(N93:N104)</f>
        <v/>
      </c>
      <c r="O105" s="56">
        <f>SUM(O93:O104)</f>
        <v/>
      </c>
      <c r="P105" s="56">
        <f>SUM(P93:P104)</f>
        <v/>
      </c>
      <c r="Q105" s="56">
        <f>SUM(Q93:Q104)</f>
        <v/>
      </c>
      <c r="R105" s="56">
        <f>SUM(R93:R104)</f>
        <v/>
      </c>
      <c r="S105" s="56">
        <f>SUM(S93:S104)</f>
        <v/>
      </c>
      <c r="T105" s="56">
        <f>SUM(T93:T104)</f>
        <v/>
      </c>
      <c r="U105" s="56">
        <f>SUM(U93:U104)</f>
        <v/>
      </c>
      <c r="V105" s="56">
        <f>SUM(V93:V104)</f>
        <v/>
      </c>
      <c r="W105" s="56">
        <f>SUM(W93:W104)</f>
        <v/>
      </c>
      <c r="X105" s="56">
        <f>SUM(X93:X104)</f>
        <v/>
      </c>
      <c r="Y105" s="56">
        <f>SUM(Y93:Y104)</f>
        <v/>
      </c>
      <c r="Z105" s="56">
        <f>SUM(Z93:Z104)</f>
        <v/>
      </c>
    </row>
    <row r="106" ht="34" customHeight="1">
      <c r="A106" s="18" t="inlineStr">
        <is>
          <t>Total (by serving area)</t>
        </is>
      </c>
      <c r="B106" s="672">
        <f>SUM(B93:C104)</f>
        <v/>
      </c>
      <c r="D106" s="672">
        <f>SUM(D93:E104)</f>
        <v/>
      </c>
      <c r="F106" s="672">
        <f>SUM(F99:G104)</f>
        <v/>
      </c>
      <c r="H106" s="672">
        <f>SUM(H99:I104)</f>
        <v/>
      </c>
      <c r="J106" s="672">
        <f>SUM(J99:K104)</f>
        <v/>
      </c>
      <c r="L106" s="672">
        <f>SUM(L99:M104)</f>
        <v/>
      </c>
      <c r="N106" s="672">
        <f>SUM(N99:O104)</f>
        <v/>
      </c>
      <c r="P106" s="672">
        <f>SUM(P99:Q104)</f>
        <v/>
      </c>
      <c r="R106" s="672">
        <f>SUM(R99:S104)</f>
        <v/>
      </c>
      <c r="T106" s="672">
        <f>SUM(T99:V104)</f>
        <v/>
      </c>
      <c r="W106" s="672">
        <f>SUM(W99:X104)</f>
        <v/>
      </c>
      <c r="Y106" s="56">
        <f>SUM(Y99:Y104)</f>
        <v/>
      </c>
      <c r="Z106" s="56" t="n"/>
    </row>
    <row r="107"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 ht="17" customHeight="1">
      <c r="A108" s="18" t="inlineStr">
        <is>
          <t>Annual Total</t>
        </is>
      </c>
      <c r="B108" s="178">
        <f>SUM(B105:E105)</f>
        <v/>
      </c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Z108" s="56" t="n"/>
    </row>
  </sheetData>
  <mergeCells count="110">
    <mergeCell ref="W4:X4"/>
    <mergeCell ref="R92:S92"/>
    <mergeCell ref="W40:X40"/>
    <mergeCell ref="T92:V92"/>
    <mergeCell ref="D84:E84"/>
    <mergeCell ref="F84:G84"/>
    <mergeCell ref="P84:Q84"/>
    <mergeCell ref="R84:S84"/>
    <mergeCell ref="W26:X26"/>
    <mergeCell ref="T84:V84"/>
    <mergeCell ref="D70:E70"/>
    <mergeCell ref="D48:E48"/>
    <mergeCell ref="F70:G70"/>
    <mergeCell ref="N48:O48"/>
    <mergeCell ref="P70:Q70"/>
    <mergeCell ref="P48:Q48"/>
    <mergeCell ref="R70:S70"/>
    <mergeCell ref="J4:K4"/>
    <mergeCell ref="L4:M4"/>
    <mergeCell ref="D62:E62"/>
    <mergeCell ref="D4:E4"/>
    <mergeCell ref="T48:V48"/>
    <mergeCell ref="B40:C40"/>
    <mergeCell ref="R106:S106"/>
    <mergeCell ref="L40:M40"/>
    <mergeCell ref="N40:O40"/>
    <mergeCell ref="H62:I62"/>
    <mergeCell ref="J62:K62"/>
    <mergeCell ref="T4:V4"/>
    <mergeCell ref="R18:S18"/>
    <mergeCell ref="B26:C26"/>
    <mergeCell ref="D26:E26"/>
    <mergeCell ref="B106:C106"/>
    <mergeCell ref="N26:O26"/>
    <mergeCell ref="P26:Q26"/>
    <mergeCell ref="T106:V106"/>
    <mergeCell ref="T26:V26"/>
    <mergeCell ref="B18:C18"/>
    <mergeCell ref="T40:V40"/>
    <mergeCell ref="L106:M106"/>
    <mergeCell ref="F18:G18"/>
    <mergeCell ref="L92:M92"/>
    <mergeCell ref="W106:X106"/>
    <mergeCell ref="N92:O92"/>
    <mergeCell ref="F62:G62"/>
    <mergeCell ref="B84:C84"/>
    <mergeCell ref="L84:M84"/>
    <mergeCell ref="W18:X18"/>
    <mergeCell ref="N84:O84"/>
    <mergeCell ref="F48:G48"/>
    <mergeCell ref="H48:I48"/>
    <mergeCell ref="P62:Q62"/>
    <mergeCell ref="J48:K48"/>
    <mergeCell ref="H106:I106"/>
    <mergeCell ref="L70:M70"/>
    <mergeCell ref="L48:M48"/>
    <mergeCell ref="N70:O70"/>
    <mergeCell ref="P4:Q4"/>
    <mergeCell ref="T62:V62"/>
    <mergeCell ref="F4:G4"/>
    <mergeCell ref="N4:O4"/>
    <mergeCell ref="W84:X84"/>
    <mergeCell ref="N106:O106"/>
    <mergeCell ref="H40:I40"/>
    <mergeCell ref="W92:X92"/>
    <mergeCell ref="J40:K40"/>
    <mergeCell ref="T70:V70"/>
    <mergeCell ref="L18:M18"/>
    <mergeCell ref="N18:O18"/>
    <mergeCell ref="J26:K26"/>
    <mergeCell ref="L26:M26"/>
    <mergeCell ref="D106:E106"/>
    <mergeCell ref="T18:V18"/>
    <mergeCell ref="H84:I84"/>
    <mergeCell ref="W70:X70"/>
    <mergeCell ref="R62:S62"/>
    <mergeCell ref="B92:C92"/>
    <mergeCell ref="D92:E92"/>
    <mergeCell ref="J106:K106"/>
    <mergeCell ref="F92:G92"/>
    <mergeCell ref="H92:I92"/>
    <mergeCell ref="B4:C4"/>
    <mergeCell ref="J92:K92"/>
    <mergeCell ref="R48:S48"/>
    <mergeCell ref="B62:C62"/>
    <mergeCell ref="D40:E40"/>
    <mergeCell ref="H4:I4"/>
    <mergeCell ref="F40:G40"/>
    <mergeCell ref="J84:K84"/>
    <mergeCell ref="R4:S4"/>
    <mergeCell ref="P40:Q40"/>
    <mergeCell ref="B70:C70"/>
    <mergeCell ref="R40:S40"/>
    <mergeCell ref="B48:C48"/>
    <mergeCell ref="L62:M62"/>
    <mergeCell ref="N62:O62"/>
    <mergeCell ref="F26:G26"/>
    <mergeCell ref="H70:I70"/>
    <mergeCell ref="J70:K70"/>
    <mergeCell ref="F106:G106"/>
    <mergeCell ref="R26:S26"/>
    <mergeCell ref="W62:X62"/>
    <mergeCell ref="D18:E18"/>
    <mergeCell ref="P18:Q18"/>
    <mergeCell ref="W48:X48"/>
    <mergeCell ref="P106:Q106"/>
    <mergeCell ref="H26:I26"/>
    <mergeCell ref="H18:I18"/>
    <mergeCell ref="J18:K18"/>
    <mergeCell ref="P92:Q9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C28" sqref="C28"/>
    </sheetView>
  </sheetViews>
  <sheetFormatPr baseColWidth="10" defaultColWidth="10.1640625" defaultRowHeight="16"/>
  <cols>
    <col width="10.1640625" customWidth="1" style="87" min="1" max="1"/>
    <col width="13.33203125" customWidth="1" style="8" min="2" max="2"/>
    <col width="15.6640625" customWidth="1" style="8" min="3" max="3"/>
    <col width="13.33203125" customWidth="1" style="8" min="4" max="4"/>
    <col width="10.1640625" customWidth="1" style="8" min="5" max="5"/>
    <col width="24.1640625" customWidth="1" style="8" min="6" max="6"/>
    <col width="14.33203125" bestFit="1" customWidth="1" style="8" min="7" max="7"/>
    <col width="10.1640625" customWidth="1" style="8" min="8" max="16384"/>
  </cols>
  <sheetData>
    <row r="1" customFormat="1" s="676">
      <c r="A1" s="104" t="inlineStr">
        <is>
          <t xml:space="preserve">Date </t>
        </is>
      </c>
      <c r="B1" s="104" t="inlineStr">
        <is>
          <t xml:space="preserve">Campus </t>
        </is>
      </c>
      <c r="C1" s="104" t="inlineStr">
        <is>
          <t>Student halls</t>
        </is>
      </c>
      <c r="D1" s="104" t="inlineStr">
        <is>
          <t xml:space="preserve">Total </t>
        </is>
      </c>
    </row>
    <row r="2">
      <c r="A2" s="105" t="inlineStr">
        <is>
          <t>2014/15</t>
        </is>
      </c>
      <c r="B2" s="9" t="n">
        <v>229716</v>
      </c>
      <c r="C2" s="9" t="n">
        <v>76626</v>
      </c>
      <c r="D2" s="9">
        <f>SUM(B2:C2)</f>
        <v/>
      </c>
    </row>
    <row r="3">
      <c r="A3" s="105" t="inlineStr">
        <is>
          <t>2015/16</t>
        </is>
      </c>
      <c r="B3" s="9" t="n">
        <v>254880</v>
      </c>
      <c r="C3" s="9" t="n">
        <v>90720</v>
      </c>
      <c r="D3" s="9">
        <f>SUM(B3:C3)</f>
        <v/>
      </c>
    </row>
    <row r="4">
      <c r="A4" s="105" t="inlineStr">
        <is>
          <t>2016/17</t>
        </is>
      </c>
      <c r="B4" s="9" t="n">
        <v>201492</v>
      </c>
      <c r="C4" s="9" t="n">
        <v>144713</v>
      </c>
      <c r="D4" s="9">
        <f>SUM(B4:C4)</f>
        <v/>
      </c>
    </row>
    <row r="5">
      <c r="A5" s="105" t="inlineStr">
        <is>
          <t>2017/18</t>
        </is>
      </c>
      <c r="B5" s="9" t="n">
        <v>209628</v>
      </c>
      <c r="C5" s="9" t="n">
        <v>148489</v>
      </c>
      <c r="D5" s="9">
        <f>SUM(B5:C5)</f>
        <v/>
      </c>
    </row>
    <row r="6">
      <c r="A6" s="105" t="inlineStr">
        <is>
          <t>2018/19</t>
        </is>
      </c>
      <c r="B6" s="9" t="n">
        <v>229068</v>
      </c>
      <c r="C6" s="9" t="n">
        <v>143435</v>
      </c>
      <c r="D6" s="9">
        <f>SUM(B6:C6)</f>
        <v/>
      </c>
    </row>
    <row r="7">
      <c r="A7" s="105" t="inlineStr">
        <is>
          <t>2019/20</t>
        </is>
      </c>
      <c r="B7" s="9" t="n">
        <v>159408</v>
      </c>
      <c r="C7" s="9" t="n">
        <v>138883</v>
      </c>
      <c r="D7" s="9">
        <f>SUM(B7:C7)</f>
        <v/>
      </c>
    </row>
    <row r="8">
      <c r="A8" s="105" t="inlineStr">
        <is>
          <t>2020/21</t>
        </is>
      </c>
      <c r="B8" s="9" t="n">
        <v>145720</v>
      </c>
      <c r="C8" s="9" t="n">
        <v>123598</v>
      </c>
      <c r="D8" s="359" t="n">
        <v>271118</v>
      </c>
      <c r="E8" s="359">
        <f>SUM(B8:C8)</f>
        <v/>
      </c>
    </row>
    <row r="9">
      <c r="A9" s="105" t="inlineStr">
        <is>
          <t>2021/22</t>
        </is>
      </c>
      <c r="B9" s="9" t="n">
        <v>143640</v>
      </c>
      <c r="C9" s="9" t="n">
        <v>125080</v>
      </c>
      <c r="D9" s="9">
        <f>SUM(B9:C9)</f>
        <v/>
      </c>
    </row>
    <row r="10">
      <c r="A10" s="105" t="inlineStr">
        <is>
          <t>2022/23</t>
        </is>
      </c>
      <c r="B10" s="9" t="n">
        <v>226800</v>
      </c>
      <c r="C10" s="9" t="n">
        <v>135821</v>
      </c>
      <c r="D10" s="9">
        <f>SUM(B10:C10)</f>
        <v/>
      </c>
    </row>
    <row r="11">
      <c r="A11" s="87" t="inlineStr">
        <is>
          <t>2023/24</t>
        </is>
      </c>
      <c r="B11" s="9">
        <f>SUM('Monthly Seawater (m3)'!B62:C62)</f>
        <v/>
      </c>
      <c r="C11" s="9">
        <f>SUM('Monthly Seawater (m3)'!D62:E62)</f>
        <v/>
      </c>
      <c r="D11" s="9">
        <f>SUM(B11:C11)</f>
        <v/>
      </c>
    </row>
    <row r="12">
      <c r="A12" s="87" t="inlineStr">
        <is>
          <t>2024/25</t>
        </is>
      </c>
      <c r="B12" s="9">
        <f>SUM('Monthly Seawater (m3)'!B84:C84)</f>
        <v/>
      </c>
      <c r="C12" s="9">
        <f>SUM('Monthly Seawater (m3)'!D84:E84)</f>
        <v/>
      </c>
      <c r="D12" s="9">
        <f>SUM(B12:C12)</f>
        <v/>
      </c>
    </row>
    <row r="13">
      <c r="A13" s="87" t="inlineStr">
        <is>
          <t>2025/26</t>
        </is>
      </c>
      <c r="B13" s="364">
        <f>SUM('Monthly Seawater (m3)'!B106:C106)</f>
        <v/>
      </c>
      <c r="C13" s="364">
        <f>SUM('Monthly Seawater (m3)'!D106:E106)</f>
        <v/>
      </c>
      <c r="D13" s="364">
        <f>SUM(B13:C13)</f>
        <v/>
      </c>
    </row>
    <row r="16">
      <c r="G16" s="62" t="n"/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S77"/>
  <sheetViews>
    <sheetView workbookViewId="0">
      <selection activeCell="A1" sqref="A1"/>
    </sheetView>
  </sheetViews>
  <sheetFormatPr baseColWidth="10" defaultColWidth="8.6640625" defaultRowHeight="16"/>
  <cols>
    <col width="10.6640625" customWidth="1" style="98" min="1" max="1"/>
    <col width="13.33203125" customWidth="1" style="1" min="2" max="2"/>
    <col width="10.6640625" customWidth="1" style="1" min="3" max="4"/>
    <col width="13.33203125" customWidth="1" style="1" min="5" max="5"/>
    <col width="10.6640625" customWidth="1" style="1" min="6" max="14"/>
    <col width="10.6640625" customWidth="1" style="1" min="16" max="16"/>
    <col width="10.6640625" customWidth="1" min="17" max="17"/>
    <col width="13.33203125" customWidth="1" style="1" min="19" max="19"/>
    <col width="10.6640625" customWidth="1" style="1" min="20" max="20"/>
    <col width="10.6640625" customWidth="1" min="21" max="21"/>
    <col width="10.6640625" customWidth="1" style="1" min="22" max="22"/>
    <col width="13.33203125" customWidth="1" style="1" min="23" max="24"/>
    <col width="10.6640625" customWidth="1" min="28" max="28"/>
    <col width="10.6640625" customWidth="1" style="1" min="29" max="29"/>
    <col width="10.6640625" customWidth="1" style="1" min="31" max="31"/>
    <col width="13.33203125" customWidth="1" style="1" min="32" max="34"/>
    <col width="11.6640625" customWidth="1" style="1" min="35" max="35"/>
    <col width="13.33203125" customWidth="1" style="1" min="37" max="41"/>
    <col width="10.6640625" customWidth="1" style="1" min="42" max="42"/>
    <col width="15.6640625" customWidth="1" style="1" min="43" max="43"/>
    <col width="10.6640625" customWidth="1" min="44" max="44"/>
    <col width="10.6640625" customWidth="1" min="48" max="48"/>
    <col width="10.6640625" customWidth="1" style="1" min="51" max="82"/>
    <col width="10.6640625" customWidth="1" min="83" max="83"/>
    <col width="15.6640625" customWidth="1" min="84" max="84"/>
    <col width="10.6640625" customWidth="1" style="1" min="85" max="106"/>
    <col width="10.6640625" customWidth="1" style="1" min="108" max="119"/>
    <col width="13.33203125" customWidth="1" style="1" min="120" max="120"/>
    <col width="8.6640625" customWidth="1" style="1" min="121" max="16384"/>
  </cols>
  <sheetData>
    <row r="1" ht="85" customFormat="1" customHeight="1" s="55">
      <c r="A1" s="65" t="inlineStr">
        <is>
          <t>New Name</t>
        </is>
      </c>
      <c r="B1" s="619" t="inlineStr">
        <is>
          <t>Academic Building Cooling Tower</t>
        </is>
      </c>
      <c r="C1" s="619" t="inlineStr">
        <is>
          <t>Academic Building Cleaning</t>
        </is>
      </c>
      <c r="D1" s="619" t="inlineStr">
        <is>
          <t>Academic Building Potable</t>
        </is>
      </c>
      <c r="E1" s="619" t="inlineStr">
        <is>
          <t xml:space="preserve">Lab Building Non Potable Water </t>
        </is>
      </c>
      <c r="F1" s="235" t="inlineStr">
        <is>
          <t>Seawater Pump House</t>
        </is>
      </c>
      <c r="G1" s="619" t="inlineStr">
        <is>
          <t xml:space="preserve">Outdoor Swimming Pool Intake </t>
        </is>
      </c>
      <c r="H1" s="619" t="inlineStr">
        <is>
          <t xml:space="preserve">Outdoor Swimming Pool General </t>
        </is>
      </c>
      <c r="I1" s="619" t="inlineStr">
        <is>
          <t xml:space="preserve">Outdoor Swimming Pool Cleaning </t>
        </is>
      </c>
      <c r="J1" s="619" t="inlineStr">
        <is>
          <t>Indoor Swimming Pool Intake</t>
        </is>
      </c>
      <c r="K1" s="619" t="inlineStr">
        <is>
          <t>Indoor Swimming Pool General</t>
        </is>
      </c>
      <c r="L1" s="619" t="inlineStr">
        <is>
          <t>Indoor Swimming Pool Cleaning</t>
        </is>
      </c>
      <c r="M1" s="619" t="inlineStr">
        <is>
          <t>CYT Main (Adjusted)</t>
        </is>
      </c>
      <c r="N1" s="619" t="inlineStr">
        <is>
          <t>CYT Cleaning</t>
        </is>
      </c>
      <c r="O1" s="619" t="inlineStr">
        <is>
          <t>AAF General</t>
        </is>
      </c>
      <c r="P1" s="619" t="inlineStr">
        <is>
          <t>LSKBB Main (Adjusted)</t>
        </is>
      </c>
      <c r="Q1" s="619" t="inlineStr">
        <is>
          <t>LSKBB Cleaning</t>
        </is>
      </c>
      <c r="R1" s="619" t="inlineStr">
        <is>
          <t>LSKBB Water Feature</t>
        </is>
      </c>
      <c r="S1" s="619" t="inlineStr">
        <is>
          <t>IAS Cooling Tower</t>
        </is>
      </c>
      <c r="T1" s="619" t="inlineStr">
        <is>
          <t>IAS Main</t>
        </is>
      </c>
      <c r="U1" s="619" t="inlineStr">
        <is>
          <t>IAS Cleaning</t>
        </is>
      </c>
      <c r="V1" s="619" t="inlineStr">
        <is>
          <t>IAS Water Feature</t>
        </is>
      </c>
      <c r="W1" s="619" t="inlineStr">
        <is>
          <t>CL Main</t>
        </is>
      </c>
      <c r="X1" s="619" t="inlineStr">
        <is>
          <t>CL Cleaning (Adjusted)</t>
        </is>
      </c>
      <c r="Y1" s="619" t="inlineStr">
        <is>
          <t>Water Sports Center</t>
        </is>
      </c>
      <c r="Z1" s="619" t="inlineStr">
        <is>
          <t>Tsang Shiu Tim Sports Center</t>
        </is>
      </c>
      <c r="AA1" s="235" t="inlineStr">
        <is>
          <t>SA Main</t>
        </is>
      </c>
      <c r="AB1" s="236" t="inlineStr">
        <is>
          <t>SA Cleaning</t>
        </is>
      </c>
      <c r="AC1" s="619" t="inlineStr">
        <is>
          <t>Irrigation around AAF area</t>
        </is>
      </c>
      <c r="AD1" s="619" t="inlineStr">
        <is>
          <t>Irrigation around GGT area</t>
        </is>
      </c>
      <c r="AE1" s="619" t="inlineStr">
        <is>
          <t xml:space="preserve">Five Restaurants at 1/F, G/F &amp; LG1 (#2) </t>
        </is>
      </c>
      <c r="AF1" s="619" t="inlineStr">
        <is>
          <t xml:space="preserve">G/F &amp; LG1's Hydrovents (#3) </t>
        </is>
      </c>
      <c r="AG1" s="619" t="inlineStr">
        <is>
          <t>G/F Starbucks</t>
        </is>
      </c>
      <c r="AH1" s="619" t="inlineStr">
        <is>
          <t xml:space="preserve">LG1 Barbershop </t>
        </is>
      </c>
      <c r="AI1" s="619" t="inlineStr">
        <is>
          <t>LG5 McDonald's</t>
        </is>
      </c>
      <c r="AJ1" s="619" t="inlineStr">
        <is>
          <t>LG5 7 Eleven</t>
        </is>
      </c>
      <c r="AK1" s="619" t="inlineStr">
        <is>
          <t>LG7 Asia Pacific</t>
        </is>
      </c>
      <c r="AL1" s="619" t="inlineStr">
        <is>
          <t xml:space="preserve">LG7 Asia Pacific Hydrovent </t>
        </is>
      </c>
      <c r="AM1" s="619" t="inlineStr">
        <is>
          <t>LG7 Gold Rice Bowl</t>
        </is>
      </c>
      <c r="AN1" s="619" t="inlineStr">
        <is>
          <t xml:space="preserve">LG7 Gold Rice Bowl Hydrovent </t>
        </is>
      </c>
      <c r="AO1" s="619" t="inlineStr">
        <is>
          <t>LG7 TT Veggie</t>
        </is>
      </c>
      <c r="AP1" s="619" t="inlineStr">
        <is>
          <t>LG7 Oliver</t>
        </is>
      </c>
      <c r="AQ1" s="619" t="inlineStr">
        <is>
          <t>Tower C UniBistro</t>
        </is>
      </c>
      <c r="AR1" s="619" t="inlineStr">
        <is>
          <t>Tower C UniBistro Hydrovent</t>
        </is>
      </c>
      <c r="AS1" s="619" t="inlineStr">
        <is>
          <t>CYT Subway</t>
        </is>
      </c>
      <c r="AT1" s="226" t="inlineStr">
        <is>
          <t>LSKBB Diners</t>
        </is>
      </c>
      <c r="AU1" s="619" t="inlineStr">
        <is>
          <t>LSKBB Pacific Coffee</t>
        </is>
      </c>
      <c r="AV1" s="619" t="inlineStr">
        <is>
          <t>LSKBB Ebenezzer</t>
        </is>
      </c>
      <c r="AW1" s="226" t="inlineStr">
        <is>
          <t>CL UniQue</t>
        </is>
      </c>
      <c r="AX1" s="619" t="inlineStr">
        <is>
          <t>SA HFT Life</t>
        </is>
      </c>
      <c r="AY1" s="619" t="inlineStr">
        <is>
          <t>UG6 G/F Kitchen</t>
        </is>
      </c>
      <c r="AZ1" s="619" t="inlineStr">
        <is>
          <t xml:space="preserve">UG6 G/F Kitchen Hydrovent </t>
        </is>
      </c>
      <c r="BA1" s="619" t="inlineStr">
        <is>
          <t>UG2 Hot Water</t>
        </is>
      </c>
      <c r="BB1" s="619" t="inlineStr">
        <is>
          <t>UG4 Hot Water</t>
        </is>
      </c>
      <c r="BC1" s="619" t="inlineStr">
        <is>
          <t xml:space="preserve">UG5 Hot Water </t>
        </is>
      </c>
      <c r="BD1" s="619" t="inlineStr">
        <is>
          <t xml:space="preserve">UG1 &amp; SKCC General </t>
        </is>
      </c>
      <c r="BE1" s="619" t="inlineStr">
        <is>
          <t>UG1 &amp; SKCC Laundry</t>
        </is>
      </c>
      <c r="BF1" s="619" t="inlineStr">
        <is>
          <t xml:space="preserve">UG1 &amp; SKCC Cleaning </t>
        </is>
      </c>
      <c r="BG1" s="619" t="inlineStr">
        <is>
          <t>UG2 General</t>
        </is>
      </c>
      <c r="BH1" s="619" t="inlineStr">
        <is>
          <t>UG2 Laundry</t>
        </is>
      </c>
      <c r="BI1" s="619" t="inlineStr">
        <is>
          <t>UG2 Cleaning</t>
        </is>
      </c>
      <c r="BJ1" s="619" t="inlineStr">
        <is>
          <t>UG3 General</t>
        </is>
      </c>
      <c r="BK1" s="619" t="inlineStr">
        <is>
          <t>UG3 Laundry</t>
        </is>
      </c>
      <c r="BL1" s="619" t="inlineStr">
        <is>
          <t>UG3 Cleaning</t>
        </is>
      </c>
      <c r="BM1" s="619" t="inlineStr">
        <is>
          <t>UG4 General</t>
        </is>
      </c>
      <c r="BN1" s="619" t="inlineStr">
        <is>
          <t>UG4 Laundry</t>
        </is>
      </c>
      <c r="BO1" s="619" t="inlineStr">
        <is>
          <t>UG4 Cleaning</t>
        </is>
      </c>
      <c r="BP1" s="619" t="inlineStr">
        <is>
          <t>UG5 General</t>
        </is>
      </c>
      <c r="BQ1" s="619" t="inlineStr">
        <is>
          <t xml:space="preserve">UG5 Laundry </t>
        </is>
      </c>
      <c r="BR1" s="619" t="inlineStr">
        <is>
          <t xml:space="preserve">UG5 Cleaning </t>
        </is>
      </c>
      <c r="BS1" s="619" t="inlineStr">
        <is>
          <t>UG6 G/F-5/F General</t>
        </is>
      </c>
      <c r="BT1" s="619" t="inlineStr">
        <is>
          <t xml:space="preserve">UG6 6/F-10/F General </t>
        </is>
      </c>
      <c r="BU1" s="619" t="inlineStr">
        <is>
          <t>UG6 Laundry</t>
        </is>
      </c>
      <c r="BV1" s="619" t="inlineStr">
        <is>
          <t>UG6 Cleaning</t>
        </is>
      </c>
      <c r="BW1" s="619" t="inlineStr">
        <is>
          <t>UG7 General</t>
        </is>
      </c>
      <c r="BX1" s="619" t="inlineStr">
        <is>
          <t>UG7 Laundry</t>
        </is>
      </c>
      <c r="BY1" s="619" t="inlineStr">
        <is>
          <t>UG7 Cleaning</t>
        </is>
      </c>
      <c r="BZ1" s="619" t="inlineStr">
        <is>
          <t>UG8 General</t>
        </is>
      </c>
      <c r="CA1" s="619" t="inlineStr">
        <is>
          <t>UG9 General</t>
        </is>
      </c>
      <c r="CB1" s="619" t="inlineStr">
        <is>
          <t>UG9 Laundry</t>
        </is>
      </c>
      <c r="CC1" s="619" t="inlineStr">
        <is>
          <t>UG9 Cleaning</t>
        </is>
      </c>
      <c r="CD1" s="619" t="inlineStr">
        <is>
          <t>GGT General</t>
        </is>
      </c>
      <c r="CE1" s="619" t="inlineStr">
        <is>
          <t>GGT Cleaning</t>
        </is>
      </c>
      <c r="CF1" s="619" t="inlineStr">
        <is>
          <t>GGT Multipurpose room</t>
        </is>
      </c>
      <c r="CG1" s="619" t="inlineStr">
        <is>
          <t>Block 9-12 Guard House</t>
        </is>
      </c>
      <c r="CH1" s="619" t="inlineStr">
        <is>
          <t>Block 9 Cleaning</t>
        </is>
      </c>
      <c r="CI1" s="619" t="inlineStr">
        <is>
          <t>Block 10 Cleaning</t>
        </is>
      </c>
      <c r="CJ1" s="619" t="inlineStr">
        <is>
          <t>Block 11 Cleaning</t>
        </is>
      </c>
      <c r="CK1" s="619" t="inlineStr">
        <is>
          <t>Block 12 Cleaning</t>
        </is>
      </c>
      <c r="CL1" s="619" t="inlineStr">
        <is>
          <t>Block P,Q,R,S Cleaning</t>
        </is>
      </c>
      <c r="CM1" s="619" t="inlineStr">
        <is>
          <t>Tower 1 Cleaning</t>
        </is>
      </c>
      <c r="CN1" s="619" t="inlineStr">
        <is>
          <t>Tower 2 G/F Laundry</t>
        </is>
      </c>
      <c r="CO1" s="619" t="inlineStr">
        <is>
          <t>Tower 2 Cleaning</t>
        </is>
      </c>
      <c r="CP1" s="619" t="inlineStr">
        <is>
          <t>Tower 3 Cleaning</t>
        </is>
      </c>
      <c r="CQ1" s="619" t="inlineStr">
        <is>
          <t>Tower 4 Cleaning</t>
        </is>
      </c>
      <c r="CR1" s="619" t="inlineStr">
        <is>
          <t>Tower 5 Housing Office</t>
        </is>
      </c>
      <c r="CS1" s="619" t="inlineStr">
        <is>
          <t>Tower 5 Cleaning</t>
        </is>
      </c>
      <c r="CT1" s="619" t="inlineStr">
        <is>
          <t>Tower 6 Cleaning</t>
        </is>
      </c>
      <c r="CU1" s="619" t="inlineStr">
        <is>
          <t>Tower 7 Cleaning</t>
        </is>
      </c>
      <c r="CV1" s="619" t="inlineStr">
        <is>
          <t>Tower 9 Cleaning</t>
        </is>
      </c>
      <c r="CW1" s="619" t="inlineStr">
        <is>
          <t>Tower 10 Cleaning</t>
        </is>
      </c>
      <c r="CX1" s="619" t="inlineStr">
        <is>
          <t>Tower 13 Cleaning</t>
        </is>
      </c>
      <c r="CY1" s="619" t="inlineStr">
        <is>
          <t>Tower 16 Cleaning</t>
        </is>
      </c>
      <c r="CZ1" s="619" t="inlineStr">
        <is>
          <t>T17 Housing Office</t>
        </is>
      </c>
      <c r="DA1" s="619" t="inlineStr">
        <is>
          <t>Tower 18 Cleaning</t>
        </is>
      </c>
      <c r="DB1" s="619" t="inlineStr">
        <is>
          <t xml:space="preserve">Tower 18 Kindergarten </t>
        </is>
      </c>
      <c r="DC1" s="619" t="inlineStr">
        <is>
          <t xml:space="preserve">Tower C Toilet + UniBistro (#4) </t>
        </is>
      </c>
      <c r="DD1" s="619" t="inlineStr">
        <is>
          <t>Tower C Refuse Room</t>
        </is>
      </c>
      <c r="DE1" s="619" t="inlineStr">
        <is>
          <t>Tower D Toilet</t>
        </is>
      </c>
      <c r="DF1" s="619" t="inlineStr">
        <is>
          <t>Tower D Refuse Room</t>
        </is>
      </c>
      <c r="DG1" s="619" t="inlineStr">
        <is>
          <t>Rubbish Room No.1 near Tower 12 (Adjusted)</t>
        </is>
      </c>
      <c r="DH1" s="619" t="inlineStr">
        <is>
          <t>Rubbish Room No.2 near Tower 19</t>
        </is>
      </c>
      <c r="DI1" s="619" t="inlineStr">
        <is>
          <t xml:space="preserve">Site B BBQ Toilet </t>
        </is>
      </c>
      <c r="DJ1" s="230" t="inlineStr">
        <is>
          <t>1/F Coffee Shop        #</t>
        </is>
      </c>
      <c r="DK1" s="230" t="inlineStr">
        <is>
          <t>Site B S.H. Rubbish Rm.</t>
        </is>
      </c>
      <c r="DL1" s="230" t="inlineStr">
        <is>
          <t>Site B Tower C Cleaning water</t>
        </is>
      </c>
      <c r="DM1" s="230" t="inlineStr">
        <is>
          <t>Site B Tower D a/c system</t>
        </is>
      </c>
      <c r="DN1" s="230" t="inlineStr">
        <is>
          <t>Site B Tower D Cleaning water</t>
        </is>
      </c>
      <c r="DO1" s="230" t="inlineStr">
        <is>
          <t>NAB G/F catering meter</t>
        </is>
      </c>
      <c r="DP1" s="230" t="inlineStr">
        <is>
          <t>IASR Kitchen water meter</t>
        </is>
      </c>
      <c r="DQ1" s="619" t="n"/>
      <c r="DR1" s="619" t="n"/>
      <c r="DS1" s="619" t="n"/>
    </row>
    <row r="2" ht="34" customFormat="1" customHeight="1" s="55">
      <c r="A2" s="65" t="inlineStr">
        <is>
          <t>New Numbers</t>
        </is>
      </c>
      <c r="B2" s="676" t="n">
        <v>1</v>
      </c>
      <c r="C2" s="676" t="n">
        <v>2</v>
      </c>
      <c r="D2" s="676" t="n">
        <v>3</v>
      </c>
      <c r="E2" s="676" t="n">
        <v>4</v>
      </c>
      <c r="F2" s="676" t="n">
        <v>5</v>
      </c>
      <c r="G2" s="676" t="n">
        <v>6</v>
      </c>
      <c r="H2" s="676" t="n">
        <v>7</v>
      </c>
      <c r="I2" s="676" t="n">
        <v>8</v>
      </c>
      <c r="J2" s="676" t="n">
        <v>9</v>
      </c>
      <c r="K2" s="676" t="n">
        <v>10</v>
      </c>
      <c r="L2" s="676" t="n">
        <v>11</v>
      </c>
      <c r="M2" s="676" t="n">
        <v>12</v>
      </c>
      <c r="N2" s="676" t="n">
        <v>13</v>
      </c>
      <c r="O2" s="676" t="n">
        <v>14</v>
      </c>
      <c r="P2" s="676" t="n">
        <v>15</v>
      </c>
      <c r="Q2" s="676" t="n">
        <v>16</v>
      </c>
      <c r="R2" s="676" t="n">
        <v>17</v>
      </c>
      <c r="S2" s="676" t="n">
        <v>18</v>
      </c>
      <c r="T2" s="676" t="n">
        <v>19</v>
      </c>
      <c r="U2" s="676" t="n">
        <v>20</v>
      </c>
      <c r="V2" s="676" t="n">
        <v>21</v>
      </c>
      <c r="W2" s="676" t="n">
        <v>22</v>
      </c>
      <c r="X2" s="676" t="n">
        <v>23</v>
      </c>
      <c r="Y2" s="676" t="n">
        <v>24</v>
      </c>
      <c r="Z2" s="676" t="n">
        <v>25</v>
      </c>
      <c r="AA2" s="676" t="n">
        <v>26</v>
      </c>
      <c r="AB2" s="676" t="n">
        <v>27</v>
      </c>
      <c r="AC2" s="676" t="n">
        <v>28</v>
      </c>
      <c r="AD2" s="676" t="n">
        <v>29</v>
      </c>
      <c r="AE2" s="676" t="n">
        <v>101</v>
      </c>
      <c r="AF2" s="676" t="n">
        <v>102</v>
      </c>
      <c r="AG2" s="676" t="inlineStr">
        <is>
          <t>103C</t>
        </is>
      </c>
      <c r="AH2" s="676" t="inlineStr">
        <is>
          <t>104C</t>
        </is>
      </c>
      <c r="AI2" s="676" t="n">
        <v>105</v>
      </c>
      <c r="AJ2" s="676" t="inlineStr">
        <is>
          <t>106C</t>
        </is>
      </c>
      <c r="AK2" s="676" t="n">
        <v>107</v>
      </c>
      <c r="AL2" s="676" t="n">
        <v>108</v>
      </c>
      <c r="AM2" s="676" t="n">
        <v>109</v>
      </c>
      <c r="AN2" s="676" t="n">
        <v>110</v>
      </c>
      <c r="AO2" s="676" t="n">
        <v>111</v>
      </c>
      <c r="AP2" s="676" t="n">
        <v>112</v>
      </c>
      <c r="AQ2" s="676" t="inlineStr">
        <is>
          <t xml:space="preserve">113C </t>
        </is>
      </c>
      <c r="AR2" s="676" t="n">
        <v>114</v>
      </c>
      <c r="AS2" s="676" t="n">
        <v>115</v>
      </c>
      <c r="AT2" s="225" t="n">
        <v>116</v>
      </c>
      <c r="AU2" s="676" t="inlineStr">
        <is>
          <t>117C</t>
        </is>
      </c>
      <c r="AV2" s="676" t="inlineStr">
        <is>
          <t>118C</t>
        </is>
      </c>
      <c r="AW2" s="225" t="n">
        <v>119</v>
      </c>
      <c r="AX2" s="676" t="n">
        <v>120</v>
      </c>
      <c r="AY2" s="676" t="n">
        <v>121</v>
      </c>
      <c r="AZ2" s="676" t="n">
        <v>122</v>
      </c>
      <c r="BA2" s="676" t="inlineStr">
        <is>
          <t>201C</t>
        </is>
      </c>
      <c r="BB2" s="676" t="inlineStr">
        <is>
          <t>202C</t>
        </is>
      </c>
      <c r="BC2" s="676" t="inlineStr">
        <is>
          <t>203C</t>
        </is>
      </c>
      <c r="BD2" s="676" t="n">
        <v>301</v>
      </c>
      <c r="BE2" s="676" t="n">
        <v>302</v>
      </c>
      <c r="BF2" s="676" t="n">
        <v>303</v>
      </c>
      <c r="BG2" s="676" t="n">
        <v>304</v>
      </c>
      <c r="BH2" s="676" t="n">
        <v>305</v>
      </c>
      <c r="BI2" s="676" t="n">
        <v>306</v>
      </c>
      <c r="BJ2" s="676" t="n">
        <v>307</v>
      </c>
      <c r="BK2" s="676" t="n">
        <v>308</v>
      </c>
      <c r="BL2" s="676" t="n">
        <v>309</v>
      </c>
      <c r="BM2" s="676" t="n">
        <v>310</v>
      </c>
      <c r="BN2" s="676" t="n">
        <v>311</v>
      </c>
      <c r="BO2" s="676" t="n">
        <v>312</v>
      </c>
      <c r="BP2" s="676" t="n">
        <v>313</v>
      </c>
      <c r="BQ2" s="676" t="n">
        <v>314</v>
      </c>
      <c r="BR2" s="676" t="n">
        <v>315</v>
      </c>
      <c r="BS2" s="676" t="n">
        <v>316</v>
      </c>
      <c r="BT2" s="676" t="n">
        <v>317</v>
      </c>
      <c r="BU2" s="676" t="n">
        <v>318</v>
      </c>
      <c r="BV2" s="676" t="n">
        <v>319</v>
      </c>
      <c r="BW2" s="676" t="n">
        <v>320</v>
      </c>
      <c r="BX2" s="676" t="n">
        <v>321</v>
      </c>
      <c r="BY2" s="676" t="n">
        <v>322</v>
      </c>
      <c r="BZ2" s="676" t="n">
        <v>323</v>
      </c>
      <c r="CA2" s="676" t="n">
        <v>324</v>
      </c>
      <c r="CB2" s="676" t="n">
        <v>325</v>
      </c>
      <c r="CC2" s="676" t="n">
        <v>326</v>
      </c>
      <c r="CD2" s="676" t="n">
        <v>327</v>
      </c>
      <c r="CE2" s="676" t="n">
        <v>328</v>
      </c>
      <c r="CF2" s="676" t="n">
        <v>329</v>
      </c>
      <c r="CG2" s="676" t="n">
        <v>401</v>
      </c>
      <c r="CH2" s="676" t="n">
        <v>402</v>
      </c>
      <c r="CI2" s="676" t="n">
        <v>403</v>
      </c>
      <c r="CJ2" s="676" t="n">
        <v>404</v>
      </c>
      <c r="CK2" s="676" t="n">
        <v>405</v>
      </c>
      <c r="CL2" s="676" t="n">
        <v>406</v>
      </c>
      <c r="CM2" s="676" t="n">
        <v>407</v>
      </c>
      <c r="CN2" s="676" t="n">
        <v>408</v>
      </c>
      <c r="CO2" s="676" t="n">
        <v>409</v>
      </c>
      <c r="CP2" s="676" t="n">
        <v>410</v>
      </c>
      <c r="CQ2" s="676" t="n">
        <v>411</v>
      </c>
      <c r="CR2" s="676" t="n">
        <v>412</v>
      </c>
      <c r="CS2" s="676" t="n">
        <v>413</v>
      </c>
      <c r="CT2" s="676" t="n">
        <v>414</v>
      </c>
      <c r="CU2" s="676" t="n">
        <v>415</v>
      </c>
      <c r="CV2" s="676" t="n">
        <v>416</v>
      </c>
      <c r="CW2" s="676" t="n">
        <v>417</v>
      </c>
      <c r="CX2" s="676" t="n">
        <v>418</v>
      </c>
      <c r="CY2" s="676" t="n">
        <v>419</v>
      </c>
      <c r="CZ2" s="676" t="n">
        <v>420</v>
      </c>
      <c r="DA2" s="676" t="n">
        <v>421</v>
      </c>
      <c r="DB2" s="676" t="n">
        <v>422</v>
      </c>
      <c r="DC2" s="676" t="n">
        <v>423</v>
      </c>
      <c r="DD2" s="676" t="n">
        <v>424</v>
      </c>
      <c r="DE2" s="676" t="n">
        <v>425</v>
      </c>
      <c r="DF2" s="676" t="n">
        <v>426</v>
      </c>
      <c r="DG2" s="676" t="n">
        <v>427</v>
      </c>
      <c r="DH2" s="676" t="n">
        <v>428</v>
      </c>
      <c r="DI2" s="676" t="n">
        <v>429</v>
      </c>
      <c r="DJ2" s="224" t="n"/>
      <c r="DK2" s="224" t="n"/>
      <c r="DL2" s="224" t="n"/>
      <c r="DM2" s="224" t="n"/>
      <c r="DN2" s="224" t="n"/>
      <c r="DO2" s="224" t="n"/>
      <c r="DP2" s="224" t="n"/>
      <c r="DQ2" s="676" t="n"/>
      <c r="DR2" s="676" t="n"/>
      <c r="DS2" s="676" t="n"/>
    </row>
    <row r="3">
      <c r="A3" s="156" t="n">
        <v>43374</v>
      </c>
    </row>
    <row r="4">
      <c r="A4" s="156" t="n">
        <v>43405</v>
      </c>
    </row>
    <row r="5">
      <c r="A5" s="156" t="n">
        <v>43435</v>
      </c>
    </row>
    <row r="6">
      <c r="A6" s="156" t="n">
        <v>43466</v>
      </c>
    </row>
    <row r="7">
      <c r="A7" s="156" t="n">
        <v>43497</v>
      </c>
    </row>
    <row r="8">
      <c r="A8" s="156" t="n">
        <v>43525</v>
      </c>
    </row>
    <row r="9">
      <c r="A9" s="156" t="n">
        <v>43556</v>
      </c>
    </row>
    <row r="10">
      <c r="A10" s="156" t="n">
        <v>43586</v>
      </c>
    </row>
    <row r="11">
      <c r="A11" s="156" t="n">
        <v>43617</v>
      </c>
    </row>
    <row r="12">
      <c r="A12" s="156" t="n">
        <v>43647</v>
      </c>
    </row>
    <row r="13">
      <c r="A13" s="156" t="n">
        <v>43678</v>
      </c>
    </row>
    <row r="14">
      <c r="A14" s="156" t="n">
        <v>43709</v>
      </c>
    </row>
    <row r="15">
      <c r="A15" s="156" t="n">
        <v>43739</v>
      </c>
    </row>
    <row r="16">
      <c r="A16" s="156" t="n">
        <v>43770</v>
      </c>
    </row>
    <row r="17">
      <c r="A17" s="156" t="n">
        <v>43800</v>
      </c>
    </row>
    <row r="18">
      <c r="A18" s="156" t="n">
        <v>43831</v>
      </c>
    </row>
    <row r="19">
      <c r="A19" s="156" t="n">
        <v>43862</v>
      </c>
    </row>
    <row r="20">
      <c r="A20" s="156" t="n">
        <v>43891</v>
      </c>
    </row>
    <row r="21">
      <c r="A21" s="156" t="n">
        <v>43922</v>
      </c>
    </row>
    <row r="22">
      <c r="A22" s="156" t="n">
        <v>43952</v>
      </c>
    </row>
    <row r="23">
      <c r="A23" s="156" t="n">
        <v>43983</v>
      </c>
    </row>
    <row r="24">
      <c r="A24" s="156" t="n">
        <v>44013</v>
      </c>
    </row>
    <row r="25">
      <c r="A25" s="156" t="n">
        <v>44044</v>
      </c>
    </row>
    <row r="26">
      <c r="A26" s="156" t="n">
        <v>44075</v>
      </c>
    </row>
    <row r="27">
      <c r="A27" s="156" t="n">
        <v>44105</v>
      </c>
    </row>
    <row r="28">
      <c r="A28" s="156" t="n">
        <v>44136</v>
      </c>
    </row>
    <row r="29">
      <c r="A29" s="156" t="n">
        <v>44166</v>
      </c>
    </row>
    <row r="30">
      <c r="A30" s="156" t="n">
        <v>44197</v>
      </c>
    </row>
    <row r="31">
      <c r="A31" s="156" t="n">
        <v>44228</v>
      </c>
    </row>
    <row r="32">
      <c r="A32" s="156" t="n">
        <v>44256</v>
      </c>
    </row>
    <row r="33">
      <c r="A33" s="156" t="n">
        <v>44287</v>
      </c>
    </row>
    <row r="34">
      <c r="A34" s="156" t="n">
        <v>44317</v>
      </c>
    </row>
    <row r="35">
      <c r="A35" s="156" t="n">
        <v>44348</v>
      </c>
    </row>
    <row r="36">
      <c r="A36" s="156" t="n">
        <v>44378</v>
      </c>
    </row>
    <row r="37">
      <c r="A37" s="156" t="n">
        <v>44409</v>
      </c>
    </row>
    <row r="38">
      <c r="A38" s="156" t="n">
        <v>44440</v>
      </c>
    </row>
    <row r="39">
      <c r="A39" s="156" t="n">
        <v>44470</v>
      </c>
    </row>
    <row r="40">
      <c r="A40" s="156" t="n">
        <v>44501</v>
      </c>
    </row>
    <row r="41">
      <c r="A41" s="156" t="n">
        <v>44531</v>
      </c>
    </row>
    <row r="42">
      <c r="A42" s="156" t="n">
        <v>44562</v>
      </c>
    </row>
    <row r="43">
      <c r="A43" s="156" t="n">
        <v>44593</v>
      </c>
    </row>
    <row r="44">
      <c r="A44" s="156" t="n">
        <v>44621</v>
      </c>
    </row>
    <row r="45">
      <c r="A45" s="156" t="n">
        <v>44652</v>
      </c>
    </row>
    <row r="46">
      <c r="A46" s="156" t="n">
        <v>44682</v>
      </c>
    </row>
    <row r="47">
      <c r="A47" s="156" t="n">
        <v>44713</v>
      </c>
    </row>
    <row r="48">
      <c r="A48" s="156" t="n">
        <v>44743</v>
      </c>
      <c r="B48" s="162" t="n">
        <v>8809</v>
      </c>
      <c r="C48" s="162" t="n">
        <v>518</v>
      </c>
      <c r="D48" s="162" t="n">
        <v>3947</v>
      </c>
      <c r="E48" s="162" t="n">
        <v>1825</v>
      </c>
      <c r="F48" s="162" t="n">
        <v>12</v>
      </c>
      <c r="G48" s="162" t="n">
        <v>76</v>
      </c>
      <c r="H48" s="162" t="n">
        <v>93</v>
      </c>
      <c r="I48" s="162" t="n">
        <v>8</v>
      </c>
      <c r="J48" s="162" t="n">
        <v>0</v>
      </c>
      <c r="K48" s="162" t="n">
        <v>36</v>
      </c>
      <c r="L48" s="162" t="n">
        <v>0</v>
      </c>
      <c r="M48" s="227" t="n"/>
      <c r="N48" s="227" t="n"/>
      <c r="P48" s="162" t="n">
        <v>110</v>
      </c>
      <c r="S48" s="162" t="n">
        <v>1608</v>
      </c>
      <c r="T48" s="162" t="n">
        <v>13</v>
      </c>
      <c r="V48" s="162" t="n">
        <v>0</v>
      </c>
      <c r="W48" s="162" t="n">
        <v>18</v>
      </c>
      <c r="X48" s="162" t="n">
        <v>7</v>
      </c>
      <c r="AC48" s="162" t="n">
        <v>75</v>
      </c>
      <c r="AE48" s="162" t="n">
        <v>2915</v>
      </c>
      <c r="AF48" s="162" t="n">
        <v>185</v>
      </c>
      <c r="AG48" s="162" t="n">
        <v>83</v>
      </c>
      <c r="AH48" s="162" t="n">
        <v>35</v>
      </c>
      <c r="AI48" s="162" t="n">
        <v>175</v>
      </c>
      <c r="AK48" s="162" t="n">
        <v>704</v>
      </c>
      <c r="AL48" s="162" t="n">
        <v>66</v>
      </c>
      <c r="AM48" s="162" t="n">
        <v>1341</v>
      </c>
      <c r="AN48" s="162" t="n">
        <v>25</v>
      </c>
      <c r="AO48" s="162" t="n">
        <v>0</v>
      </c>
      <c r="AP48" s="162" t="n">
        <v>10</v>
      </c>
      <c r="AQ48" s="162" t="n">
        <v>1289</v>
      </c>
      <c r="AY48" s="162" t="n">
        <v>29</v>
      </c>
      <c r="AZ48" s="162" t="n">
        <v>0</v>
      </c>
      <c r="BA48" s="162" t="n">
        <v>45</v>
      </c>
      <c r="BB48" s="162" t="n">
        <v>184</v>
      </c>
      <c r="BC48" s="162" t="n">
        <v>106</v>
      </c>
      <c r="BD48" s="162" t="n">
        <v>516</v>
      </c>
      <c r="BE48" s="162" t="n">
        <v>42</v>
      </c>
      <c r="BF48" s="162" t="n">
        <v>7</v>
      </c>
      <c r="BG48" s="162" t="n">
        <v>199</v>
      </c>
      <c r="BH48" s="162" t="n">
        <v>47</v>
      </c>
      <c r="BI48" s="162" t="n">
        <v>38</v>
      </c>
      <c r="BJ48" s="162" t="n">
        <v>285</v>
      </c>
      <c r="BK48" s="162" t="n">
        <v>21</v>
      </c>
      <c r="BL48" s="162" t="n">
        <v>0</v>
      </c>
      <c r="BM48" s="162" t="n">
        <v>207</v>
      </c>
      <c r="BN48" s="162" t="n">
        <v>22</v>
      </c>
      <c r="BO48" s="162" t="n">
        <v>0</v>
      </c>
      <c r="BP48" s="162" t="n">
        <v>222</v>
      </c>
      <c r="BQ48" s="162" t="n">
        <v>26</v>
      </c>
      <c r="BR48" s="162" t="n">
        <v>12</v>
      </c>
      <c r="BS48" s="162" t="n">
        <v>158</v>
      </c>
      <c r="BT48" s="162" t="n">
        <v>221</v>
      </c>
      <c r="BU48" s="162" t="n">
        <v>2</v>
      </c>
      <c r="BV48" s="162" t="n">
        <v>0</v>
      </c>
      <c r="BW48" s="162" t="n">
        <v>248</v>
      </c>
      <c r="BX48" s="162" t="n">
        <v>34</v>
      </c>
      <c r="BY48" s="162" t="n">
        <v>14</v>
      </c>
      <c r="BZ48" s="162" t="n">
        <v>153</v>
      </c>
      <c r="CA48" s="162" t="n">
        <v>19</v>
      </c>
      <c r="CB48" s="162" t="n">
        <v>12</v>
      </c>
      <c r="CC48" s="162" t="n">
        <v>20</v>
      </c>
      <c r="CD48" s="162" t="n">
        <v>579</v>
      </c>
      <c r="CG48" s="162" t="n">
        <v>14</v>
      </c>
      <c r="CH48" s="162" t="n">
        <v>5</v>
      </c>
      <c r="CI48" s="162" t="n">
        <v>0</v>
      </c>
      <c r="CJ48" s="162" t="n">
        <v>15</v>
      </c>
      <c r="CK48" s="162" t="n">
        <v>15</v>
      </c>
      <c r="CL48" s="162" t="n">
        <v>134</v>
      </c>
      <c r="CM48" s="162" t="n">
        <v>20</v>
      </c>
      <c r="CN48" s="162" t="n">
        <v>4</v>
      </c>
      <c r="CO48" s="162" t="n">
        <v>108</v>
      </c>
      <c r="CP48" s="162" t="n">
        <v>26</v>
      </c>
      <c r="CQ48" s="162" t="n">
        <v>27</v>
      </c>
      <c r="CR48" s="162" t="n">
        <v>12</v>
      </c>
      <c r="CS48" s="162" t="n">
        <v>53</v>
      </c>
      <c r="CT48" s="162" t="n">
        <v>26</v>
      </c>
      <c r="CU48" s="162" t="n">
        <v>68</v>
      </c>
      <c r="CV48" s="162" t="n">
        <v>24</v>
      </c>
      <c r="CW48" s="162" t="n">
        <v>31</v>
      </c>
      <c r="CX48" s="162" t="n">
        <v>25</v>
      </c>
      <c r="CY48" s="162" t="n">
        <v>63</v>
      </c>
      <c r="CZ48" s="162" t="n">
        <v>8</v>
      </c>
      <c r="DA48" s="162" t="n">
        <v>58</v>
      </c>
      <c r="DB48" s="162" t="n">
        <v>3</v>
      </c>
      <c r="DD48" s="162" t="n">
        <v>9</v>
      </c>
      <c r="DE48" s="162" t="n">
        <v>4</v>
      </c>
      <c r="DF48" s="162" t="n">
        <v>5</v>
      </c>
      <c r="DG48" s="162" t="n">
        <v>2</v>
      </c>
      <c r="DH48" s="162" t="n">
        <v>22</v>
      </c>
      <c r="DI48" s="162" t="n">
        <v>37</v>
      </c>
      <c r="DJ48" s="162" t="n">
        <v>288</v>
      </c>
      <c r="DK48" s="162" t="n">
        <v>0</v>
      </c>
      <c r="DL48" s="162" t="n">
        <v>0</v>
      </c>
      <c r="DM48" s="162" t="n">
        <v>0</v>
      </c>
      <c r="DN48" s="162" t="n">
        <v>1</v>
      </c>
      <c r="DO48" s="162" t="n">
        <v>77</v>
      </c>
      <c r="DP48" s="162" t="n">
        <v>130</v>
      </c>
    </row>
    <row r="49">
      <c r="A49" s="156" t="n">
        <v>44774</v>
      </c>
      <c r="B49" s="162" t="n">
        <v>9185</v>
      </c>
      <c r="C49" s="162" t="n">
        <v>1383</v>
      </c>
      <c r="D49" s="162" t="n">
        <v>3078</v>
      </c>
      <c r="E49" s="162" t="n">
        <v>2999</v>
      </c>
      <c r="F49" s="162" t="n">
        <v>13</v>
      </c>
      <c r="G49" s="162" t="n">
        <v>28</v>
      </c>
      <c r="H49" s="162" t="n">
        <v>162</v>
      </c>
      <c r="I49" s="162" t="n">
        <v>10</v>
      </c>
      <c r="J49" s="162" t="n">
        <v>0</v>
      </c>
      <c r="K49" s="162" t="n">
        <v>38</v>
      </c>
      <c r="L49" s="162" t="n">
        <v>0</v>
      </c>
      <c r="M49" s="227" t="n"/>
      <c r="N49" s="227" t="n"/>
      <c r="P49" s="162" t="n">
        <v>152</v>
      </c>
      <c r="S49" s="162" t="n">
        <v>1584</v>
      </c>
      <c r="T49" s="162" t="n">
        <v>14</v>
      </c>
      <c r="V49" s="162" t="n">
        <v>4</v>
      </c>
      <c r="W49" s="162" t="n">
        <v>16</v>
      </c>
      <c r="X49" s="162" t="n">
        <v>1</v>
      </c>
      <c r="AC49" s="162" t="n">
        <v>187</v>
      </c>
      <c r="AE49" s="162" t="n">
        <v>3013</v>
      </c>
      <c r="AF49" s="162" t="n">
        <v>209</v>
      </c>
      <c r="AG49" s="162" t="n">
        <v>105</v>
      </c>
      <c r="AH49" s="162" t="n">
        <v>38</v>
      </c>
      <c r="AI49" s="162" t="n">
        <v>175</v>
      </c>
      <c r="AK49" s="162" t="n">
        <v>823</v>
      </c>
      <c r="AL49" s="162" t="n">
        <v>62</v>
      </c>
      <c r="AM49" s="162" t="n">
        <v>1475</v>
      </c>
      <c r="AN49" s="162" t="n">
        <v>31</v>
      </c>
      <c r="AO49" s="162" t="n">
        <v>6</v>
      </c>
      <c r="AP49" s="162" t="n">
        <v>80</v>
      </c>
      <c r="AQ49" s="162" t="n">
        <v>190</v>
      </c>
      <c r="AY49" s="162" t="n">
        <v>8</v>
      </c>
      <c r="AZ49" s="162" t="n">
        <v>0</v>
      </c>
      <c r="BA49" s="162" t="n">
        <v>44</v>
      </c>
      <c r="BB49" s="162" t="n">
        <v>63</v>
      </c>
      <c r="BC49" s="162" t="n">
        <v>82</v>
      </c>
      <c r="BD49" s="162" t="n">
        <v>418</v>
      </c>
      <c r="BE49" s="162" t="n">
        <v>41</v>
      </c>
      <c r="BF49" s="162" t="n">
        <v>24</v>
      </c>
      <c r="BG49" s="162" t="n">
        <v>193</v>
      </c>
      <c r="BH49" s="162" t="n">
        <v>34</v>
      </c>
      <c r="BI49" s="162" t="n">
        <v>29</v>
      </c>
      <c r="BJ49" s="162" t="n">
        <v>255</v>
      </c>
      <c r="BK49" s="162" t="n">
        <v>23</v>
      </c>
      <c r="BL49" s="162" t="n">
        <v>0</v>
      </c>
      <c r="BM49" s="162" t="n">
        <v>179</v>
      </c>
      <c r="BN49" s="162" t="n">
        <v>24</v>
      </c>
      <c r="BO49" s="162" t="n">
        <v>1</v>
      </c>
      <c r="BP49" s="162" t="n">
        <v>176</v>
      </c>
      <c r="BQ49" s="162" t="n">
        <v>22</v>
      </c>
      <c r="BR49" s="162" t="n">
        <v>5</v>
      </c>
      <c r="BS49" s="162" t="n">
        <v>145</v>
      </c>
      <c r="BT49" s="162" t="n">
        <v>184</v>
      </c>
      <c r="BU49" s="162" t="n">
        <v>4</v>
      </c>
      <c r="BV49" s="162" t="n">
        <v>0</v>
      </c>
      <c r="BW49" s="162" t="n">
        <v>201</v>
      </c>
      <c r="BX49" s="162" t="n">
        <v>31</v>
      </c>
      <c r="BY49" s="162" t="n">
        <v>4</v>
      </c>
      <c r="BZ49" s="162" t="n">
        <v>141</v>
      </c>
      <c r="CA49" s="162" t="n">
        <v>104</v>
      </c>
      <c r="CB49" s="162" t="n">
        <v>17</v>
      </c>
      <c r="CC49" s="162" t="n">
        <v>8</v>
      </c>
      <c r="CD49" s="162" t="n">
        <v>604</v>
      </c>
      <c r="CG49" s="162" t="n">
        <v>13</v>
      </c>
      <c r="CH49" s="162" t="n">
        <v>12</v>
      </c>
      <c r="CI49" s="162" t="n">
        <v>0</v>
      </c>
      <c r="CJ49" s="162" t="n">
        <v>13</v>
      </c>
      <c r="CK49" s="162" t="n">
        <v>11</v>
      </c>
      <c r="CL49" s="162" t="n">
        <v>116</v>
      </c>
      <c r="CM49" s="162" t="n">
        <v>18</v>
      </c>
      <c r="CN49" s="162" t="n">
        <v>5</v>
      </c>
      <c r="CO49" s="162" t="n">
        <v>68</v>
      </c>
      <c r="CP49" s="162" t="n">
        <v>30</v>
      </c>
      <c r="CQ49" s="162" t="n">
        <v>30</v>
      </c>
      <c r="CR49" s="162" t="n">
        <v>11</v>
      </c>
      <c r="CS49" s="162" t="n">
        <v>18</v>
      </c>
      <c r="CT49" s="162" t="n">
        <v>20</v>
      </c>
      <c r="CU49" s="162" t="n">
        <v>43</v>
      </c>
      <c r="CV49" s="162" t="n">
        <v>24</v>
      </c>
      <c r="CW49" s="162" t="n">
        <v>23</v>
      </c>
      <c r="CX49" s="162" t="n">
        <v>22</v>
      </c>
      <c r="CY49" s="162" t="n">
        <v>36</v>
      </c>
      <c r="CZ49" s="162" t="n">
        <v>4</v>
      </c>
      <c r="DA49" s="162" t="n">
        <v>47</v>
      </c>
      <c r="DB49" s="162" t="n">
        <v>0</v>
      </c>
      <c r="DD49" s="162" t="n">
        <v>5</v>
      </c>
      <c r="DE49" s="162" t="n">
        <v>4</v>
      </c>
      <c r="DF49" s="162" t="n">
        <v>7</v>
      </c>
      <c r="DG49" s="162" t="n">
        <v>4</v>
      </c>
      <c r="DH49" s="162" t="n">
        <v>25</v>
      </c>
      <c r="DI49" s="162" t="n">
        <v>28</v>
      </c>
      <c r="DJ49" s="162" t="n">
        <v>301</v>
      </c>
      <c r="DK49" s="162" t="n">
        <v>0</v>
      </c>
      <c r="DL49" s="162" t="n">
        <v>0</v>
      </c>
      <c r="DM49" s="162" t="n">
        <v>0</v>
      </c>
      <c r="DN49" s="162" t="n">
        <v>2</v>
      </c>
      <c r="DO49" s="162" t="n">
        <v>189</v>
      </c>
      <c r="DP49" s="162" t="n">
        <v>166</v>
      </c>
    </row>
    <row r="50">
      <c r="A50" s="156" t="n">
        <v>44805</v>
      </c>
      <c r="B50" s="162" t="n">
        <v>9077</v>
      </c>
      <c r="C50" s="162" t="n">
        <v>597</v>
      </c>
      <c r="D50" s="162" t="n">
        <v>3696</v>
      </c>
      <c r="E50" s="162" t="n">
        <v>3170</v>
      </c>
      <c r="F50" s="162" t="n">
        <v>13</v>
      </c>
      <c r="G50" s="162" t="n">
        <v>66</v>
      </c>
      <c r="H50" s="162" t="n">
        <v>197</v>
      </c>
      <c r="I50" s="162" t="n">
        <v>9</v>
      </c>
      <c r="J50" s="162" t="n">
        <v>0</v>
      </c>
      <c r="K50" s="162" t="n">
        <v>36</v>
      </c>
      <c r="L50" s="162" t="n">
        <v>0</v>
      </c>
      <c r="M50" s="227" t="n"/>
      <c r="N50" s="227" t="n"/>
      <c r="P50" s="162" t="n">
        <v>241</v>
      </c>
      <c r="S50" s="162" t="n">
        <v>1794</v>
      </c>
      <c r="T50" s="162" t="n">
        <v>17</v>
      </c>
      <c r="V50" s="162" t="n">
        <v>0</v>
      </c>
      <c r="W50" s="162" t="n">
        <v>24</v>
      </c>
      <c r="X50" s="162" t="n">
        <v>8</v>
      </c>
      <c r="AC50" s="162" t="n">
        <v>229</v>
      </c>
      <c r="AE50" s="162" t="n">
        <v>4680</v>
      </c>
      <c r="AF50" s="162" t="n">
        <v>241</v>
      </c>
      <c r="AG50" s="162" t="n">
        <v>187</v>
      </c>
      <c r="AH50" s="162" t="n">
        <v>40</v>
      </c>
      <c r="AI50" s="162" t="n">
        <v>152</v>
      </c>
      <c r="AK50" s="162" t="n">
        <v>1193</v>
      </c>
      <c r="AL50" s="162" t="n">
        <v>5</v>
      </c>
      <c r="AM50" s="162" t="n">
        <v>2054</v>
      </c>
      <c r="AN50" s="162" t="n">
        <v>32</v>
      </c>
      <c r="AO50" s="162" t="n">
        <v>106</v>
      </c>
      <c r="AP50" s="162" t="n">
        <v>134</v>
      </c>
      <c r="AQ50" s="162" t="n">
        <v>218</v>
      </c>
      <c r="AY50" s="162" t="n">
        <v>25</v>
      </c>
      <c r="AZ50" s="162" t="n">
        <v>0</v>
      </c>
      <c r="BA50" s="162" t="n">
        <v>216</v>
      </c>
      <c r="BB50" s="162" t="n">
        <v>0</v>
      </c>
      <c r="BC50" s="162" t="n">
        <v>324</v>
      </c>
      <c r="BD50" s="162" t="n">
        <v>1341</v>
      </c>
      <c r="BE50" s="162" t="n">
        <v>151</v>
      </c>
      <c r="BF50" s="162" t="n">
        <v>24</v>
      </c>
      <c r="BG50" s="162" t="n">
        <v>835</v>
      </c>
      <c r="BH50" s="162" t="n">
        <v>138</v>
      </c>
      <c r="BI50" s="162" t="n">
        <v>25</v>
      </c>
      <c r="BJ50" s="162" t="n">
        <v>1065</v>
      </c>
      <c r="BK50" s="162" t="n">
        <v>138</v>
      </c>
      <c r="BL50" s="162" t="n">
        <v>0</v>
      </c>
      <c r="BM50" s="162" t="n">
        <v>842</v>
      </c>
      <c r="BN50" s="162" t="n">
        <v>130</v>
      </c>
      <c r="BO50" s="162" t="n">
        <v>4</v>
      </c>
      <c r="BP50" s="162" t="n">
        <v>794</v>
      </c>
      <c r="BQ50" s="162" t="n">
        <v>118</v>
      </c>
      <c r="BR50" s="162" t="n">
        <v>7</v>
      </c>
      <c r="BS50" s="162" t="n">
        <v>600</v>
      </c>
      <c r="BT50" s="162" t="n">
        <v>540</v>
      </c>
      <c r="BU50" s="162" t="n">
        <v>116</v>
      </c>
      <c r="BV50" s="162" t="n">
        <v>0</v>
      </c>
      <c r="BW50" s="162" t="n">
        <v>779</v>
      </c>
      <c r="BX50" s="162" t="n">
        <v>118</v>
      </c>
      <c r="BY50" s="162" t="n">
        <v>11</v>
      </c>
      <c r="BZ50" s="162" t="n">
        <v>921</v>
      </c>
      <c r="CA50" s="162" t="n">
        <v>78</v>
      </c>
      <c r="CB50" s="162" t="n">
        <v>94</v>
      </c>
      <c r="CC50" s="162" t="n">
        <v>17</v>
      </c>
      <c r="CD50" s="162" t="n">
        <v>1021</v>
      </c>
      <c r="CG50" s="162" t="n">
        <v>14</v>
      </c>
      <c r="CH50" s="162" t="n">
        <v>1</v>
      </c>
      <c r="CI50" s="162" t="n">
        <v>1</v>
      </c>
      <c r="CJ50" s="162" t="n">
        <v>52</v>
      </c>
      <c r="CK50" s="162" t="n">
        <v>52</v>
      </c>
      <c r="CL50" s="162" t="n">
        <v>135</v>
      </c>
      <c r="CM50" s="162" t="n">
        <v>20</v>
      </c>
      <c r="CN50" s="162" t="n">
        <v>5</v>
      </c>
      <c r="CO50" s="162" t="n">
        <v>96</v>
      </c>
      <c r="CP50" s="162" t="n">
        <v>25</v>
      </c>
      <c r="CQ50" s="162" t="n">
        <v>40</v>
      </c>
      <c r="CR50" s="162" t="n">
        <v>9</v>
      </c>
      <c r="CS50" s="162" t="n">
        <v>24</v>
      </c>
      <c r="CT50" s="162" t="n">
        <v>29</v>
      </c>
      <c r="CU50" s="162" t="n">
        <v>41</v>
      </c>
      <c r="CV50" s="162" t="n">
        <v>38</v>
      </c>
      <c r="CW50" s="162" t="n">
        <v>41</v>
      </c>
      <c r="CX50" s="162" t="n">
        <v>36</v>
      </c>
      <c r="CY50" s="162" t="n">
        <v>62</v>
      </c>
      <c r="CZ50" s="162" t="n">
        <v>6</v>
      </c>
      <c r="DA50" s="162" t="n">
        <v>36</v>
      </c>
      <c r="DB50" s="162" t="n">
        <v>5</v>
      </c>
      <c r="DD50" s="162" t="n">
        <v>6</v>
      </c>
      <c r="DE50" s="162" t="n">
        <v>4</v>
      </c>
      <c r="DF50" s="162" t="n">
        <v>8</v>
      </c>
      <c r="DG50" s="162" t="n">
        <v>3</v>
      </c>
      <c r="DH50" s="162" t="n">
        <v>32</v>
      </c>
      <c r="DI50" s="162" t="n">
        <v>56</v>
      </c>
      <c r="DJ50" s="162" t="n">
        <v>488</v>
      </c>
      <c r="DK50" s="162" t="n">
        <v>0</v>
      </c>
      <c r="DL50" s="162" t="n">
        <v>0</v>
      </c>
      <c r="DM50" s="162" t="n">
        <v>0</v>
      </c>
      <c r="DN50" s="162" t="n">
        <v>3</v>
      </c>
      <c r="DO50" s="162" t="n">
        <v>378</v>
      </c>
      <c r="DP50" s="162" t="n">
        <v>185</v>
      </c>
    </row>
    <row r="51">
      <c r="A51" s="156" t="n">
        <v>44835</v>
      </c>
      <c r="B51" s="162" t="n">
        <v>8282</v>
      </c>
      <c r="C51" s="162" t="n">
        <v>0</v>
      </c>
      <c r="D51" s="162" t="n">
        <v>3343</v>
      </c>
      <c r="E51" s="162" t="n">
        <v>3167</v>
      </c>
      <c r="F51" s="162" t="n">
        <v>12</v>
      </c>
      <c r="G51" s="162" t="n">
        <v>20</v>
      </c>
      <c r="H51" s="162" t="n">
        <v>4166</v>
      </c>
      <c r="I51" s="162" t="n">
        <v>6</v>
      </c>
      <c r="J51" s="162" t="n">
        <v>23</v>
      </c>
      <c r="K51" s="162" t="n">
        <v>54</v>
      </c>
      <c r="L51" s="162" t="n">
        <v>0</v>
      </c>
      <c r="M51" s="227" t="n"/>
      <c r="N51" s="227" t="n"/>
      <c r="P51" s="162" t="n">
        <v>419</v>
      </c>
      <c r="S51" s="162" t="n">
        <v>594</v>
      </c>
      <c r="T51" s="162" t="n">
        <v>17</v>
      </c>
      <c r="V51" s="162" t="n">
        <v>1</v>
      </c>
      <c r="W51" s="162" t="n">
        <v>67</v>
      </c>
      <c r="X51" s="162" t="n">
        <v>11</v>
      </c>
      <c r="AC51" s="162" t="n">
        <v>470</v>
      </c>
      <c r="AE51" s="162" t="n">
        <v>5482</v>
      </c>
      <c r="AF51" s="162" t="n">
        <v>202</v>
      </c>
      <c r="AG51" s="162" t="n">
        <v>182</v>
      </c>
      <c r="AH51" s="162" t="n">
        <v>40</v>
      </c>
      <c r="AI51" s="162" t="n">
        <v>171</v>
      </c>
      <c r="AK51" s="162" t="n">
        <v>1317</v>
      </c>
      <c r="AL51" s="162" t="n">
        <v>4</v>
      </c>
      <c r="AM51" s="162" t="n">
        <v>2044</v>
      </c>
      <c r="AN51" s="162" t="n">
        <v>26</v>
      </c>
      <c r="AO51" s="162" t="n">
        <v>110</v>
      </c>
      <c r="AP51" s="162" t="n">
        <v>23</v>
      </c>
      <c r="AQ51" s="162" t="n">
        <v>143</v>
      </c>
      <c r="AY51" s="162" t="n">
        <v>23</v>
      </c>
      <c r="AZ51" s="162" t="n">
        <v>0</v>
      </c>
      <c r="BA51" s="162" t="n">
        <v>365</v>
      </c>
      <c r="BB51" s="162" t="n">
        <v>0</v>
      </c>
      <c r="BC51" s="162" t="n">
        <v>458</v>
      </c>
      <c r="BD51" s="162" t="n">
        <v>1657</v>
      </c>
      <c r="BE51" s="162" t="n">
        <v>160</v>
      </c>
      <c r="BF51" s="162" t="n">
        <v>29</v>
      </c>
      <c r="BG51" s="162" t="n">
        <v>1056</v>
      </c>
      <c r="BH51" s="162" t="n">
        <v>136</v>
      </c>
      <c r="BI51" s="162" t="n">
        <v>21</v>
      </c>
      <c r="BJ51" s="162" t="n">
        <v>1228</v>
      </c>
      <c r="BK51" s="162" t="n">
        <v>134</v>
      </c>
      <c r="BL51" s="162" t="n">
        <v>0</v>
      </c>
      <c r="BM51" s="162" t="n">
        <v>1031</v>
      </c>
      <c r="BN51" s="162" t="n">
        <v>145</v>
      </c>
      <c r="BO51" s="162" t="n">
        <v>4</v>
      </c>
      <c r="BP51" s="162" t="n">
        <v>991</v>
      </c>
      <c r="BQ51" s="162" t="n">
        <v>124</v>
      </c>
      <c r="BR51" s="162" t="n">
        <v>8</v>
      </c>
      <c r="BS51" s="162" t="n">
        <v>700</v>
      </c>
      <c r="BT51" s="162" t="n">
        <v>721</v>
      </c>
      <c r="BU51" s="162" t="n">
        <v>172</v>
      </c>
      <c r="BV51" s="162" t="n">
        <v>0</v>
      </c>
      <c r="BW51" s="162" t="n">
        <v>867</v>
      </c>
      <c r="BX51" s="162" t="n">
        <v>116</v>
      </c>
      <c r="BY51" s="162" t="n">
        <v>32</v>
      </c>
      <c r="BZ51" s="162" t="n">
        <v>1116</v>
      </c>
      <c r="CA51" s="162" t="n">
        <v>31</v>
      </c>
      <c r="CB51" s="162" t="n">
        <v>98</v>
      </c>
      <c r="CC51" s="162" t="n">
        <v>15</v>
      </c>
      <c r="CD51" s="162" t="n">
        <v>939</v>
      </c>
      <c r="CG51" s="162" t="n">
        <v>10</v>
      </c>
      <c r="CH51" s="162" t="n">
        <v>1</v>
      </c>
      <c r="CI51" s="162" t="n">
        <v>4</v>
      </c>
      <c r="CJ51" s="162" t="n">
        <v>15</v>
      </c>
      <c r="CK51" s="162" t="n">
        <v>19</v>
      </c>
      <c r="CL51" s="162" t="n">
        <v>138</v>
      </c>
      <c r="CM51" s="162" t="n">
        <v>18</v>
      </c>
      <c r="CN51" s="162" t="n">
        <v>5</v>
      </c>
      <c r="CO51" s="162" t="n">
        <v>92</v>
      </c>
      <c r="CP51" s="162" t="n">
        <v>28</v>
      </c>
      <c r="CQ51" s="162" t="n">
        <v>34</v>
      </c>
      <c r="CR51" s="162" t="n">
        <v>8</v>
      </c>
      <c r="CS51" s="162" t="n">
        <v>20</v>
      </c>
      <c r="CT51" s="162" t="n">
        <v>21</v>
      </c>
      <c r="CU51" s="162" t="n">
        <v>36</v>
      </c>
      <c r="CV51" s="162" t="n">
        <v>26</v>
      </c>
      <c r="CW51" s="162" t="n">
        <v>36</v>
      </c>
      <c r="CX51" s="162" t="n">
        <v>35</v>
      </c>
      <c r="CY51" s="162" t="n">
        <v>54</v>
      </c>
      <c r="CZ51" s="162" t="n">
        <v>5</v>
      </c>
      <c r="DA51" s="162" t="n">
        <v>24</v>
      </c>
      <c r="DB51" s="162" t="n">
        <v>2</v>
      </c>
      <c r="DD51" s="162" t="n">
        <v>5</v>
      </c>
      <c r="DE51" s="162" t="n">
        <v>3</v>
      </c>
      <c r="DF51" s="162" t="n">
        <v>7</v>
      </c>
      <c r="DG51" s="162" t="n">
        <v>2</v>
      </c>
      <c r="DH51" s="162" t="n">
        <v>27</v>
      </c>
      <c r="DI51" s="162" t="n">
        <v>61</v>
      </c>
      <c r="DJ51" s="162" t="n">
        <v>450</v>
      </c>
      <c r="DK51" s="162" t="n">
        <v>0</v>
      </c>
      <c r="DL51" s="162" t="n">
        <v>0</v>
      </c>
      <c r="DM51" s="162" t="n">
        <v>0</v>
      </c>
      <c r="DN51" s="162" t="n">
        <v>3</v>
      </c>
      <c r="DO51" s="162" t="n">
        <v>391</v>
      </c>
      <c r="DP51" s="162" t="n">
        <v>183</v>
      </c>
    </row>
    <row r="52">
      <c r="A52" s="156" t="n">
        <v>44866</v>
      </c>
      <c r="B52" s="162" t="n">
        <v>6183</v>
      </c>
      <c r="C52" s="162" t="n">
        <v>2478</v>
      </c>
      <c r="D52" s="162" t="n">
        <v>2963</v>
      </c>
      <c r="E52" s="162" t="n">
        <v>3119</v>
      </c>
      <c r="F52" s="162" t="n">
        <v>22</v>
      </c>
      <c r="G52" s="162" t="n">
        <v>230</v>
      </c>
      <c r="H52" s="162" t="n">
        <v>120</v>
      </c>
      <c r="I52" s="162" t="n">
        <v>1</v>
      </c>
      <c r="J52" s="162" t="n">
        <v>0</v>
      </c>
      <c r="K52" s="162" t="n">
        <v>204</v>
      </c>
      <c r="L52" s="162" t="n">
        <v>0</v>
      </c>
      <c r="M52" s="227" t="n"/>
      <c r="N52" s="227" t="n"/>
      <c r="P52" s="162" t="n">
        <v>171</v>
      </c>
      <c r="S52" s="162" t="n">
        <v>1490</v>
      </c>
      <c r="T52" s="162" t="n">
        <v>16</v>
      </c>
      <c r="V52" s="162" t="n">
        <v>3</v>
      </c>
      <c r="W52" s="162" t="n">
        <v>35</v>
      </c>
      <c r="X52" s="162" t="n">
        <v>9</v>
      </c>
      <c r="AC52" s="162" t="n">
        <v>271</v>
      </c>
      <c r="AE52" s="162" t="n">
        <v>4891</v>
      </c>
      <c r="AF52" s="162" t="n">
        <v>258</v>
      </c>
      <c r="AG52" s="162" t="n">
        <v>171</v>
      </c>
      <c r="AH52" s="162" t="n">
        <v>49</v>
      </c>
      <c r="AI52" s="162" t="n">
        <v>153</v>
      </c>
      <c r="AK52" s="162" t="n">
        <v>1041</v>
      </c>
      <c r="AL52" s="162" t="n">
        <v>4</v>
      </c>
      <c r="AM52" s="162" t="n">
        <v>1822</v>
      </c>
      <c r="AN52" s="162" t="n">
        <v>38</v>
      </c>
      <c r="AO52" s="162" t="n">
        <v>112</v>
      </c>
      <c r="AP52" s="162" t="n">
        <v>202</v>
      </c>
      <c r="AQ52" s="162" t="n">
        <v>122</v>
      </c>
      <c r="AY52" s="162" t="n">
        <v>17</v>
      </c>
      <c r="AZ52" s="162" t="n">
        <v>0</v>
      </c>
      <c r="BA52" s="162" t="n">
        <v>416</v>
      </c>
      <c r="BB52" s="162" t="n">
        <v>0</v>
      </c>
      <c r="BC52" s="162" t="n">
        <v>533</v>
      </c>
      <c r="BD52" s="223">
        <f>SUM(BD55:BD59)/5</f>
        <v/>
      </c>
      <c r="BE52" s="162" t="n">
        <v>162</v>
      </c>
      <c r="BF52" s="162" t="n">
        <v>31</v>
      </c>
      <c r="BG52" s="162" t="n">
        <v>1055</v>
      </c>
      <c r="BH52" s="162" t="n">
        <v>137</v>
      </c>
      <c r="BI52" s="162" t="n">
        <v>3</v>
      </c>
      <c r="BJ52" s="162" t="n">
        <v>1269</v>
      </c>
      <c r="BK52" s="162" t="n">
        <v>132</v>
      </c>
      <c r="BL52" s="162" t="n">
        <v>0</v>
      </c>
      <c r="BM52" s="162" t="n">
        <v>1071</v>
      </c>
      <c r="BN52" s="162" t="n">
        <v>142</v>
      </c>
      <c r="BO52" s="162" t="n">
        <v>0</v>
      </c>
      <c r="BP52" s="162" t="n">
        <v>1015</v>
      </c>
      <c r="BQ52" s="162" t="n">
        <v>125</v>
      </c>
      <c r="BR52" s="162" t="n">
        <v>6</v>
      </c>
      <c r="BS52" s="162" t="n">
        <v>754</v>
      </c>
      <c r="BT52" s="162" t="n">
        <v>734</v>
      </c>
      <c r="BU52" s="162" t="n">
        <v>178</v>
      </c>
      <c r="BV52" s="162" t="n">
        <v>0</v>
      </c>
      <c r="BW52" s="162" t="n">
        <v>886</v>
      </c>
      <c r="BX52" s="162" t="n">
        <v>115</v>
      </c>
      <c r="BY52" s="162" t="n">
        <v>16</v>
      </c>
      <c r="BZ52" s="162" t="n">
        <v>1125</v>
      </c>
      <c r="CA52" s="162" t="n">
        <v>33</v>
      </c>
      <c r="CB52" s="162" t="n">
        <v>102</v>
      </c>
      <c r="CC52" s="162" t="n">
        <v>11</v>
      </c>
      <c r="CD52" s="162" t="n">
        <v>996</v>
      </c>
      <c r="CG52" s="162" t="n">
        <v>7</v>
      </c>
      <c r="CH52" s="162" t="n">
        <v>1</v>
      </c>
      <c r="CI52" s="162" t="n">
        <v>1</v>
      </c>
      <c r="CJ52" s="162" t="n">
        <v>15</v>
      </c>
      <c r="CK52" s="162" t="n">
        <v>5</v>
      </c>
      <c r="CL52" s="162" t="n">
        <v>98</v>
      </c>
      <c r="CM52" s="162" t="n">
        <v>11</v>
      </c>
      <c r="CN52" s="162" t="n">
        <v>4</v>
      </c>
      <c r="CO52" s="162" t="n">
        <v>50</v>
      </c>
      <c r="CP52" s="162" t="n">
        <v>25</v>
      </c>
      <c r="CQ52" s="162" t="n">
        <v>27</v>
      </c>
      <c r="CR52" s="162" t="n">
        <v>6</v>
      </c>
      <c r="CS52" s="162" t="n">
        <v>10</v>
      </c>
      <c r="CT52" s="162" t="n">
        <v>17</v>
      </c>
      <c r="CU52" s="162" t="n">
        <v>32</v>
      </c>
      <c r="CV52" s="162" t="n">
        <v>98</v>
      </c>
      <c r="CW52" s="162" t="n">
        <v>25</v>
      </c>
      <c r="CX52" s="162" t="n">
        <v>113</v>
      </c>
      <c r="CY52" s="162" t="n">
        <v>136</v>
      </c>
      <c r="CZ52" s="162" t="n">
        <v>7</v>
      </c>
      <c r="DA52" s="162" t="n">
        <v>24</v>
      </c>
      <c r="DB52" s="162" t="n">
        <v>2</v>
      </c>
      <c r="DD52" s="162" t="n">
        <v>6</v>
      </c>
      <c r="DE52" s="162" t="n">
        <v>3</v>
      </c>
      <c r="DF52" s="162" t="n">
        <v>11</v>
      </c>
      <c r="DG52" s="162" t="n">
        <v>2</v>
      </c>
      <c r="DH52" s="162" t="n">
        <v>19</v>
      </c>
      <c r="DI52" s="162" t="n">
        <v>42</v>
      </c>
      <c r="DJ52" s="162" t="n">
        <v>526</v>
      </c>
      <c r="DK52" s="162" t="n">
        <v>0</v>
      </c>
      <c r="DL52" s="162" t="n">
        <v>0</v>
      </c>
      <c r="DM52" s="162" t="n">
        <v>0</v>
      </c>
      <c r="DN52" s="162" t="n">
        <v>2</v>
      </c>
      <c r="DO52" s="162" t="n">
        <v>366</v>
      </c>
      <c r="DP52" s="162" t="n">
        <v>170</v>
      </c>
    </row>
    <row r="53">
      <c r="A53" s="156" t="n">
        <v>44896</v>
      </c>
      <c r="B53" s="162" t="n">
        <v>819</v>
      </c>
      <c r="C53" s="162" t="n">
        <v>1392</v>
      </c>
      <c r="D53" s="162" t="n">
        <v>2804</v>
      </c>
      <c r="E53" s="162" t="n">
        <v>2856</v>
      </c>
      <c r="F53" s="162" t="n">
        <v>31</v>
      </c>
      <c r="G53" s="162" t="n">
        <v>20</v>
      </c>
      <c r="H53" s="162" t="n">
        <v>20</v>
      </c>
      <c r="I53" s="162" t="n">
        <v>2</v>
      </c>
      <c r="J53" s="162" t="n">
        <v>0</v>
      </c>
      <c r="K53" s="162" t="n">
        <v>146</v>
      </c>
      <c r="L53" s="162" t="n">
        <v>0</v>
      </c>
      <c r="M53" s="227" t="n"/>
      <c r="N53" s="227" t="n"/>
      <c r="P53" s="162" t="n">
        <v>206</v>
      </c>
      <c r="S53" s="162" t="n">
        <v>302</v>
      </c>
      <c r="T53" s="162" t="n">
        <v>14</v>
      </c>
      <c r="V53" s="162" t="n">
        <v>0</v>
      </c>
      <c r="W53" s="162" t="n">
        <v>38</v>
      </c>
      <c r="X53" s="162" t="n">
        <v>8</v>
      </c>
      <c r="AC53" s="162" t="n">
        <v>256</v>
      </c>
      <c r="AE53" s="162" t="n">
        <v>3903</v>
      </c>
      <c r="AF53" s="162" t="n">
        <v>363</v>
      </c>
      <c r="AG53" s="162" t="n">
        <v>94</v>
      </c>
      <c r="AH53" s="162" t="n">
        <v>39</v>
      </c>
      <c r="AI53" s="162" t="n">
        <v>142</v>
      </c>
      <c r="AK53" s="162" t="n">
        <v>955</v>
      </c>
      <c r="AL53" s="162" t="n">
        <v>2</v>
      </c>
      <c r="AM53" s="162" t="n">
        <v>1497</v>
      </c>
      <c r="AN53" s="162" t="n">
        <v>31</v>
      </c>
      <c r="AO53" s="162" t="n">
        <v>92</v>
      </c>
      <c r="AP53" s="162" t="n">
        <v>63</v>
      </c>
      <c r="AQ53" s="162" t="n">
        <v>126</v>
      </c>
      <c r="AY53" s="162" t="n">
        <v>205</v>
      </c>
      <c r="AZ53" s="162" t="n">
        <v>0</v>
      </c>
      <c r="BA53" s="162" t="n">
        <v>471</v>
      </c>
      <c r="BB53" s="162" t="n">
        <v>0</v>
      </c>
      <c r="BC53" s="162" t="n">
        <v>480</v>
      </c>
      <c r="BD53" s="223">
        <f>SUM(BD56:BD60)/5</f>
        <v/>
      </c>
      <c r="BE53" s="162" t="n">
        <v>146</v>
      </c>
      <c r="BF53" s="162" t="n">
        <v>98</v>
      </c>
      <c r="BG53" s="162" t="n">
        <v>1011</v>
      </c>
      <c r="BH53" s="162" t="n">
        <v>127</v>
      </c>
      <c r="BI53" s="162" t="n">
        <v>3</v>
      </c>
      <c r="BJ53" s="162" t="n">
        <v>1240</v>
      </c>
      <c r="BK53" s="162" t="n">
        <v>128</v>
      </c>
      <c r="BL53" s="162" t="n">
        <v>0</v>
      </c>
      <c r="BM53" s="162" t="n">
        <v>1041</v>
      </c>
      <c r="BN53" s="162" t="n">
        <v>126</v>
      </c>
      <c r="BO53" s="162" t="n">
        <v>4</v>
      </c>
      <c r="BP53" s="162" t="n">
        <v>928</v>
      </c>
      <c r="BQ53" s="162" t="n">
        <v>106</v>
      </c>
      <c r="BR53" s="162" t="n">
        <v>5</v>
      </c>
      <c r="BS53" s="162" t="n">
        <v>723</v>
      </c>
      <c r="BT53" s="162" t="n">
        <v>633</v>
      </c>
      <c r="BU53" s="162" t="n">
        <v>162</v>
      </c>
      <c r="BV53" s="162" t="n">
        <v>0</v>
      </c>
      <c r="BW53" s="162" t="n">
        <v>843</v>
      </c>
      <c r="BX53" s="162" t="n">
        <v>114</v>
      </c>
      <c r="BY53" s="162" t="n">
        <v>27</v>
      </c>
      <c r="BZ53" s="162" t="n">
        <v>937</v>
      </c>
      <c r="CA53" s="162" t="n">
        <v>40</v>
      </c>
      <c r="CB53" s="162" t="n">
        <v>90</v>
      </c>
      <c r="CC53" s="162" t="n">
        <v>13</v>
      </c>
      <c r="CD53" s="162" t="n">
        <v>884</v>
      </c>
      <c r="CG53" s="162" t="n">
        <v>10</v>
      </c>
      <c r="CH53" s="162" t="n">
        <v>0</v>
      </c>
      <c r="CI53" s="162" t="n">
        <v>0</v>
      </c>
      <c r="CJ53" s="162" t="n">
        <v>20</v>
      </c>
      <c r="CK53" s="162" t="n">
        <v>15</v>
      </c>
      <c r="CL53" s="162" t="n">
        <v>129</v>
      </c>
      <c r="CM53" s="162" t="n">
        <v>12</v>
      </c>
      <c r="CN53" s="162" t="n">
        <v>4</v>
      </c>
      <c r="CO53" s="162" t="n">
        <v>78</v>
      </c>
      <c r="CP53" s="162" t="n">
        <v>22</v>
      </c>
      <c r="CQ53" s="162" t="n">
        <v>38</v>
      </c>
      <c r="CR53" s="162" t="n">
        <v>9</v>
      </c>
      <c r="CS53" s="162" t="n">
        <v>67</v>
      </c>
      <c r="CT53" s="162" t="n">
        <v>22</v>
      </c>
      <c r="CU53" s="162" t="n">
        <v>32</v>
      </c>
      <c r="CV53" s="162" t="n">
        <v>25</v>
      </c>
      <c r="CW53" s="162" t="n">
        <v>36</v>
      </c>
      <c r="CX53" s="162" t="n">
        <v>58</v>
      </c>
      <c r="CY53" s="162" t="n">
        <v>35</v>
      </c>
      <c r="CZ53" s="162" t="n">
        <v>5</v>
      </c>
      <c r="DA53" s="162" t="n">
        <v>18</v>
      </c>
      <c r="DB53" s="162" t="n">
        <v>2</v>
      </c>
      <c r="DD53" s="162" t="n">
        <v>4</v>
      </c>
      <c r="DE53" s="162" t="n">
        <v>3</v>
      </c>
      <c r="DF53" s="162" t="n">
        <v>10</v>
      </c>
      <c r="DG53" s="162" t="n">
        <v>3</v>
      </c>
      <c r="DH53" s="162" t="n">
        <v>17</v>
      </c>
      <c r="DI53" s="162" t="n">
        <v>38</v>
      </c>
      <c r="DJ53" s="162" t="n">
        <v>366</v>
      </c>
      <c r="DK53" s="162" t="n">
        <v>0</v>
      </c>
      <c r="DL53" s="162" t="n">
        <v>0</v>
      </c>
      <c r="DM53" s="162" t="n">
        <v>0</v>
      </c>
      <c r="DN53" s="162" t="n">
        <v>2</v>
      </c>
      <c r="DO53" s="162" t="n">
        <v>266</v>
      </c>
      <c r="DP53" s="162" t="n">
        <v>209</v>
      </c>
    </row>
    <row r="54">
      <c r="A54" s="156" t="n">
        <v>44927</v>
      </c>
      <c r="B54" s="162" t="n">
        <v>781</v>
      </c>
      <c r="C54" s="162" t="n">
        <v>1569</v>
      </c>
      <c r="D54" s="162" t="n">
        <v>2897</v>
      </c>
      <c r="E54" s="162" t="n">
        <v>2984</v>
      </c>
      <c r="F54" s="162" t="n">
        <v>27</v>
      </c>
      <c r="G54" s="162" t="n">
        <v>0</v>
      </c>
      <c r="H54" s="162" t="n">
        <v>11</v>
      </c>
      <c r="I54" s="162" t="n">
        <v>0</v>
      </c>
      <c r="J54" s="162" t="n">
        <v>0</v>
      </c>
      <c r="K54" s="162" t="n">
        <v>131</v>
      </c>
      <c r="L54" s="162" t="n">
        <v>0</v>
      </c>
      <c r="M54" s="227" t="n"/>
      <c r="N54" s="227" t="n"/>
      <c r="P54" s="162" t="n">
        <v>123</v>
      </c>
      <c r="S54" s="162" t="n">
        <v>312</v>
      </c>
      <c r="T54" s="162" t="n">
        <v>12</v>
      </c>
      <c r="V54" s="162" t="n">
        <v>3</v>
      </c>
      <c r="W54" s="162" t="n">
        <v>69</v>
      </c>
      <c r="X54" s="162" t="n">
        <v>16</v>
      </c>
      <c r="AC54" s="162" t="n">
        <v>380</v>
      </c>
      <c r="AE54" s="162" t="n">
        <v>3613</v>
      </c>
      <c r="AF54" s="162" t="n">
        <v>427</v>
      </c>
      <c r="AG54" s="162" t="n">
        <v>60</v>
      </c>
      <c r="AH54" s="162" t="n">
        <v>40</v>
      </c>
      <c r="AI54" s="162" t="n">
        <v>156</v>
      </c>
      <c r="AK54" s="162" t="n">
        <v>805</v>
      </c>
      <c r="AL54" s="162" t="n">
        <v>2</v>
      </c>
      <c r="AM54" s="162" t="n">
        <v>1148</v>
      </c>
      <c r="AN54" s="162" t="n">
        <v>28</v>
      </c>
      <c r="AO54" s="162" t="n">
        <v>143</v>
      </c>
      <c r="AP54" s="162" t="n">
        <v>40</v>
      </c>
      <c r="AQ54" s="162" t="n">
        <v>164</v>
      </c>
      <c r="AY54" s="162" t="n">
        <v>186</v>
      </c>
      <c r="AZ54" s="162" t="n">
        <v>1</v>
      </c>
      <c r="BA54" s="162" t="n">
        <v>164</v>
      </c>
      <c r="BB54" s="162" t="n">
        <v>0</v>
      </c>
      <c r="BC54" s="162" t="n">
        <v>161</v>
      </c>
      <c r="BD54" s="162" t="n">
        <v>2587</v>
      </c>
      <c r="BE54" s="162" t="n">
        <v>57</v>
      </c>
      <c r="BF54" s="162" t="n">
        <v>65</v>
      </c>
      <c r="BG54" s="162" t="n">
        <v>342</v>
      </c>
      <c r="BH54" s="162" t="n">
        <v>58</v>
      </c>
      <c r="BI54" s="162" t="n">
        <v>3</v>
      </c>
      <c r="BJ54" s="162" t="n">
        <v>418</v>
      </c>
      <c r="BK54" s="162" t="n">
        <v>42</v>
      </c>
      <c r="BL54" s="162" t="n">
        <v>1</v>
      </c>
      <c r="BM54" s="162" t="n">
        <v>354</v>
      </c>
      <c r="BN54" s="162" t="n">
        <v>30</v>
      </c>
      <c r="BO54" s="162" t="n">
        <v>0</v>
      </c>
      <c r="BP54" s="162" t="n">
        <v>339</v>
      </c>
      <c r="BQ54" s="162" t="n">
        <v>39</v>
      </c>
      <c r="BR54" s="162" t="n">
        <v>7</v>
      </c>
      <c r="BS54" s="162" t="n">
        <v>247</v>
      </c>
      <c r="BT54" s="162" t="n">
        <v>190</v>
      </c>
      <c r="BU54" s="162" t="n">
        <v>58</v>
      </c>
      <c r="BV54" s="162" t="n">
        <v>0</v>
      </c>
      <c r="BW54" s="162" t="n">
        <v>299</v>
      </c>
      <c r="BX54" s="162" t="n">
        <v>40</v>
      </c>
      <c r="BY54" s="162" t="n">
        <v>16</v>
      </c>
      <c r="BZ54" s="162" t="n">
        <v>253</v>
      </c>
      <c r="CA54" s="162" t="n">
        <v>18</v>
      </c>
      <c r="CB54" s="162" t="n">
        <v>36</v>
      </c>
      <c r="CC54" s="162" t="n">
        <v>9</v>
      </c>
      <c r="CD54" s="162" t="n">
        <v>885</v>
      </c>
      <c r="CG54" s="162" t="n">
        <v>7</v>
      </c>
      <c r="CH54" s="162" t="n">
        <v>5</v>
      </c>
      <c r="CI54" s="162" t="n">
        <v>0</v>
      </c>
      <c r="CJ54" s="162" t="n">
        <v>12</v>
      </c>
      <c r="CK54" s="162" t="n">
        <v>9</v>
      </c>
      <c r="CL54" s="162" t="n">
        <v>106</v>
      </c>
      <c r="CM54" s="162" t="n">
        <v>11</v>
      </c>
      <c r="CN54" s="162" t="n">
        <v>4</v>
      </c>
      <c r="CO54" s="162" t="n">
        <v>88</v>
      </c>
      <c r="CP54" s="162" t="n">
        <v>25</v>
      </c>
      <c r="CQ54" s="162" t="n">
        <v>33</v>
      </c>
      <c r="CR54" s="162" t="n">
        <v>8</v>
      </c>
      <c r="CS54" s="162" t="n">
        <v>22</v>
      </c>
      <c r="CT54" s="162" t="n">
        <v>17</v>
      </c>
      <c r="CU54" s="162" t="n">
        <v>47</v>
      </c>
      <c r="CV54" s="162" t="n">
        <v>25</v>
      </c>
      <c r="CW54" s="162" t="n">
        <v>92</v>
      </c>
      <c r="CX54" s="162" t="n">
        <v>25</v>
      </c>
      <c r="CY54" s="162" t="n">
        <v>49</v>
      </c>
      <c r="CZ54" s="162" t="n">
        <v>11</v>
      </c>
      <c r="DA54" s="162" t="n">
        <v>18</v>
      </c>
      <c r="DB54" s="162" t="n">
        <v>3</v>
      </c>
      <c r="DD54" s="162" t="n">
        <v>7</v>
      </c>
      <c r="DE54" s="162" t="n">
        <v>2</v>
      </c>
      <c r="DF54" s="162" t="n">
        <v>9</v>
      </c>
      <c r="DG54" s="162" t="n">
        <v>2</v>
      </c>
      <c r="DH54" s="162" t="n">
        <v>22</v>
      </c>
      <c r="DI54" s="162" t="n">
        <v>252</v>
      </c>
      <c r="DJ54" s="162" t="n">
        <v>257</v>
      </c>
      <c r="DK54" s="162" t="n">
        <v>0</v>
      </c>
      <c r="DL54" s="162" t="n">
        <v>0</v>
      </c>
      <c r="DM54" s="162" t="n">
        <v>0</v>
      </c>
      <c r="DN54" s="162" t="n">
        <v>1</v>
      </c>
      <c r="DO54" s="162" t="n">
        <v>187</v>
      </c>
      <c r="DP54" s="162" t="n">
        <v>199</v>
      </c>
    </row>
    <row r="55">
      <c r="A55" s="156" t="n">
        <v>44958</v>
      </c>
      <c r="B55" s="162" t="n">
        <v>1369</v>
      </c>
      <c r="C55" s="162" t="n">
        <v>1375</v>
      </c>
      <c r="D55" s="162" t="n">
        <v>3124</v>
      </c>
      <c r="E55" s="162" t="n">
        <v>2680</v>
      </c>
      <c r="F55" s="162" t="n">
        <v>24</v>
      </c>
      <c r="G55" s="162" t="n">
        <v>0</v>
      </c>
      <c r="H55" s="162" t="n">
        <v>26</v>
      </c>
      <c r="I55" s="162" t="n">
        <v>1</v>
      </c>
      <c r="J55" s="162" t="n">
        <v>0</v>
      </c>
      <c r="K55" s="162" t="n">
        <v>187</v>
      </c>
      <c r="L55" s="162" t="n">
        <v>0</v>
      </c>
      <c r="M55" s="227" t="n"/>
      <c r="N55" s="227" t="n"/>
      <c r="P55" s="162" t="n">
        <v>174</v>
      </c>
      <c r="S55" s="162" t="n">
        <v>358</v>
      </c>
      <c r="T55" s="162" t="n">
        <v>12</v>
      </c>
      <c r="V55" s="162" t="n">
        <v>2</v>
      </c>
      <c r="W55" s="162" t="n">
        <v>111</v>
      </c>
      <c r="X55" s="162" t="n">
        <v>13</v>
      </c>
      <c r="AC55" s="162" t="n">
        <v>285</v>
      </c>
      <c r="AE55" s="162" t="n">
        <v>4125</v>
      </c>
      <c r="AF55" s="162" t="n">
        <v>473</v>
      </c>
      <c r="AG55" s="162" t="n">
        <v>107</v>
      </c>
      <c r="AH55" s="162" t="n">
        <v>38</v>
      </c>
      <c r="AI55" s="162" t="n">
        <v>150</v>
      </c>
      <c r="AK55" s="162" t="n">
        <v>924</v>
      </c>
      <c r="AL55" s="162" t="n">
        <v>3</v>
      </c>
      <c r="AM55" s="162" t="n">
        <v>1490</v>
      </c>
      <c r="AN55" s="162" t="n">
        <v>28</v>
      </c>
      <c r="AO55" s="162" t="n">
        <v>202</v>
      </c>
      <c r="AP55" s="162" t="n">
        <v>66</v>
      </c>
      <c r="AQ55" s="162" t="n">
        <v>203</v>
      </c>
      <c r="AY55" s="162" t="n">
        <v>15</v>
      </c>
      <c r="AZ55" s="162" t="n">
        <v>-1</v>
      </c>
      <c r="BA55" s="162" t="n">
        <v>381</v>
      </c>
      <c r="BB55" s="162" t="n">
        <v>0</v>
      </c>
      <c r="BC55" s="162" t="n">
        <v>292</v>
      </c>
      <c r="BD55" s="162" t="n">
        <v>1590</v>
      </c>
      <c r="BE55" s="162" t="n">
        <v>121</v>
      </c>
      <c r="BF55" s="162" t="n">
        <v>10</v>
      </c>
      <c r="BG55" s="162" t="n">
        <v>782</v>
      </c>
      <c r="BH55" s="162" t="n">
        <v>106</v>
      </c>
      <c r="BI55" s="162" t="n">
        <v>3</v>
      </c>
      <c r="BJ55" s="162" t="n">
        <v>1073</v>
      </c>
      <c r="BK55" s="162" t="n">
        <v>103</v>
      </c>
      <c r="BL55" s="162" t="n">
        <v>1</v>
      </c>
      <c r="BM55" s="162" t="n">
        <v>908</v>
      </c>
      <c r="BN55" s="162" t="n">
        <v>114</v>
      </c>
      <c r="BO55" s="162" t="n">
        <v>0</v>
      </c>
      <c r="BP55" s="162" t="n">
        <v>687</v>
      </c>
      <c r="BQ55" s="162" t="n">
        <v>98</v>
      </c>
      <c r="BR55" s="162" t="n">
        <v>4</v>
      </c>
      <c r="BS55" s="162" t="n">
        <v>480</v>
      </c>
      <c r="BT55" s="162" t="n">
        <v>522</v>
      </c>
      <c r="BU55" s="162" t="n">
        <v>140</v>
      </c>
      <c r="BV55" s="162" t="n">
        <v>0</v>
      </c>
      <c r="BW55" s="162" t="n">
        <v>715</v>
      </c>
      <c r="BX55" s="162" t="n">
        <v>82</v>
      </c>
      <c r="BY55" s="162" t="n">
        <v>31</v>
      </c>
      <c r="BZ55" s="162" t="n">
        <v>1565</v>
      </c>
      <c r="CA55" s="162" t="n">
        <v>319</v>
      </c>
      <c r="CB55" s="162" t="n">
        <v>120</v>
      </c>
      <c r="CC55" s="162" t="n">
        <v>10</v>
      </c>
      <c r="CD55" s="162" t="n">
        <v>799</v>
      </c>
      <c r="CG55" s="162" t="n">
        <v>20</v>
      </c>
      <c r="CH55" s="162" t="n">
        <v>0</v>
      </c>
      <c r="CI55" s="162" t="n">
        <v>1</v>
      </c>
      <c r="CJ55" s="162" t="n">
        <v>17</v>
      </c>
      <c r="CK55" s="162" t="n">
        <v>13</v>
      </c>
      <c r="CL55" s="162" t="n">
        <v>69</v>
      </c>
      <c r="CM55" s="162" t="n">
        <v>8</v>
      </c>
      <c r="CN55" s="162" t="n">
        <v>4</v>
      </c>
      <c r="CO55" s="162" t="n">
        <v>67</v>
      </c>
      <c r="CP55" s="162" t="n">
        <v>22</v>
      </c>
      <c r="CQ55" s="162" t="n">
        <v>34</v>
      </c>
      <c r="CR55" s="162" t="n">
        <v>7</v>
      </c>
      <c r="CS55" s="162" t="n">
        <v>15</v>
      </c>
      <c r="CT55" s="162" t="n">
        <v>17</v>
      </c>
      <c r="CU55" s="162" t="n">
        <v>29</v>
      </c>
      <c r="CV55" s="162" t="n">
        <v>39</v>
      </c>
      <c r="CW55" s="162" t="n">
        <v>23</v>
      </c>
      <c r="CX55" s="162" t="n">
        <v>22</v>
      </c>
      <c r="CY55" s="162" t="n">
        <v>39</v>
      </c>
      <c r="CZ55" s="162" t="n">
        <v>6</v>
      </c>
      <c r="DA55" s="162" t="n">
        <v>18</v>
      </c>
      <c r="DB55" s="162" t="n">
        <v>2</v>
      </c>
      <c r="DD55" s="162" t="n">
        <v>5</v>
      </c>
      <c r="DE55" s="162" t="n">
        <v>1</v>
      </c>
      <c r="DF55" s="162" t="n">
        <v>10</v>
      </c>
      <c r="DG55" s="162" t="n">
        <v>2</v>
      </c>
      <c r="DH55" s="162" t="n">
        <v>13</v>
      </c>
      <c r="DI55" s="162" t="n">
        <v>207</v>
      </c>
      <c r="DJ55" s="162" t="n">
        <v>382</v>
      </c>
      <c r="DK55" s="162" t="n">
        <v>0</v>
      </c>
      <c r="DL55" s="162" t="n">
        <v>0</v>
      </c>
      <c r="DM55" s="162" t="n">
        <v>0</v>
      </c>
      <c r="DN55" s="162" t="n">
        <v>2</v>
      </c>
      <c r="DO55" s="162" t="n">
        <v>298</v>
      </c>
      <c r="DP55" s="162" t="n">
        <v>248</v>
      </c>
    </row>
    <row r="56">
      <c r="A56" s="156" t="n">
        <v>44986</v>
      </c>
      <c r="B56" s="162" t="n">
        <v>3029</v>
      </c>
      <c r="C56" s="162" t="n">
        <v>1425</v>
      </c>
      <c r="D56" s="162" t="n">
        <v>3028</v>
      </c>
      <c r="E56" s="162" t="n">
        <v>3095</v>
      </c>
      <c r="F56" s="162" t="n">
        <v>40</v>
      </c>
      <c r="G56" s="162" t="n">
        <v>1</v>
      </c>
      <c r="H56" s="162" t="n">
        <v>17</v>
      </c>
      <c r="I56" s="162" t="n">
        <v>9</v>
      </c>
      <c r="J56" s="162" t="n">
        <v>0</v>
      </c>
      <c r="K56" s="162" t="n">
        <v>209</v>
      </c>
      <c r="L56" s="162" t="n">
        <v>0</v>
      </c>
      <c r="M56" s="227" t="n"/>
      <c r="N56" s="227" t="n"/>
      <c r="P56" s="162" t="n">
        <v>189</v>
      </c>
      <c r="S56" s="162" t="n">
        <v>521</v>
      </c>
      <c r="T56" s="162" t="n">
        <v>5</v>
      </c>
      <c r="V56" s="162" t="n">
        <v>1</v>
      </c>
      <c r="W56" s="162" t="n">
        <v>65</v>
      </c>
      <c r="X56" s="162" t="n">
        <v>12</v>
      </c>
      <c r="AC56" s="162" t="n">
        <v>350</v>
      </c>
      <c r="AE56" s="162" t="n">
        <v>4720</v>
      </c>
      <c r="AF56" s="162" t="n">
        <v>464</v>
      </c>
      <c r="AG56" s="162" t="n">
        <v>108</v>
      </c>
      <c r="AH56" s="162" t="n">
        <v>34</v>
      </c>
      <c r="AI56" s="162" t="n">
        <v>197</v>
      </c>
      <c r="AK56" s="162" t="n">
        <v>921</v>
      </c>
      <c r="AL56" s="162" t="n">
        <v>30</v>
      </c>
      <c r="AM56" s="162" t="n">
        <v>1674</v>
      </c>
      <c r="AN56" s="162" t="n">
        <v>25</v>
      </c>
      <c r="AO56" s="162" t="n">
        <v>215</v>
      </c>
      <c r="AP56" s="162" t="n">
        <v>83</v>
      </c>
      <c r="AQ56" s="162" t="n">
        <v>290</v>
      </c>
      <c r="AY56" s="162" t="n">
        <v>18</v>
      </c>
      <c r="AZ56" s="162" t="n">
        <v>0</v>
      </c>
      <c r="BA56" s="162" t="n">
        <v>564</v>
      </c>
      <c r="BB56" s="162" t="n">
        <v>0</v>
      </c>
      <c r="BC56" s="162" t="n">
        <v>348</v>
      </c>
      <c r="BD56" s="162" t="n">
        <v>1675</v>
      </c>
      <c r="BE56" s="162" t="n">
        <v>170</v>
      </c>
      <c r="BF56" s="162" t="n">
        <v>9</v>
      </c>
      <c r="BG56" s="162" t="n">
        <v>1165</v>
      </c>
      <c r="BH56" s="162" t="n">
        <v>153</v>
      </c>
      <c r="BI56" s="162" t="n">
        <v>4</v>
      </c>
      <c r="BJ56" s="162" t="n">
        <v>1368</v>
      </c>
      <c r="BK56" s="162" t="n">
        <v>142</v>
      </c>
      <c r="BL56" s="162" t="n">
        <v>1</v>
      </c>
      <c r="BM56" s="162" t="n">
        <v>1199</v>
      </c>
      <c r="BN56" s="162" t="n">
        <v>147</v>
      </c>
      <c r="BO56" s="162" t="n">
        <v>1</v>
      </c>
      <c r="BP56" s="162" t="n">
        <v>870</v>
      </c>
      <c r="BQ56" s="162" t="n">
        <v>119</v>
      </c>
      <c r="BR56" s="162" t="n">
        <v>9</v>
      </c>
      <c r="BS56" s="162" t="n">
        <v>575</v>
      </c>
      <c r="BT56" s="162" t="n">
        <v>706</v>
      </c>
      <c r="BU56" s="162" t="n">
        <v>187</v>
      </c>
      <c r="BV56" s="162" t="n">
        <v>0</v>
      </c>
      <c r="BW56" s="162" t="n">
        <v>970</v>
      </c>
      <c r="BX56" s="162" t="n">
        <v>111</v>
      </c>
      <c r="BY56" s="162" t="n">
        <v>25</v>
      </c>
      <c r="BZ56" s="162" t="n">
        <v>245</v>
      </c>
      <c r="CA56" s="162" t="n">
        <v>579</v>
      </c>
      <c r="CB56" s="162" t="n">
        <v>175</v>
      </c>
      <c r="CC56" s="162" t="n">
        <v>17</v>
      </c>
      <c r="CD56" s="162" t="n">
        <v>1037</v>
      </c>
      <c r="CG56" s="162" t="n">
        <v>36</v>
      </c>
      <c r="CH56" s="162" t="n">
        <v>1</v>
      </c>
      <c r="CI56" s="162" t="n">
        <v>0</v>
      </c>
      <c r="CJ56" s="162" t="n">
        <v>27</v>
      </c>
      <c r="CK56" s="162" t="n">
        <v>21</v>
      </c>
      <c r="CL56" s="162" t="n">
        <v>70</v>
      </c>
      <c r="CM56" s="162" t="n">
        <v>10</v>
      </c>
      <c r="CN56" s="162" t="n">
        <v>4</v>
      </c>
      <c r="CO56" s="162" t="n">
        <v>100</v>
      </c>
      <c r="CP56" s="162" t="n">
        <v>27</v>
      </c>
      <c r="CQ56" s="162" t="n">
        <v>36</v>
      </c>
      <c r="CR56" s="162" t="n">
        <v>9</v>
      </c>
      <c r="CS56" s="162" t="n">
        <v>19</v>
      </c>
      <c r="CT56" s="162" t="n">
        <v>19</v>
      </c>
      <c r="CU56" s="162" t="n">
        <v>33</v>
      </c>
      <c r="CV56" s="162" t="n">
        <v>89</v>
      </c>
      <c r="CW56" s="162" t="n">
        <v>115</v>
      </c>
      <c r="CX56" s="162" t="n">
        <v>21</v>
      </c>
      <c r="CY56" s="162" t="n">
        <v>45</v>
      </c>
      <c r="CZ56" s="162" t="n">
        <v>6</v>
      </c>
      <c r="DA56" s="162" t="n">
        <v>20</v>
      </c>
      <c r="DB56" s="162" t="n">
        <v>3</v>
      </c>
      <c r="DD56" s="162" t="n">
        <v>6</v>
      </c>
      <c r="DE56" s="162" t="n">
        <v>3</v>
      </c>
      <c r="DF56" s="162" t="n">
        <v>11</v>
      </c>
      <c r="DG56" s="162" t="n">
        <v>5</v>
      </c>
      <c r="DH56" s="162" t="n">
        <v>16</v>
      </c>
      <c r="DI56" s="162" t="n">
        <v>111</v>
      </c>
      <c r="DJ56" s="162" t="n">
        <v>495</v>
      </c>
      <c r="DK56" s="162" t="n">
        <v>0</v>
      </c>
      <c r="DL56" s="162" t="n">
        <v>0</v>
      </c>
      <c r="DM56" s="162" t="n">
        <v>0</v>
      </c>
      <c r="DN56" s="162" t="n">
        <v>2</v>
      </c>
      <c r="DO56" s="162" t="n">
        <v>302</v>
      </c>
      <c r="DP56" s="162" t="n">
        <v>204</v>
      </c>
    </row>
    <row r="57">
      <c r="A57" s="156" t="n">
        <v>45017</v>
      </c>
      <c r="B57" s="162" t="n">
        <v>5168</v>
      </c>
      <c r="C57" s="162" t="n">
        <v>1548</v>
      </c>
      <c r="D57" s="162" t="n">
        <v>3089</v>
      </c>
      <c r="E57" s="162" t="n">
        <v>3287</v>
      </c>
      <c r="F57" s="162" t="n">
        <v>18</v>
      </c>
      <c r="G57" s="162" t="n">
        <v>417</v>
      </c>
      <c r="H57" s="162" t="n">
        <v>17</v>
      </c>
      <c r="I57" s="162" t="n">
        <v>16</v>
      </c>
      <c r="J57" s="162" t="n">
        <v>0</v>
      </c>
      <c r="K57" s="162" t="n">
        <v>197</v>
      </c>
      <c r="L57" s="162" t="n">
        <v>0</v>
      </c>
      <c r="M57" s="227" t="n"/>
      <c r="N57" s="227" t="n"/>
      <c r="P57" s="162" t="n">
        <v>154</v>
      </c>
      <c r="S57" s="162" t="n">
        <v>693</v>
      </c>
      <c r="T57" s="162" t="n">
        <v>19</v>
      </c>
      <c r="V57" s="162" t="n">
        <v>1</v>
      </c>
      <c r="W57" s="162" t="n">
        <v>93</v>
      </c>
      <c r="X57" s="162" t="n">
        <v>3</v>
      </c>
      <c r="AC57" s="162" t="n">
        <v>205</v>
      </c>
      <c r="AE57" s="162" t="n">
        <v>5255</v>
      </c>
      <c r="AF57" s="162" t="n">
        <v>525</v>
      </c>
      <c r="AG57" s="162" t="n">
        <v>127</v>
      </c>
      <c r="AH57" s="162" t="n">
        <v>38</v>
      </c>
      <c r="AI57" s="162" t="n">
        <v>198</v>
      </c>
      <c r="AK57" s="162" t="n">
        <v>1029</v>
      </c>
      <c r="AL57" s="162" t="n">
        <v>434</v>
      </c>
      <c r="AM57" s="162" t="n">
        <v>1815</v>
      </c>
      <c r="AN57" s="162" t="n">
        <v>0</v>
      </c>
      <c r="AO57" s="162" t="n">
        <v>211</v>
      </c>
      <c r="AP57" s="162" t="n">
        <v>87</v>
      </c>
      <c r="AQ57" s="162" t="n">
        <v>247</v>
      </c>
      <c r="AY57" s="162" t="n">
        <v>6</v>
      </c>
      <c r="AZ57" s="162" t="n">
        <v>0</v>
      </c>
      <c r="BA57" s="162" t="n">
        <v>468</v>
      </c>
      <c r="BB57" s="162" t="n">
        <v>0</v>
      </c>
      <c r="BC57" s="162" t="n">
        <v>299</v>
      </c>
      <c r="BD57" s="162" t="n">
        <v>1543</v>
      </c>
      <c r="BE57" s="162" t="n">
        <v>136</v>
      </c>
      <c r="BF57" s="162" t="n">
        <v>3</v>
      </c>
      <c r="BG57" s="162" t="n">
        <v>934</v>
      </c>
      <c r="BH57" s="162" t="n">
        <v>123</v>
      </c>
      <c r="BI57" s="162" t="n">
        <v>4</v>
      </c>
      <c r="BJ57" s="162" t="n">
        <v>1061</v>
      </c>
      <c r="BK57" s="162" t="n">
        <v>118</v>
      </c>
      <c r="BL57" s="162" t="n">
        <v>1</v>
      </c>
      <c r="BM57" s="162" t="n">
        <v>961</v>
      </c>
      <c r="BN57" s="162" t="n">
        <v>130</v>
      </c>
      <c r="BO57" s="162" t="n">
        <v>0</v>
      </c>
      <c r="BP57" s="162" t="n">
        <v>749</v>
      </c>
      <c r="BQ57" s="162" t="n">
        <v>104</v>
      </c>
      <c r="BR57" s="162" t="n">
        <v>2</v>
      </c>
      <c r="BS57" s="162" t="n">
        <v>476</v>
      </c>
      <c r="BT57" s="162" t="n">
        <v>570</v>
      </c>
      <c r="BU57" s="162" t="n">
        <v>160</v>
      </c>
      <c r="BV57" s="162" t="n">
        <v>0</v>
      </c>
      <c r="BW57" s="162" t="n">
        <v>818</v>
      </c>
      <c r="BX57" s="162" t="n">
        <v>98</v>
      </c>
      <c r="BY57" s="162" t="n">
        <v>9</v>
      </c>
      <c r="BZ57" s="162" t="n">
        <v>930</v>
      </c>
      <c r="CA57" s="162" t="n">
        <v>503</v>
      </c>
      <c r="CB57" s="162" t="n">
        <v>151</v>
      </c>
      <c r="CC57" s="162" t="n">
        <v>10</v>
      </c>
      <c r="CD57" s="162" t="n">
        <v>927</v>
      </c>
      <c r="CG57" s="162" t="n">
        <v>50</v>
      </c>
      <c r="CH57" s="162" t="n">
        <v>0</v>
      </c>
      <c r="CI57" s="162" t="n">
        <v>1</v>
      </c>
      <c r="CJ57" s="162" t="n">
        <v>17</v>
      </c>
      <c r="CK57" s="162" t="n">
        <v>4</v>
      </c>
      <c r="CL57" s="162" t="n">
        <v>31</v>
      </c>
      <c r="CM57" s="162" t="n">
        <v>8</v>
      </c>
      <c r="CN57" s="162" t="n">
        <v>4</v>
      </c>
      <c r="CO57" s="162" t="n">
        <v>61</v>
      </c>
      <c r="CP57" s="162" t="n">
        <v>25</v>
      </c>
      <c r="CQ57" s="162" t="n">
        <v>35</v>
      </c>
      <c r="CR57" s="162" t="n">
        <v>8</v>
      </c>
      <c r="CS57" s="162" t="n">
        <v>11</v>
      </c>
      <c r="CT57" s="162" t="n">
        <v>17</v>
      </c>
      <c r="CU57" s="162" t="n">
        <v>46</v>
      </c>
      <c r="CV57" s="162" t="n">
        <v>25</v>
      </c>
      <c r="CW57" s="162" t="n">
        <v>32</v>
      </c>
      <c r="CX57" s="162" t="n">
        <v>21</v>
      </c>
      <c r="CY57" s="162" t="n">
        <v>31</v>
      </c>
      <c r="CZ57" s="162" t="n">
        <v>6</v>
      </c>
      <c r="DA57" s="162" t="n">
        <v>19</v>
      </c>
      <c r="DB57" s="162" t="n">
        <v>2</v>
      </c>
      <c r="DD57" s="162" t="n">
        <v>4</v>
      </c>
      <c r="DE57" s="162" t="n">
        <v>2</v>
      </c>
      <c r="DF57" s="162" t="n">
        <v>9</v>
      </c>
      <c r="DG57" s="162" t="n">
        <v>3</v>
      </c>
      <c r="DH57" s="162" t="n">
        <v>13</v>
      </c>
      <c r="DI57" s="162" t="n">
        <v>94</v>
      </c>
      <c r="DJ57" s="162" t="n">
        <v>369</v>
      </c>
      <c r="DK57" s="162" t="n">
        <v>0</v>
      </c>
      <c r="DL57" s="162" t="n">
        <v>0</v>
      </c>
      <c r="DM57" s="162" t="n">
        <v>0</v>
      </c>
      <c r="DN57" s="162" t="n">
        <v>3</v>
      </c>
      <c r="DO57" s="162" t="n">
        <v>293</v>
      </c>
      <c r="DP57" s="162" t="n">
        <v>229</v>
      </c>
    </row>
    <row r="58">
      <c r="A58" s="156" t="n">
        <v>45047</v>
      </c>
      <c r="B58" s="162" t="n">
        <v>8103</v>
      </c>
      <c r="C58" s="162" t="n">
        <v>1348</v>
      </c>
      <c r="D58" s="162" t="n">
        <v>2720</v>
      </c>
      <c r="E58" s="162" t="n">
        <v>3086</v>
      </c>
      <c r="F58" s="162" t="n">
        <v>24</v>
      </c>
      <c r="G58" s="162" t="n">
        <v>58</v>
      </c>
      <c r="H58" s="162" t="n">
        <v>141</v>
      </c>
      <c r="I58" s="162" t="n">
        <v>7</v>
      </c>
      <c r="J58" s="162" t="n">
        <v>0</v>
      </c>
      <c r="K58" s="162" t="n">
        <v>154</v>
      </c>
      <c r="L58" s="162" t="n">
        <v>0</v>
      </c>
      <c r="M58" s="227" t="n"/>
      <c r="N58" s="227" t="n"/>
      <c r="P58" s="162" t="n">
        <v>166</v>
      </c>
      <c r="S58" s="162" t="n">
        <v>1126</v>
      </c>
      <c r="T58" s="162" t="n">
        <v>16</v>
      </c>
      <c r="V58" s="162" t="n">
        <v>1</v>
      </c>
      <c r="W58" s="162" t="n">
        <v>133</v>
      </c>
      <c r="X58" s="162" t="n">
        <v>6</v>
      </c>
      <c r="AC58" s="162" t="n">
        <v>265</v>
      </c>
      <c r="AE58" s="162" t="n">
        <v>4352</v>
      </c>
      <c r="AF58" s="162" t="n">
        <v>311</v>
      </c>
      <c r="AG58" s="162" t="n">
        <v>123</v>
      </c>
      <c r="AH58" s="162" t="n">
        <v>32</v>
      </c>
      <c r="AI58" s="162" t="n">
        <v>155</v>
      </c>
      <c r="AK58" s="162" t="n">
        <v>897</v>
      </c>
      <c r="AL58" s="162" t="n">
        <v>121</v>
      </c>
      <c r="AM58" s="162" t="n">
        <v>1605</v>
      </c>
      <c r="AN58" s="162" t="n">
        <v>0</v>
      </c>
      <c r="AO58" s="162" t="n">
        <v>189</v>
      </c>
      <c r="AP58" s="162" t="n">
        <v>93</v>
      </c>
      <c r="AQ58" s="162" t="n">
        <v>206</v>
      </c>
      <c r="AY58" s="162" t="n">
        <v>4</v>
      </c>
      <c r="AZ58" s="162" t="n">
        <v>0</v>
      </c>
      <c r="BA58" s="162" t="n">
        <v>351</v>
      </c>
      <c r="BB58" s="162" t="n">
        <v>0</v>
      </c>
      <c r="BC58" s="162" t="n">
        <v>252</v>
      </c>
      <c r="BD58" s="162" t="n">
        <v>1435</v>
      </c>
      <c r="BE58" s="162" t="n">
        <v>124</v>
      </c>
      <c r="BF58" s="162" t="n">
        <v>4</v>
      </c>
      <c r="BG58" s="162" t="n">
        <v>829</v>
      </c>
      <c r="BH58" s="162" t="n">
        <v>108</v>
      </c>
      <c r="BI58" s="162" t="n">
        <v>5</v>
      </c>
      <c r="BJ58" s="162" t="n">
        <v>999</v>
      </c>
      <c r="BK58" s="162" t="n">
        <v>76</v>
      </c>
      <c r="BL58" s="162" t="n">
        <v>0</v>
      </c>
      <c r="BM58" s="162" t="n">
        <v>917</v>
      </c>
      <c r="BN58" s="162" t="n">
        <v>109</v>
      </c>
      <c r="BO58" s="162" t="n">
        <v>1</v>
      </c>
      <c r="BP58" s="162" t="n">
        <v>711</v>
      </c>
      <c r="BQ58" s="162" t="n">
        <v>95</v>
      </c>
      <c r="BR58" s="162" t="n">
        <v>2</v>
      </c>
      <c r="BS58" s="162" t="n">
        <v>454</v>
      </c>
      <c r="BT58" s="162" t="n">
        <v>563</v>
      </c>
      <c r="BU58" s="162" t="n">
        <v>134</v>
      </c>
      <c r="BV58" s="162" t="n">
        <v>0</v>
      </c>
      <c r="BW58" s="162" t="n">
        <v>815</v>
      </c>
      <c r="BX58" s="162" t="n">
        <v>100</v>
      </c>
      <c r="BY58" s="162" t="n">
        <v>7</v>
      </c>
      <c r="BZ58" s="162" t="n">
        <v>801</v>
      </c>
      <c r="CA58" s="162" t="n">
        <v>452</v>
      </c>
      <c r="CB58" s="162" t="n">
        <v>124</v>
      </c>
      <c r="CC58" s="162" t="n">
        <v>10</v>
      </c>
      <c r="CD58" s="162" t="n">
        <v>928</v>
      </c>
      <c r="CG58" s="162" t="n">
        <v>107</v>
      </c>
      <c r="CH58" s="162" t="n">
        <v>2</v>
      </c>
      <c r="CI58" s="162" t="n">
        <v>1</v>
      </c>
      <c r="CJ58" s="162" t="n">
        <v>15</v>
      </c>
      <c r="CK58" s="162" t="n">
        <v>4</v>
      </c>
      <c r="CL58" s="162" t="n">
        <v>38</v>
      </c>
      <c r="CM58" s="162" t="n">
        <v>9</v>
      </c>
      <c r="CN58" s="162" t="n">
        <v>6</v>
      </c>
      <c r="CO58" s="162" t="n">
        <v>67</v>
      </c>
      <c r="CP58" s="162" t="n">
        <v>28</v>
      </c>
      <c r="CQ58" s="162" t="n">
        <v>57</v>
      </c>
      <c r="CR58" s="162" t="n">
        <v>9</v>
      </c>
      <c r="CS58" s="162" t="n">
        <v>13</v>
      </c>
      <c r="CT58" s="162" t="n">
        <v>17</v>
      </c>
      <c r="CU58" s="162" t="n">
        <v>43</v>
      </c>
      <c r="CV58" s="162" t="n">
        <v>23</v>
      </c>
      <c r="CW58" s="162" t="n">
        <v>20</v>
      </c>
      <c r="CX58" s="162" t="n">
        <v>20</v>
      </c>
      <c r="CY58" s="162" t="n">
        <v>29</v>
      </c>
      <c r="CZ58" s="162" t="n">
        <v>6</v>
      </c>
      <c r="DA58" s="162" t="n">
        <v>23</v>
      </c>
      <c r="DB58" s="162" t="n">
        <v>3</v>
      </c>
      <c r="DD58" s="162" t="n">
        <v>4</v>
      </c>
      <c r="DE58" s="162" t="n">
        <v>2</v>
      </c>
      <c r="DF58" s="162" t="n">
        <v>8</v>
      </c>
      <c r="DG58" s="162" t="n">
        <v>2</v>
      </c>
      <c r="DH58" s="162" t="n">
        <v>20</v>
      </c>
      <c r="DI58" s="162" t="n">
        <v>45</v>
      </c>
      <c r="DJ58" s="162" t="n">
        <v>381</v>
      </c>
      <c r="DK58" s="162" t="n">
        <v>0</v>
      </c>
      <c r="DL58" s="162" t="n">
        <v>0</v>
      </c>
      <c r="DM58" s="162" t="n">
        <v>0</v>
      </c>
      <c r="DN58" s="162" t="n">
        <v>1</v>
      </c>
      <c r="DO58" s="162" t="n">
        <v>366</v>
      </c>
      <c r="DP58" s="162" t="n">
        <v>290</v>
      </c>
    </row>
    <row r="59">
      <c r="A59" s="156" t="n">
        <v>45078</v>
      </c>
      <c r="B59" s="162" t="n">
        <v>10003</v>
      </c>
      <c r="C59" s="162" t="n">
        <v>1352</v>
      </c>
      <c r="D59" s="162" t="n">
        <v>2681</v>
      </c>
      <c r="E59" s="162" t="n">
        <v>3015</v>
      </c>
      <c r="F59" s="162" t="n">
        <v>18</v>
      </c>
      <c r="G59" s="162" t="n">
        <v>112</v>
      </c>
      <c r="H59" s="162" t="n">
        <v>177</v>
      </c>
      <c r="I59" s="162" t="n">
        <v>14</v>
      </c>
      <c r="J59" s="162" t="n">
        <v>0</v>
      </c>
      <c r="K59" s="162" t="n">
        <v>9</v>
      </c>
      <c r="L59" s="162" t="n">
        <v>0</v>
      </c>
      <c r="M59" s="227" t="n"/>
      <c r="N59" s="227" t="n"/>
      <c r="P59" s="162" t="n">
        <v>164</v>
      </c>
      <c r="S59" s="162" t="n">
        <v>1400</v>
      </c>
      <c r="T59" s="162" t="n">
        <v>13</v>
      </c>
      <c r="V59" s="162" t="n">
        <v>0</v>
      </c>
      <c r="W59" s="162" t="n">
        <v>174</v>
      </c>
      <c r="X59" s="162" t="n">
        <v>11</v>
      </c>
      <c r="AC59" s="162" t="n">
        <v>226</v>
      </c>
      <c r="AE59" s="162" t="n">
        <v>3989</v>
      </c>
      <c r="AF59" s="162" t="n">
        <v>428</v>
      </c>
      <c r="AG59" s="162" t="n">
        <v>106</v>
      </c>
      <c r="AH59" s="162" t="n">
        <v>28</v>
      </c>
      <c r="AI59" s="162" t="n">
        <v>110</v>
      </c>
      <c r="AK59" s="162" t="n">
        <v>787</v>
      </c>
      <c r="AL59" s="162" t="n">
        <v>18</v>
      </c>
      <c r="AM59" s="162" t="n">
        <v>1377</v>
      </c>
      <c r="AN59" s="162" t="n">
        <v>0</v>
      </c>
      <c r="AO59" s="162" t="n">
        <v>164</v>
      </c>
      <c r="AP59" s="162" t="n">
        <v>81</v>
      </c>
      <c r="AQ59" s="162" t="n">
        <v>197</v>
      </c>
      <c r="AY59" s="162" t="n">
        <v>19</v>
      </c>
      <c r="AZ59" s="162" t="n">
        <v>0</v>
      </c>
      <c r="BA59" s="162" t="n">
        <v>115</v>
      </c>
      <c r="BB59" s="162" t="n">
        <v>0</v>
      </c>
      <c r="BC59" s="162" t="n">
        <v>72</v>
      </c>
      <c r="BD59" s="162" t="n">
        <v>1849</v>
      </c>
      <c r="BE59" s="162" t="n">
        <v>80</v>
      </c>
      <c r="BF59" s="162" t="n">
        <v>3</v>
      </c>
      <c r="BG59" s="162" t="n">
        <v>347</v>
      </c>
      <c r="BH59" s="162" t="n">
        <v>75</v>
      </c>
      <c r="BI59" s="162" t="n">
        <v>4</v>
      </c>
      <c r="BJ59" s="162" t="n">
        <v>524</v>
      </c>
      <c r="BK59" s="162" t="n">
        <v>0</v>
      </c>
      <c r="BL59" s="162" t="n">
        <v>0</v>
      </c>
      <c r="BM59" s="162" t="n">
        <v>397</v>
      </c>
      <c r="BN59" s="162" t="n">
        <v>65</v>
      </c>
      <c r="BO59" s="162" t="n">
        <v>1</v>
      </c>
      <c r="BP59" s="162" t="n">
        <v>252</v>
      </c>
      <c r="BQ59" s="162" t="n">
        <v>46</v>
      </c>
      <c r="BR59" s="162" t="n">
        <v>1</v>
      </c>
      <c r="BS59" s="162" t="n">
        <v>164</v>
      </c>
      <c r="BT59" s="162" t="n">
        <v>322</v>
      </c>
      <c r="BU59" s="162" t="n">
        <v>88</v>
      </c>
      <c r="BV59" s="162" t="n">
        <v>0</v>
      </c>
      <c r="BW59" s="162" t="n">
        <v>371</v>
      </c>
      <c r="BX59" s="162" t="n">
        <v>75</v>
      </c>
      <c r="BY59" s="162" t="n">
        <v>13</v>
      </c>
      <c r="BZ59" s="162" t="n">
        <v>439</v>
      </c>
      <c r="CA59" s="162" t="n">
        <v>195</v>
      </c>
      <c r="CB59" s="162" t="n">
        <v>84</v>
      </c>
      <c r="CC59" s="162" t="n">
        <v>10</v>
      </c>
      <c r="CD59" s="162" t="n">
        <v>917</v>
      </c>
      <c r="CG59" s="162" t="n">
        <v>157</v>
      </c>
      <c r="CH59" s="162" t="n">
        <v>10</v>
      </c>
      <c r="CI59" s="162" t="n">
        <v>1</v>
      </c>
      <c r="CJ59" s="162" t="n">
        <v>14</v>
      </c>
      <c r="CK59" s="162" t="n">
        <v>6</v>
      </c>
      <c r="CL59" s="162" t="n">
        <v>24</v>
      </c>
      <c r="CM59" s="162" t="n">
        <v>13</v>
      </c>
      <c r="CN59" s="162" t="n">
        <v>7</v>
      </c>
      <c r="CO59" s="162" t="n">
        <v>60</v>
      </c>
      <c r="CP59" s="162" t="n">
        <v>35</v>
      </c>
      <c r="CQ59" s="162" t="n">
        <v>31</v>
      </c>
      <c r="CR59" s="162" t="n">
        <v>9</v>
      </c>
      <c r="CS59" s="162" t="n">
        <v>21</v>
      </c>
      <c r="CT59" s="162" t="n">
        <v>24</v>
      </c>
      <c r="CU59" s="162" t="n">
        <v>39</v>
      </c>
      <c r="CV59" s="162" t="n">
        <v>26</v>
      </c>
      <c r="CW59" s="162" t="n">
        <v>18</v>
      </c>
      <c r="CX59" s="162" t="n">
        <v>102</v>
      </c>
      <c r="CY59" s="162" t="n">
        <v>30</v>
      </c>
      <c r="CZ59" s="162" t="n">
        <v>5</v>
      </c>
      <c r="DA59" s="162" t="n">
        <v>16</v>
      </c>
      <c r="DB59" s="162" t="n">
        <v>6</v>
      </c>
      <c r="DD59" s="162" t="n">
        <v>4</v>
      </c>
      <c r="DE59" s="162" t="n">
        <v>3</v>
      </c>
      <c r="DF59" s="162" t="n">
        <v>12</v>
      </c>
      <c r="DG59" s="162" t="n">
        <v>2</v>
      </c>
      <c r="DH59" s="162" t="n">
        <v>20</v>
      </c>
      <c r="DI59" s="162" t="n">
        <v>25</v>
      </c>
      <c r="DJ59" s="162" t="n">
        <v>315</v>
      </c>
      <c r="DK59" s="162" t="n">
        <v>0</v>
      </c>
      <c r="DL59" s="162" t="n">
        <v>0</v>
      </c>
      <c r="DM59" s="162" t="n">
        <v>0</v>
      </c>
      <c r="DN59" s="162" t="n">
        <v>2</v>
      </c>
      <c r="DO59" s="162" t="n">
        <v>318</v>
      </c>
      <c r="DP59" s="162" t="n">
        <v>259</v>
      </c>
    </row>
    <row r="60">
      <c r="A60" s="156" t="n">
        <v>45108</v>
      </c>
      <c r="B60" s="162" t="n">
        <v>10797</v>
      </c>
      <c r="C60" s="162" t="n">
        <v>951</v>
      </c>
      <c r="D60" s="162" t="n">
        <v>3153</v>
      </c>
      <c r="E60" s="162" t="n">
        <v>3033</v>
      </c>
      <c r="F60" s="162" t="n">
        <v>39</v>
      </c>
      <c r="G60" s="162" t="n">
        <v>176</v>
      </c>
      <c r="H60" s="162" t="n">
        <v>219</v>
      </c>
      <c r="I60" s="162" t="n">
        <v>16</v>
      </c>
      <c r="J60" s="162" t="n">
        <v>0</v>
      </c>
      <c r="K60" s="162" t="n">
        <v>60</v>
      </c>
      <c r="L60" s="162" t="n">
        <v>0</v>
      </c>
      <c r="M60" s="227" t="n"/>
      <c r="N60" s="227" t="n"/>
      <c r="P60" s="162" t="n">
        <v>260</v>
      </c>
      <c r="S60" s="162" t="n">
        <v>1608</v>
      </c>
      <c r="T60" s="162" t="n">
        <v>11</v>
      </c>
      <c r="V60" s="162" t="n">
        <v>22</v>
      </c>
      <c r="W60" s="162" t="n">
        <v>123</v>
      </c>
      <c r="X60" s="162" t="n">
        <v>25</v>
      </c>
      <c r="AC60" s="162" t="n">
        <v>344</v>
      </c>
      <c r="AE60" s="162" t="n">
        <v>4124</v>
      </c>
      <c r="AF60" s="162" t="n">
        <v>370</v>
      </c>
      <c r="AG60" s="162" t="n">
        <v>131</v>
      </c>
      <c r="AH60" s="162" t="n">
        <v>28</v>
      </c>
      <c r="AI60" s="162" t="n">
        <v>63</v>
      </c>
      <c r="AK60" s="162" t="n">
        <v>924</v>
      </c>
      <c r="AL60" s="162" t="n">
        <v>6</v>
      </c>
      <c r="AM60" s="162" t="n">
        <v>1775</v>
      </c>
      <c r="AN60" s="162" t="n">
        <v>0</v>
      </c>
      <c r="AO60" s="162" t="n">
        <v>215</v>
      </c>
      <c r="AP60" s="162" t="n">
        <v>90</v>
      </c>
      <c r="AQ60" s="162" t="n">
        <v>222</v>
      </c>
      <c r="AY60" s="162" t="n">
        <v>16</v>
      </c>
      <c r="AZ60" s="162" t="n">
        <v>0</v>
      </c>
      <c r="BA60" s="162" t="n">
        <v>48</v>
      </c>
      <c r="BB60" s="162" t="n">
        <v>0</v>
      </c>
      <c r="BC60" s="162" t="n">
        <v>42</v>
      </c>
      <c r="BD60" s="162" t="n">
        <v>1577</v>
      </c>
      <c r="BE60" s="162" t="n">
        <v>47</v>
      </c>
      <c r="BF60" s="162" t="n">
        <v>9</v>
      </c>
      <c r="BG60" s="162" t="n">
        <v>203</v>
      </c>
      <c r="BH60" s="162" t="n">
        <v>44</v>
      </c>
      <c r="BI60" s="162" t="n">
        <v>3</v>
      </c>
      <c r="BJ60" s="162" t="n">
        <v>420</v>
      </c>
      <c r="BK60" s="162" t="n">
        <v>1</v>
      </c>
      <c r="BL60" s="162" t="n">
        <v>3</v>
      </c>
      <c r="BM60" s="162" t="n">
        <v>296</v>
      </c>
      <c r="BN60" s="162" t="n">
        <v>29</v>
      </c>
      <c r="BO60" s="162" t="n">
        <v>0</v>
      </c>
      <c r="BP60" s="162" t="n">
        <v>174</v>
      </c>
      <c r="BQ60" s="162" t="n">
        <v>39</v>
      </c>
      <c r="BR60" s="162" t="n">
        <v>3</v>
      </c>
      <c r="BS60" s="162" t="n">
        <v>179</v>
      </c>
      <c r="BT60" s="162" t="n">
        <v>345</v>
      </c>
      <c r="BU60" s="162" t="n">
        <v>63</v>
      </c>
      <c r="BV60" s="162" t="n">
        <v>0</v>
      </c>
      <c r="BW60" s="162" t="n">
        <v>233</v>
      </c>
      <c r="BX60" s="162" t="n">
        <v>42</v>
      </c>
      <c r="BY60" s="162" t="n">
        <v>10</v>
      </c>
      <c r="BZ60" s="162" t="n">
        <v>411</v>
      </c>
      <c r="CA60" s="162" t="n">
        <v>112</v>
      </c>
      <c r="CB60" s="162" t="n">
        <v>60</v>
      </c>
      <c r="CC60" s="162" t="n">
        <v>16</v>
      </c>
      <c r="CD60" s="162" t="n">
        <v>735</v>
      </c>
      <c r="CG60" s="162" t="n">
        <v>253</v>
      </c>
      <c r="CH60" s="162" t="n">
        <v>0</v>
      </c>
      <c r="CI60" s="162" t="n">
        <v>0</v>
      </c>
      <c r="CJ60" s="162" t="n">
        <v>18</v>
      </c>
      <c r="CK60" s="162" t="n">
        <v>16</v>
      </c>
      <c r="CL60" s="162" t="n">
        <v>32</v>
      </c>
      <c r="CM60" s="162" t="n">
        <v>15</v>
      </c>
      <c r="CN60" s="162" t="n">
        <v>7</v>
      </c>
      <c r="CO60" s="162" t="n">
        <v>85</v>
      </c>
      <c r="CP60" s="162" t="n">
        <v>37</v>
      </c>
      <c r="CQ60" s="162" t="n">
        <v>31</v>
      </c>
      <c r="CR60" s="162" t="n">
        <v>8</v>
      </c>
      <c r="CS60" s="162" t="n">
        <v>33</v>
      </c>
      <c r="CT60" s="162" t="n">
        <v>23</v>
      </c>
      <c r="CU60" s="162" t="n">
        <v>29</v>
      </c>
      <c r="CV60" s="162" t="n">
        <v>28</v>
      </c>
      <c r="CW60" s="162" t="n">
        <v>21</v>
      </c>
      <c r="CX60" s="162" t="n">
        <v>23</v>
      </c>
      <c r="CY60" s="162" t="n">
        <v>42</v>
      </c>
      <c r="CZ60" s="162" t="n">
        <v>8</v>
      </c>
      <c r="DA60" s="162" t="n">
        <v>17</v>
      </c>
      <c r="DB60" s="162" t="n">
        <v>2</v>
      </c>
      <c r="DD60" s="162" t="n">
        <v>3</v>
      </c>
      <c r="DE60" s="162" t="n">
        <v>2</v>
      </c>
      <c r="DF60" s="162" t="n">
        <v>6</v>
      </c>
      <c r="DG60" s="162" t="n">
        <v>4</v>
      </c>
      <c r="DH60" s="162" t="n">
        <v>19</v>
      </c>
      <c r="DI60" s="162" t="n">
        <v>47</v>
      </c>
      <c r="DJ60" s="162" t="n">
        <v>328</v>
      </c>
      <c r="DK60" s="162" t="n">
        <v>0</v>
      </c>
      <c r="DL60" s="162" t="n">
        <v>0</v>
      </c>
      <c r="DM60" s="162" t="n">
        <v>0</v>
      </c>
      <c r="DN60" s="162" t="n">
        <v>2</v>
      </c>
      <c r="DO60" s="162" t="n">
        <v>345</v>
      </c>
      <c r="DP60" s="162" t="n">
        <v>281</v>
      </c>
    </row>
    <row r="61">
      <c r="A61" s="156" t="n">
        <v>45139</v>
      </c>
      <c r="B61" s="162" t="n">
        <v>10495</v>
      </c>
      <c r="C61" s="162" t="n">
        <v>233</v>
      </c>
      <c r="D61" s="162" t="n">
        <v>2927</v>
      </c>
      <c r="E61" s="162" t="n">
        <v>2162</v>
      </c>
      <c r="F61" s="162" t="n">
        <v>2</v>
      </c>
      <c r="G61" s="162" t="n">
        <v>156</v>
      </c>
      <c r="H61" s="162" t="n">
        <v>197</v>
      </c>
      <c r="I61" s="162" t="n">
        <v>6</v>
      </c>
      <c r="J61" s="162" t="n">
        <v>0</v>
      </c>
      <c r="K61" s="162" t="n">
        <v>1</v>
      </c>
      <c r="L61" s="162" t="n">
        <v>0</v>
      </c>
      <c r="M61" s="227" t="n"/>
      <c r="N61" s="227" t="n"/>
      <c r="P61" s="162" t="n">
        <v>246</v>
      </c>
      <c r="S61" s="162" t="n">
        <v>1472</v>
      </c>
      <c r="T61" s="162" t="n">
        <v>12</v>
      </c>
      <c r="V61" s="162" t="n">
        <v>0</v>
      </c>
      <c r="W61" s="162" t="n">
        <v>201</v>
      </c>
      <c r="X61" s="162" t="n">
        <v>6</v>
      </c>
      <c r="AC61" s="162" t="n">
        <v>139</v>
      </c>
      <c r="AE61" s="162" t="n">
        <v>3715</v>
      </c>
      <c r="AF61" s="162" t="n">
        <v>337</v>
      </c>
      <c r="AG61" s="162" t="n">
        <v>126</v>
      </c>
      <c r="AH61" s="162" t="n">
        <v>26</v>
      </c>
      <c r="AI61" s="162" t="n">
        <v>57</v>
      </c>
      <c r="AK61" s="162" t="n">
        <v>867</v>
      </c>
      <c r="AL61" s="162" t="n">
        <v>4</v>
      </c>
      <c r="AM61" s="162" t="n">
        <v>1392</v>
      </c>
      <c r="AN61" s="162" t="n">
        <v>1</v>
      </c>
      <c r="AO61" s="162" t="n">
        <v>218</v>
      </c>
      <c r="AP61" s="162" t="n">
        <v>88</v>
      </c>
      <c r="AQ61" s="162" t="n">
        <v>250</v>
      </c>
      <c r="AY61" s="162" t="n">
        <v>5</v>
      </c>
      <c r="AZ61" s="162" t="n">
        <v>4</v>
      </c>
      <c r="BA61" s="162" t="n">
        <v>47</v>
      </c>
      <c r="BB61" s="162" t="n">
        <v>0</v>
      </c>
      <c r="BC61" s="162" t="n">
        <v>36</v>
      </c>
      <c r="BD61" s="162" t="n">
        <v>683</v>
      </c>
      <c r="BE61" s="162" t="n">
        <v>41</v>
      </c>
      <c r="BF61" s="162" t="n">
        <v>4</v>
      </c>
      <c r="BG61" s="162" t="n">
        <v>215</v>
      </c>
      <c r="BH61" s="162" t="n">
        <v>53</v>
      </c>
      <c r="BI61" s="162" t="n">
        <v>3</v>
      </c>
      <c r="BJ61" s="162" t="n">
        <v>396</v>
      </c>
      <c r="BK61" s="162" t="n">
        <v>34</v>
      </c>
      <c r="BL61" s="162" t="n">
        <v>0</v>
      </c>
      <c r="BM61" s="162" t="n">
        <v>312</v>
      </c>
      <c r="BN61" s="162" t="n">
        <v>34</v>
      </c>
      <c r="BO61" s="162" t="n">
        <v>0</v>
      </c>
      <c r="BP61" s="162" t="n">
        <v>148</v>
      </c>
      <c r="BQ61" s="162" t="n">
        <v>39</v>
      </c>
      <c r="BR61" s="162" t="n">
        <v>1</v>
      </c>
      <c r="BS61" s="162" t="n">
        <v>149</v>
      </c>
      <c r="BT61" s="162" t="n">
        <v>221</v>
      </c>
      <c r="BU61" s="162" t="n">
        <v>54</v>
      </c>
      <c r="BV61" s="162" t="n">
        <v>0</v>
      </c>
      <c r="BW61" s="162" t="n">
        <v>195</v>
      </c>
      <c r="BX61" s="162" t="n">
        <v>34</v>
      </c>
      <c r="BY61" s="162" t="n">
        <v>7</v>
      </c>
      <c r="BZ61" s="162" t="n">
        <v>394</v>
      </c>
      <c r="CA61" s="162" t="n">
        <v>170</v>
      </c>
      <c r="CB61" s="162" t="n">
        <v>53</v>
      </c>
      <c r="CC61" s="162" t="n">
        <v>15</v>
      </c>
      <c r="CD61" s="162" t="n">
        <v>651</v>
      </c>
      <c r="CG61" s="162" t="n">
        <v>365</v>
      </c>
      <c r="CH61" s="162" t="n">
        <v>2</v>
      </c>
      <c r="CI61" s="162" t="n">
        <v>0</v>
      </c>
      <c r="CJ61" s="162" t="n">
        <v>14</v>
      </c>
      <c r="CK61" s="162" t="n">
        <v>7</v>
      </c>
      <c r="CL61" s="162" t="n">
        <v>33</v>
      </c>
      <c r="CM61" s="162" t="n">
        <v>14</v>
      </c>
      <c r="CN61" s="162" t="n">
        <v>7</v>
      </c>
      <c r="CO61" s="162" t="n">
        <v>65</v>
      </c>
      <c r="CP61" s="162" t="n">
        <v>39</v>
      </c>
      <c r="CQ61" s="162" t="n">
        <v>35</v>
      </c>
      <c r="CR61" s="162" t="n">
        <v>6</v>
      </c>
      <c r="CS61" s="162" t="n">
        <v>14</v>
      </c>
      <c r="CT61" s="162" t="n">
        <v>21</v>
      </c>
      <c r="CU61" s="162" t="n">
        <v>18</v>
      </c>
      <c r="CV61" s="162" t="n">
        <v>16</v>
      </c>
      <c r="CW61" s="162" t="n">
        <v>21</v>
      </c>
      <c r="CX61" s="162" t="n">
        <v>20</v>
      </c>
      <c r="CY61" s="162" t="n">
        <v>37</v>
      </c>
      <c r="CZ61" s="162" t="n">
        <v>9</v>
      </c>
      <c r="DA61" s="162" t="n">
        <v>18</v>
      </c>
      <c r="DB61" s="162" t="n">
        <v>4</v>
      </c>
      <c r="DD61" s="162" t="n">
        <v>5</v>
      </c>
      <c r="DE61" s="162" t="n">
        <v>3</v>
      </c>
      <c r="DF61" s="162" t="n">
        <v>6</v>
      </c>
      <c r="DG61" s="162" t="n">
        <v>3</v>
      </c>
      <c r="DH61" s="162" t="n">
        <v>20</v>
      </c>
      <c r="DI61" s="162" t="n">
        <v>90</v>
      </c>
      <c r="DJ61" s="162" t="n">
        <v>263</v>
      </c>
      <c r="DK61" s="162" t="n">
        <v>0</v>
      </c>
      <c r="DL61" s="162" t="n">
        <v>0</v>
      </c>
      <c r="DM61" s="162" t="n">
        <v>0</v>
      </c>
      <c r="DN61" s="162" t="n">
        <v>1</v>
      </c>
      <c r="DO61" s="162" t="n">
        <v>355</v>
      </c>
      <c r="DP61" s="162" t="n">
        <v>295</v>
      </c>
    </row>
    <row r="62">
      <c r="A62" s="156" t="n">
        <v>45170</v>
      </c>
      <c r="B62" s="162" t="n">
        <v>9211</v>
      </c>
      <c r="C62" s="162" t="n">
        <v>219</v>
      </c>
      <c r="D62" s="162" t="n">
        <v>2965</v>
      </c>
      <c r="E62" s="162" t="n">
        <v>3324</v>
      </c>
      <c r="F62" s="162" t="n">
        <v>34</v>
      </c>
      <c r="G62" s="162" t="n">
        <v>165</v>
      </c>
      <c r="H62" s="162" t="n">
        <v>213</v>
      </c>
      <c r="I62" s="162" t="n">
        <v>20</v>
      </c>
      <c r="J62" s="162" t="n">
        <v>0</v>
      </c>
      <c r="K62" s="162" t="n">
        <v>81</v>
      </c>
      <c r="L62" s="162" t="n">
        <v>0</v>
      </c>
      <c r="M62" s="227" t="n"/>
      <c r="N62" s="227" t="n"/>
      <c r="P62" s="162" t="n">
        <v>2053</v>
      </c>
      <c r="S62" s="162" t="n">
        <v>2222</v>
      </c>
      <c r="T62" s="162" t="n">
        <v>11</v>
      </c>
      <c r="V62" s="162" t="n">
        <v>0</v>
      </c>
      <c r="W62" s="162" t="n">
        <v>1297</v>
      </c>
      <c r="X62" s="162" t="n">
        <v>7</v>
      </c>
      <c r="AC62" s="162" t="n">
        <v>108</v>
      </c>
      <c r="AE62" s="162" t="n">
        <v>4813</v>
      </c>
      <c r="AF62" s="162" t="n">
        <v>516</v>
      </c>
      <c r="AG62" s="162" t="n">
        <v>172</v>
      </c>
      <c r="AH62" s="162" t="n">
        <v>30</v>
      </c>
      <c r="AI62" s="162" t="n">
        <v>122</v>
      </c>
      <c r="AK62" s="162" t="n">
        <v>1031</v>
      </c>
      <c r="AL62" s="162" t="n">
        <v>20</v>
      </c>
      <c r="AM62" s="162" t="n">
        <v>1896</v>
      </c>
      <c r="AN62" s="162" t="n">
        <v>19</v>
      </c>
      <c r="AO62" s="162" t="n">
        <v>273</v>
      </c>
      <c r="AP62" s="162" t="n">
        <v>111</v>
      </c>
      <c r="AQ62" s="162" t="n">
        <v>208</v>
      </c>
      <c r="AY62" s="162" t="n">
        <v>7</v>
      </c>
      <c r="AZ62" s="162" t="n">
        <v>11</v>
      </c>
      <c r="BA62" s="162" t="n">
        <v>285</v>
      </c>
      <c r="BB62" s="162" t="n">
        <v>0</v>
      </c>
      <c r="BC62" s="162" t="n">
        <v>31</v>
      </c>
      <c r="BD62" s="162" t="n">
        <v>2779</v>
      </c>
      <c r="BE62" s="162" t="n">
        <v>145</v>
      </c>
      <c r="BF62" s="162" t="n">
        <v>3</v>
      </c>
      <c r="BG62" s="162" t="n">
        <v>822</v>
      </c>
      <c r="BH62" s="162" t="n">
        <v>146</v>
      </c>
      <c r="BI62" s="162" t="n">
        <v>3</v>
      </c>
      <c r="BJ62" s="162" t="n">
        <v>928</v>
      </c>
      <c r="BK62" s="162" t="n">
        <v>103</v>
      </c>
      <c r="BL62" s="162" t="n">
        <v>0</v>
      </c>
      <c r="BM62" s="162" t="n">
        <v>785</v>
      </c>
      <c r="BN62" s="162" t="n">
        <v>106</v>
      </c>
      <c r="BO62" s="162" t="n">
        <v>1</v>
      </c>
      <c r="BP62" s="162" t="n">
        <v>521</v>
      </c>
      <c r="BQ62" s="162" t="n">
        <v>85</v>
      </c>
      <c r="BR62" s="162" t="n">
        <v>2</v>
      </c>
      <c r="BS62" s="162" t="n">
        <v>732</v>
      </c>
      <c r="BT62" s="162" t="n">
        <v>567</v>
      </c>
      <c r="BU62" s="162" t="n">
        <v>144</v>
      </c>
      <c r="BV62" s="162" t="n">
        <v>0</v>
      </c>
      <c r="BW62" s="162" t="n">
        <v>696</v>
      </c>
      <c r="BX62" s="162" t="n">
        <v>100</v>
      </c>
      <c r="BY62" s="162" t="n">
        <v>8</v>
      </c>
      <c r="BZ62" s="162" t="n">
        <v>590</v>
      </c>
      <c r="CA62" s="162" t="n">
        <v>567</v>
      </c>
      <c r="CB62" s="162" t="n">
        <v>167</v>
      </c>
      <c r="CC62" s="162" t="n">
        <v>16</v>
      </c>
      <c r="CD62" s="162" t="n">
        <v>1127</v>
      </c>
      <c r="CG62" s="162" t="n">
        <v>322</v>
      </c>
      <c r="CH62" s="162" t="n">
        <v>4</v>
      </c>
      <c r="CI62" s="162" t="n">
        <v>1</v>
      </c>
      <c r="CJ62" s="162" t="n">
        <v>14</v>
      </c>
      <c r="CK62" s="162" t="n">
        <v>4</v>
      </c>
      <c r="CL62" s="162" t="n">
        <v>24</v>
      </c>
      <c r="CM62" s="162" t="n">
        <v>11</v>
      </c>
      <c r="CN62" s="162" t="n">
        <v>5</v>
      </c>
      <c r="CO62" s="162" t="n">
        <v>56</v>
      </c>
      <c r="CP62" s="162" t="n">
        <v>30</v>
      </c>
      <c r="CQ62" s="162" t="n">
        <v>29</v>
      </c>
      <c r="CR62" s="162" t="n">
        <v>0</v>
      </c>
      <c r="CS62" s="162" t="n">
        <v>9</v>
      </c>
      <c r="CT62" s="162" t="n">
        <v>17</v>
      </c>
      <c r="CU62" s="162" t="n">
        <v>28</v>
      </c>
      <c r="CV62" s="162" t="n">
        <v>19</v>
      </c>
      <c r="CW62" s="162" t="n">
        <v>25</v>
      </c>
      <c r="CX62" s="162" t="n">
        <v>20</v>
      </c>
      <c r="CY62" s="162" t="n">
        <v>24</v>
      </c>
      <c r="CZ62" s="162" t="n">
        <v>6</v>
      </c>
      <c r="DA62" s="162" t="n">
        <v>17</v>
      </c>
      <c r="DB62" s="162" t="n">
        <v>3</v>
      </c>
      <c r="DD62" s="162" t="n">
        <v>3</v>
      </c>
      <c r="DE62" s="162" t="n">
        <v>2</v>
      </c>
      <c r="DF62" s="162" t="n">
        <v>3</v>
      </c>
      <c r="DG62" s="162" t="n">
        <v>2</v>
      </c>
      <c r="DH62" s="162" t="n">
        <v>17</v>
      </c>
      <c r="DI62" s="162" t="n">
        <v>33</v>
      </c>
      <c r="DJ62" s="162" t="n">
        <v>392</v>
      </c>
      <c r="DK62" s="162" t="n">
        <v>0</v>
      </c>
      <c r="DL62" s="162" t="n">
        <v>0</v>
      </c>
      <c r="DM62" s="162" t="n">
        <v>2</v>
      </c>
      <c r="DN62" s="162" t="n">
        <v>3</v>
      </c>
      <c r="DO62" s="162" t="n">
        <v>401</v>
      </c>
      <c r="DP62" s="162" t="n">
        <v>288</v>
      </c>
    </row>
    <row r="63">
      <c r="A63" s="156" t="n">
        <v>45200</v>
      </c>
      <c r="B63" s="162" t="n">
        <v>7798</v>
      </c>
      <c r="C63" s="162" t="n">
        <v>427</v>
      </c>
      <c r="D63" s="162" t="n">
        <v>3839</v>
      </c>
      <c r="E63" s="162" t="n">
        <v>3561</v>
      </c>
      <c r="F63" s="162" t="n">
        <v>23</v>
      </c>
      <c r="G63" s="162" t="n">
        <v>201</v>
      </c>
      <c r="H63" s="162" t="n">
        <v>204</v>
      </c>
      <c r="I63" s="162" t="n">
        <v>6</v>
      </c>
      <c r="J63" s="162" t="n">
        <v>0</v>
      </c>
      <c r="K63" s="162" t="n">
        <v>55</v>
      </c>
      <c r="L63" s="162" t="n">
        <v>0</v>
      </c>
      <c r="M63" s="227" t="n"/>
      <c r="N63" s="227" t="n"/>
      <c r="P63" s="162" t="n">
        <v>1599</v>
      </c>
      <c r="S63" s="162" t="n">
        <v>1232</v>
      </c>
      <c r="T63" s="162" t="n">
        <v>12</v>
      </c>
      <c r="V63" s="162" t="n">
        <v>0</v>
      </c>
      <c r="W63" s="162" t="n">
        <v>740</v>
      </c>
      <c r="X63" s="162" t="n">
        <v>35</v>
      </c>
      <c r="AC63" s="162" t="n">
        <v>182</v>
      </c>
      <c r="AE63" s="162" t="n">
        <v>5257</v>
      </c>
      <c r="AF63" s="162" t="n">
        <v>536</v>
      </c>
      <c r="AG63" s="162" t="n">
        <v>130</v>
      </c>
      <c r="AH63" s="162" t="n">
        <v>33</v>
      </c>
      <c r="AI63" s="162" t="n">
        <v>144</v>
      </c>
      <c r="AK63" s="162" t="n">
        <v>1221</v>
      </c>
      <c r="AL63" s="162" t="n">
        <v>2</v>
      </c>
      <c r="AM63" s="162" t="n">
        <v>2294</v>
      </c>
      <c r="AN63" s="162" t="n">
        <v>24</v>
      </c>
      <c r="AO63" s="162" t="n">
        <v>260</v>
      </c>
      <c r="AP63" s="162" t="n">
        <v>124</v>
      </c>
      <c r="AQ63" s="162" t="n">
        <v>280</v>
      </c>
      <c r="AY63" s="162" t="n">
        <v>12</v>
      </c>
      <c r="AZ63" s="162" t="n">
        <v>9</v>
      </c>
      <c r="BA63" s="162" t="n">
        <v>403</v>
      </c>
      <c r="BB63" s="162" t="n">
        <v>0</v>
      </c>
      <c r="BC63" s="162" t="n">
        <v>187</v>
      </c>
      <c r="BD63" s="162" t="n">
        <v>2146</v>
      </c>
      <c r="BE63" s="162" t="n">
        <v>182</v>
      </c>
      <c r="BF63" s="162" t="n">
        <v>6</v>
      </c>
      <c r="BG63" s="162" t="n">
        <v>1144</v>
      </c>
      <c r="BH63" s="162" t="n">
        <v>162</v>
      </c>
      <c r="BI63" s="162" t="n">
        <v>4</v>
      </c>
      <c r="BJ63" s="162" t="n">
        <v>1013</v>
      </c>
      <c r="BK63" s="162" t="n">
        <v>103</v>
      </c>
      <c r="BL63" s="162" t="n">
        <v>0</v>
      </c>
      <c r="BM63" s="162" t="n">
        <v>911</v>
      </c>
      <c r="BN63" s="162" t="n">
        <v>114</v>
      </c>
      <c r="BO63" s="162" t="n">
        <v>1</v>
      </c>
      <c r="BP63" s="162" t="n">
        <v>730</v>
      </c>
      <c r="BQ63" s="162" t="n">
        <v>103</v>
      </c>
      <c r="BR63" s="162" t="n">
        <v>1</v>
      </c>
      <c r="BS63" s="162" t="n">
        <v>607</v>
      </c>
      <c r="BT63" s="162" t="n">
        <v>606</v>
      </c>
      <c r="BU63" s="162" t="n">
        <v>152</v>
      </c>
      <c r="BV63" s="162" t="n">
        <v>0</v>
      </c>
      <c r="BW63" s="162" t="n">
        <v>713</v>
      </c>
      <c r="BX63" s="162" t="n">
        <v>96</v>
      </c>
      <c r="BY63" s="162" t="n">
        <v>20</v>
      </c>
      <c r="BZ63" s="162" t="n">
        <v>1066</v>
      </c>
      <c r="CA63" s="162" t="n">
        <v>857</v>
      </c>
      <c r="CB63" s="162" t="n">
        <v>177</v>
      </c>
      <c r="CC63" s="162" t="n">
        <v>15</v>
      </c>
      <c r="CD63" s="162" t="n">
        <v>1172</v>
      </c>
      <c r="CG63" s="162" t="n">
        <v>0</v>
      </c>
      <c r="CH63" s="162" t="n">
        <v>1</v>
      </c>
      <c r="CI63" s="162" t="n">
        <v>0</v>
      </c>
      <c r="CJ63" s="162" t="n">
        <v>40</v>
      </c>
      <c r="CK63" s="162" t="n">
        <v>6</v>
      </c>
      <c r="CL63" s="162" t="n">
        <v>41</v>
      </c>
      <c r="CM63" s="162" t="n">
        <v>14</v>
      </c>
      <c r="CN63" s="162" t="n">
        <v>6</v>
      </c>
      <c r="CO63" s="162" t="n">
        <v>79</v>
      </c>
      <c r="CP63" s="162" t="n">
        <v>29</v>
      </c>
      <c r="CQ63" s="162" t="n">
        <v>43</v>
      </c>
      <c r="CR63" s="162" t="n">
        <v>0</v>
      </c>
      <c r="CS63" s="162" t="n">
        <v>15</v>
      </c>
      <c r="CT63" s="162" t="n">
        <v>42</v>
      </c>
      <c r="CU63" s="162" t="n">
        <v>20</v>
      </c>
      <c r="CV63" s="162" t="n">
        <v>47</v>
      </c>
      <c r="CW63" s="162" t="n">
        <v>23</v>
      </c>
      <c r="CX63" s="162" t="n">
        <v>44</v>
      </c>
      <c r="CY63" s="162" t="n">
        <v>62</v>
      </c>
      <c r="CZ63" s="162" t="n">
        <v>6</v>
      </c>
      <c r="DA63" s="162" t="n">
        <v>38</v>
      </c>
      <c r="DB63" s="162" t="n">
        <v>4</v>
      </c>
      <c r="DD63" s="162" t="n">
        <v>3</v>
      </c>
      <c r="DE63" s="162" t="n">
        <v>2</v>
      </c>
      <c r="DF63" s="162" t="n">
        <v>11</v>
      </c>
      <c r="DG63" s="162" t="n">
        <v>3</v>
      </c>
      <c r="DH63" s="162" t="n">
        <v>20</v>
      </c>
      <c r="DI63" s="162" t="n">
        <v>33</v>
      </c>
      <c r="DJ63" s="162" t="n">
        <v>462</v>
      </c>
      <c r="DK63" s="162" t="n">
        <v>0</v>
      </c>
      <c r="DL63" s="162" t="n">
        <v>0</v>
      </c>
      <c r="DM63" s="162" t="n">
        <v>0</v>
      </c>
      <c r="DN63" s="162" t="n">
        <v>1</v>
      </c>
      <c r="DO63" s="162" t="n">
        <v>426</v>
      </c>
      <c r="DP63" s="162" t="n">
        <v>341</v>
      </c>
    </row>
    <row r="64">
      <c r="A64" s="156" t="n">
        <v>45231</v>
      </c>
      <c r="B64" s="162" t="n">
        <v>4975</v>
      </c>
      <c r="C64" s="162" t="n">
        <v>437</v>
      </c>
      <c r="D64" s="162" t="n">
        <v>3619</v>
      </c>
      <c r="E64" s="162" t="n">
        <v>3102</v>
      </c>
      <c r="F64" s="162" t="n">
        <v>25</v>
      </c>
      <c r="G64" s="162" t="n">
        <v>162</v>
      </c>
      <c r="H64" s="162" t="n">
        <v>102</v>
      </c>
      <c r="I64" s="162" t="n">
        <v>3</v>
      </c>
      <c r="J64" s="162" t="n">
        <v>0</v>
      </c>
      <c r="K64" s="162" t="n">
        <v>153</v>
      </c>
      <c r="L64" s="162" t="n">
        <v>0</v>
      </c>
      <c r="M64" s="227" t="n"/>
      <c r="N64" s="227" t="n"/>
      <c r="P64" s="162" t="n">
        <v>2589</v>
      </c>
      <c r="S64" s="162" t="n">
        <v>652</v>
      </c>
      <c r="T64" s="162" t="n">
        <v>11</v>
      </c>
      <c r="V64" s="162" t="n">
        <v>0</v>
      </c>
      <c r="W64" s="162" t="n">
        <v>1127</v>
      </c>
      <c r="X64" s="162" t="n">
        <v>65</v>
      </c>
      <c r="AC64" s="162" t="n">
        <v>305</v>
      </c>
      <c r="AE64" s="162" t="n">
        <v>4374</v>
      </c>
      <c r="AF64" s="162" t="n">
        <v>413</v>
      </c>
      <c r="AG64" s="162" t="n">
        <v>109</v>
      </c>
      <c r="AH64" s="162" t="n">
        <v>33</v>
      </c>
      <c r="AI64" s="162" t="n">
        <v>110</v>
      </c>
      <c r="AK64" s="162" t="n">
        <v>957</v>
      </c>
      <c r="AL64" s="162" t="n">
        <v>2</v>
      </c>
      <c r="AM64" s="162" t="n">
        <v>1865</v>
      </c>
      <c r="AN64" s="162" t="n">
        <v>22</v>
      </c>
      <c r="AO64" s="162" t="n">
        <v>205</v>
      </c>
      <c r="AP64" s="162" t="n">
        <v>115</v>
      </c>
      <c r="AQ64" s="162" t="n">
        <v>261</v>
      </c>
      <c r="AY64" s="162" t="n">
        <v>26</v>
      </c>
      <c r="AZ64" s="162" t="n">
        <v>0</v>
      </c>
      <c r="BA64" s="162" t="n">
        <v>426</v>
      </c>
      <c r="BB64" s="162" t="n">
        <v>0</v>
      </c>
      <c r="BC64" s="162" t="n">
        <v>271</v>
      </c>
      <c r="BD64" s="162" t="n">
        <v>2340</v>
      </c>
      <c r="BE64" s="162" t="n">
        <v>142</v>
      </c>
      <c r="BF64" s="162" t="n">
        <v>9</v>
      </c>
      <c r="BG64" s="162" t="n">
        <v>917</v>
      </c>
      <c r="BH64" s="162" t="n">
        <v>126</v>
      </c>
      <c r="BI64" s="162" t="n">
        <v>6</v>
      </c>
      <c r="BJ64" s="162" t="n">
        <v>1334</v>
      </c>
      <c r="BK64" s="162" t="n">
        <v>126</v>
      </c>
      <c r="BL64" s="162" t="n">
        <v>0</v>
      </c>
      <c r="BM64" s="162" t="n">
        <v>1142</v>
      </c>
      <c r="BN64" s="162" t="n">
        <v>141</v>
      </c>
      <c r="BO64" s="162" t="n">
        <v>0</v>
      </c>
      <c r="BP64" s="162" t="n">
        <v>742</v>
      </c>
      <c r="BQ64" s="162" t="n">
        <v>102</v>
      </c>
      <c r="BR64" s="162" t="n">
        <v>7</v>
      </c>
      <c r="BS64" s="162" t="n">
        <v>600</v>
      </c>
      <c r="BT64" s="162" t="n">
        <v>778</v>
      </c>
      <c r="BU64" s="162" t="n">
        <v>185</v>
      </c>
      <c r="BV64" s="162" t="n">
        <v>0</v>
      </c>
      <c r="BW64" s="162" t="n">
        <v>987</v>
      </c>
      <c r="BX64" s="162" t="n">
        <v>114</v>
      </c>
      <c r="BY64" s="162" t="n">
        <v>15</v>
      </c>
      <c r="BZ64" s="162" t="n">
        <v>733</v>
      </c>
      <c r="CA64" s="162" t="n">
        <v>584</v>
      </c>
      <c r="CB64" s="162" t="n">
        <v>209</v>
      </c>
      <c r="CC64" s="162" t="n">
        <v>19</v>
      </c>
      <c r="CD64" s="162" t="n">
        <v>987</v>
      </c>
      <c r="CG64" s="162" t="n">
        <v>0</v>
      </c>
      <c r="CH64" s="162" t="n">
        <v>1</v>
      </c>
      <c r="CI64" s="162" t="n">
        <v>0</v>
      </c>
      <c r="CJ64" s="162" t="n">
        <v>30</v>
      </c>
      <c r="CK64" s="162" t="n">
        <v>9</v>
      </c>
      <c r="CL64" s="162" t="n">
        <v>31</v>
      </c>
      <c r="CM64" s="162" t="n">
        <v>12</v>
      </c>
      <c r="CN64" s="162" t="n">
        <v>6</v>
      </c>
      <c r="CO64" s="162" t="n">
        <v>95</v>
      </c>
      <c r="CP64" s="162" t="n">
        <v>22</v>
      </c>
      <c r="CQ64" s="162" t="n">
        <v>47</v>
      </c>
      <c r="CR64" s="162" t="n">
        <v>0</v>
      </c>
      <c r="CS64" s="162" t="n">
        <v>14</v>
      </c>
      <c r="CT64" s="162" t="n">
        <v>19</v>
      </c>
      <c r="CU64" s="162" t="n">
        <v>19</v>
      </c>
      <c r="CV64" s="162" t="n">
        <v>212</v>
      </c>
      <c r="CW64" s="162" t="n">
        <v>32</v>
      </c>
      <c r="CX64" s="162" t="n">
        <v>63</v>
      </c>
      <c r="CY64" s="162" t="n">
        <v>88</v>
      </c>
      <c r="CZ64" s="162" t="n">
        <v>10</v>
      </c>
      <c r="DA64" s="162" t="n">
        <v>21</v>
      </c>
      <c r="DB64" s="162" t="n">
        <v>3</v>
      </c>
      <c r="DD64" s="162" t="n">
        <v>11</v>
      </c>
      <c r="DE64" s="162" t="n">
        <v>2</v>
      </c>
      <c r="DF64" s="162" t="n">
        <v>6</v>
      </c>
      <c r="DG64" s="162" t="n">
        <v>3</v>
      </c>
      <c r="DH64" s="162" t="n">
        <v>19</v>
      </c>
      <c r="DI64" s="162" t="n">
        <v>108</v>
      </c>
      <c r="DJ64" s="162" t="n">
        <v>462</v>
      </c>
      <c r="DK64" s="162" t="n">
        <v>0</v>
      </c>
      <c r="DL64" s="162" t="n">
        <v>0</v>
      </c>
      <c r="DM64" s="162" t="n">
        <v>0</v>
      </c>
      <c r="DN64" s="162" t="n">
        <v>18</v>
      </c>
      <c r="DO64" s="162" t="n">
        <v>384</v>
      </c>
      <c r="DP64" s="162" t="n">
        <v>271</v>
      </c>
    </row>
    <row r="65">
      <c r="A65" s="156" t="n">
        <v>45261</v>
      </c>
      <c r="B65" s="162" t="n">
        <v>2414</v>
      </c>
      <c r="C65" s="162" t="n">
        <v>594</v>
      </c>
      <c r="D65" s="162" t="n">
        <v>3183</v>
      </c>
      <c r="E65" s="162" t="n">
        <v>3864</v>
      </c>
      <c r="F65" s="162" t="n">
        <v>32</v>
      </c>
      <c r="G65" s="162" t="n">
        <v>64</v>
      </c>
      <c r="H65" s="162" t="n">
        <v>32</v>
      </c>
      <c r="I65" s="162" t="n">
        <v>3</v>
      </c>
      <c r="J65" s="162" t="n">
        <v>0</v>
      </c>
      <c r="K65" s="162" t="n">
        <v>201</v>
      </c>
      <c r="L65" s="162" t="n">
        <v>0</v>
      </c>
      <c r="M65" s="227" t="n"/>
      <c r="N65" s="227" t="n"/>
      <c r="P65" s="162" t="n">
        <v>311</v>
      </c>
      <c r="S65" s="162" t="n">
        <v>465</v>
      </c>
      <c r="T65" s="162" t="n">
        <v>14</v>
      </c>
      <c r="V65" s="162" t="n">
        <v>0</v>
      </c>
      <c r="W65" s="162" t="n">
        <v>146</v>
      </c>
      <c r="X65" s="162" t="n">
        <v>231</v>
      </c>
      <c r="AC65" s="162" t="n">
        <v>253</v>
      </c>
      <c r="AE65" s="162" t="n">
        <v>4513</v>
      </c>
      <c r="AF65" s="162" t="n">
        <v>450</v>
      </c>
      <c r="AG65" s="162" t="n">
        <v>87</v>
      </c>
      <c r="AH65" s="162" t="n">
        <v>33</v>
      </c>
      <c r="AI65" s="162" t="n">
        <v>115</v>
      </c>
      <c r="AK65" s="162" t="n">
        <v>805</v>
      </c>
      <c r="AL65" s="162" t="n">
        <v>3</v>
      </c>
      <c r="AM65" s="162" t="n">
        <v>1900</v>
      </c>
      <c r="AN65" s="162" t="n">
        <v>24</v>
      </c>
      <c r="AO65" s="162" t="n">
        <v>146</v>
      </c>
      <c r="AP65" s="162" t="n">
        <v>76</v>
      </c>
      <c r="AQ65" s="162" t="n">
        <v>311</v>
      </c>
      <c r="AY65" s="162" t="n">
        <v>29</v>
      </c>
      <c r="AZ65" s="162" t="n">
        <v>3</v>
      </c>
      <c r="BA65" s="162" t="n">
        <v>375</v>
      </c>
      <c r="BB65" s="162" t="n">
        <v>0</v>
      </c>
      <c r="BC65" s="162" t="n">
        <v>240</v>
      </c>
      <c r="BD65" s="162" t="n">
        <v>4948</v>
      </c>
      <c r="BE65" s="162" t="n">
        <v>138</v>
      </c>
      <c r="BF65" s="162" t="n">
        <v>6</v>
      </c>
      <c r="BG65" s="162" t="n">
        <v>801</v>
      </c>
      <c r="BH65" s="162" t="n">
        <v>103</v>
      </c>
      <c r="BI65" s="162" t="n">
        <v>5</v>
      </c>
      <c r="BJ65" s="162" t="n">
        <v>898</v>
      </c>
      <c r="BK65" s="162" t="n">
        <v>85</v>
      </c>
      <c r="BL65" s="162" t="n">
        <v>0</v>
      </c>
      <c r="BM65" s="162" t="n">
        <v>748</v>
      </c>
      <c r="BN65" s="162" t="n">
        <v>94</v>
      </c>
      <c r="BO65" s="162" t="n">
        <v>0</v>
      </c>
      <c r="BP65" s="162" t="n">
        <v>593</v>
      </c>
      <c r="BQ65" s="162" t="n">
        <v>86</v>
      </c>
      <c r="BR65" s="162" t="n">
        <v>43</v>
      </c>
      <c r="BS65" s="162" t="n">
        <v>600</v>
      </c>
      <c r="BT65" s="162" t="n">
        <v>543</v>
      </c>
      <c r="BU65" s="162" t="n">
        <v>124</v>
      </c>
      <c r="BV65" s="162" t="n">
        <v>0</v>
      </c>
      <c r="BW65" s="162" t="n">
        <v>632</v>
      </c>
      <c r="BX65" s="162" t="n">
        <v>75</v>
      </c>
      <c r="BY65" s="162" t="n">
        <v>16</v>
      </c>
      <c r="BZ65" s="162" t="n">
        <v>631</v>
      </c>
      <c r="CA65" s="162" t="n">
        <v>508</v>
      </c>
      <c r="CB65" s="162" t="n">
        <v>140</v>
      </c>
      <c r="CC65" s="162" t="n">
        <v>17</v>
      </c>
      <c r="CD65" s="162" t="n">
        <v>977</v>
      </c>
      <c r="CG65" s="162" t="n">
        <v>0</v>
      </c>
      <c r="CH65" s="162" t="n">
        <v>11</v>
      </c>
      <c r="CI65" s="162" t="n">
        <v>9</v>
      </c>
      <c r="CJ65" s="162" t="n">
        <v>31</v>
      </c>
      <c r="CK65" s="162" t="n">
        <v>14</v>
      </c>
      <c r="CL65" s="162" t="n">
        <v>38</v>
      </c>
      <c r="CM65" s="162" t="n">
        <v>14</v>
      </c>
      <c r="CN65" s="162" t="n">
        <v>5</v>
      </c>
      <c r="CO65" s="162" t="n">
        <v>97</v>
      </c>
      <c r="CP65" s="162" t="n">
        <v>21</v>
      </c>
      <c r="CQ65" s="162" t="n">
        <v>37</v>
      </c>
      <c r="CR65" s="162" t="n">
        <v>6</v>
      </c>
      <c r="CS65" s="162" t="n">
        <v>18</v>
      </c>
      <c r="CT65" s="162" t="n">
        <v>20</v>
      </c>
      <c r="CU65" s="162" t="n">
        <v>24</v>
      </c>
      <c r="CV65" s="162" t="n">
        <v>35</v>
      </c>
      <c r="CW65" s="162" t="n">
        <v>36</v>
      </c>
      <c r="CX65" s="162" t="n">
        <v>34</v>
      </c>
      <c r="CY65" s="162" t="n">
        <v>90</v>
      </c>
      <c r="CZ65" s="162" t="n">
        <v>7</v>
      </c>
      <c r="DA65" s="162" t="n">
        <v>23</v>
      </c>
      <c r="DB65" s="162" t="n">
        <v>3</v>
      </c>
      <c r="DD65" s="162" t="n">
        <v>13</v>
      </c>
      <c r="DE65" s="162" t="n">
        <v>3</v>
      </c>
      <c r="DF65" s="162" t="n">
        <v>2</v>
      </c>
      <c r="DG65" s="162" t="n">
        <v>5</v>
      </c>
      <c r="DH65" s="162" t="n">
        <v>23</v>
      </c>
      <c r="DI65" s="162" t="n">
        <v>195</v>
      </c>
      <c r="DJ65" s="162" t="n">
        <v>388</v>
      </c>
      <c r="DK65" s="162" t="n">
        <v>0</v>
      </c>
      <c r="DL65" s="162" t="n">
        <v>0</v>
      </c>
      <c r="DM65" s="162" t="n">
        <v>0</v>
      </c>
      <c r="DN65" s="162" t="n">
        <v>0</v>
      </c>
      <c r="DO65" s="162" t="n">
        <v>384</v>
      </c>
      <c r="DP65" s="162" t="n">
        <v>340</v>
      </c>
    </row>
    <row r="66">
      <c r="A66" s="156" t="n">
        <v>45292</v>
      </c>
      <c r="B66" s="162" t="n">
        <v>1333</v>
      </c>
      <c r="C66" s="162" t="n">
        <v>475</v>
      </c>
      <c r="D66" s="162" t="n">
        <v>2905</v>
      </c>
      <c r="E66" s="162" t="n">
        <v>3068</v>
      </c>
      <c r="F66" s="162" t="n">
        <v>23</v>
      </c>
      <c r="G66" s="162" t="n">
        <v>3</v>
      </c>
      <c r="H66" s="162" t="n">
        <v>17</v>
      </c>
      <c r="I66" s="162" t="n">
        <v>5</v>
      </c>
      <c r="J66" s="162" t="n">
        <v>0</v>
      </c>
      <c r="K66" s="162" t="n">
        <v>167</v>
      </c>
      <c r="L66" s="162" t="n">
        <v>0</v>
      </c>
      <c r="M66" s="227" t="n"/>
      <c r="N66" s="227" t="n"/>
      <c r="P66" s="162" t="n">
        <v>258</v>
      </c>
      <c r="S66" s="162" t="n">
        <v>305</v>
      </c>
      <c r="T66" s="162" t="n">
        <v>14</v>
      </c>
      <c r="V66" s="162" t="n">
        <v>0</v>
      </c>
      <c r="W66" s="162" t="n">
        <v>205</v>
      </c>
      <c r="X66" s="162" t="n">
        <v>177</v>
      </c>
      <c r="AC66" s="162" t="n">
        <v>192</v>
      </c>
      <c r="AE66" s="162" t="n">
        <v>3185</v>
      </c>
      <c r="AF66" s="162" t="n">
        <v>488</v>
      </c>
      <c r="AG66" s="162" t="n">
        <v>54</v>
      </c>
      <c r="AH66" s="162" t="n">
        <v>28</v>
      </c>
      <c r="AI66" s="162" t="n">
        <v>79</v>
      </c>
      <c r="AK66" s="162" t="n">
        <v>696</v>
      </c>
      <c r="AL66" s="162" t="n">
        <v>0</v>
      </c>
      <c r="AM66" s="162" t="n">
        <v>1415</v>
      </c>
      <c r="AN66" s="162" t="n">
        <v>21</v>
      </c>
      <c r="AO66" s="162" t="n">
        <v>131</v>
      </c>
      <c r="AP66" s="162" t="n">
        <v>54</v>
      </c>
      <c r="AQ66" s="162" t="n">
        <v>186</v>
      </c>
      <c r="AY66" s="162" t="n">
        <v>27</v>
      </c>
      <c r="AZ66" s="162" t="n">
        <v>1</v>
      </c>
      <c r="BA66" s="162" t="n">
        <v>155</v>
      </c>
      <c r="BB66" s="162" t="n">
        <v>0</v>
      </c>
      <c r="BC66" s="162" t="n">
        <v>97</v>
      </c>
      <c r="BD66" s="162" t="n">
        <v>1646</v>
      </c>
      <c r="BE66" s="162" t="n">
        <v>60</v>
      </c>
      <c r="BF66" s="162" t="n">
        <v>11</v>
      </c>
      <c r="BG66" s="162" t="n">
        <v>312</v>
      </c>
      <c r="BH66" s="162" t="n">
        <v>40</v>
      </c>
      <c r="BI66" s="162" t="n">
        <v>4</v>
      </c>
      <c r="BJ66" s="162" t="n">
        <v>360</v>
      </c>
      <c r="BK66" s="162" t="n">
        <v>23</v>
      </c>
      <c r="BL66" s="162" t="n">
        <v>0</v>
      </c>
      <c r="BM66" s="162" t="n">
        <v>328</v>
      </c>
      <c r="BN66" s="162" t="n">
        <v>29</v>
      </c>
      <c r="BO66" s="162" t="n">
        <v>1</v>
      </c>
      <c r="BP66" s="162" t="n">
        <v>219</v>
      </c>
      <c r="BQ66" s="162" t="n">
        <v>31</v>
      </c>
      <c r="BR66" s="162" t="n">
        <v>17</v>
      </c>
      <c r="BS66" s="162" t="n">
        <v>89</v>
      </c>
      <c r="BT66" s="162" t="n">
        <v>210</v>
      </c>
      <c r="BU66" s="162" t="n">
        <v>37</v>
      </c>
      <c r="BV66" s="162" t="n">
        <v>0</v>
      </c>
      <c r="BW66" s="162" t="n">
        <v>191</v>
      </c>
      <c r="BX66" s="162" t="n">
        <v>25</v>
      </c>
      <c r="BY66" s="162" t="n">
        <v>24</v>
      </c>
      <c r="BZ66" s="162" t="n">
        <v>161</v>
      </c>
      <c r="CA66" s="162" t="n">
        <v>189</v>
      </c>
      <c r="CB66" s="162" t="n">
        <v>43</v>
      </c>
      <c r="CC66" s="162" t="n">
        <v>13</v>
      </c>
      <c r="CD66" s="162" t="n">
        <v>949</v>
      </c>
      <c r="CG66" s="162" t="n">
        <v>0</v>
      </c>
      <c r="CH66" s="162" t="n">
        <v>0</v>
      </c>
      <c r="CI66" s="162" t="n">
        <v>5</v>
      </c>
      <c r="CJ66" s="162" t="n">
        <v>38</v>
      </c>
      <c r="CK66" s="162" t="n">
        <v>42</v>
      </c>
      <c r="CL66" s="162" t="n">
        <v>36</v>
      </c>
      <c r="CM66" s="162" t="n">
        <v>15</v>
      </c>
      <c r="CN66" s="162" t="n">
        <v>6</v>
      </c>
      <c r="CO66" s="162" t="n">
        <v>100</v>
      </c>
      <c r="CP66" s="162" t="n">
        <v>27</v>
      </c>
      <c r="CQ66" s="162" t="n">
        <v>54</v>
      </c>
      <c r="CR66" s="162" t="n">
        <v>22</v>
      </c>
      <c r="CS66" s="162" t="n">
        <v>19</v>
      </c>
      <c r="CT66" s="162" t="n">
        <v>16</v>
      </c>
      <c r="CU66" s="162" t="n">
        <v>25</v>
      </c>
      <c r="CV66" s="162" t="n">
        <v>37</v>
      </c>
      <c r="CW66" s="162" t="n">
        <v>36</v>
      </c>
      <c r="CX66" s="162" t="n">
        <v>54</v>
      </c>
      <c r="CY66" s="162" t="n">
        <v>37</v>
      </c>
      <c r="CZ66" s="162" t="n">
        <v>8</v>
      </c>
      <c r="DA66" s="162" t="n">
        <v>28</v>
      </c>
      <c r="DB66" s="162" t="n">
        <v>3</v>
      </c>
      <c r="DD66" s="162" t="n">
        <v>11</v>
      </c>
      <c r="DE66" s="162" t="n">
        <v>2</v>
      </c>
      <c r="DF66" s="162" t="n">
        <v>23</v>
      </c>
      <c r="DG66" s="162" t="n">
        <v>3</v>
      </c>
      <c r="DH66" s="162" t="n">
        <v>20</v>
      </c>
      <c r="DI66" s="162" t="n">
        <v>52</v>
      </c>
      <c r="DJ66" s="162" t="n">
        <v>259</v>
      </c>
      <c r="DK66" s="162" t="n">
        <v>0</v>
      </c>
      <c r="DL66" s="162" t="n">
        <v>0</v>
      </c>
      <c r="DM66" s="162" t="n">
        <v>0</v>
      </c>
      <c r="DN66" s="162" t="n">
        <v>0</v>
      </c>
      <c r="DO66" s="162" t="n">
        <v>345</v>
      </c>
      <c r="DP66" s="162" t="n">
        <v>313</v>
      </c>
    </row>
    <row r="67">
      <c r="A67" s="156" t="n">
        <v>45323</v>
      </c>
      <c r="B67" s="228" t="n">
        <v>1541</v>
      </c>
      <c r="C67" s="229" t="n">
        <v>399</v>
      </c>
      <c r="D67" s="228" t="n">
        <v>3318</v>
      </c>
      <c r="E67" s="228" t="n">
        <v>2668</v>
      </c>
      <c r="F67" s="229" t="n">
        <v>32</v>
      </c>
      <c r="G67" s="229" t="n">
        <v>4</v>
      </c>
      <c r="H67" s="229" t="n">
        <v>25</v>
      </c>
      <c r="I67" s="229" t="n">
        <v>2</v>
      </c>
      <c r="J67" s="229" t="n">
        <v>0</v>
      </c>
      <c r="K67" s="229" t="n">
        <v>197</v>
      </c>
      <c r="L67" s="229" t="n">
        <v>0</v>
      </c>
      <c r="M67" s="229" t="n">
        <v>679</v>
      </c>
      <c r="N67" s="229" t="n">
        <v>73</v>
      </c>
      <c r="O67" s="229" t="n">
        <v>2</v>
      </c>
      <c r="P67" s="229" t="n">
        <v>224</v>
      </c>
      <c r="Q67" s="229" t="n">
        <v>51</v>
      </c>
      <c r="R67" s="229" t="n">
        <v>2</v>
      </c>
      <c r="S67" s="229" t="n">
        <v>300</v>
      </c>
      <c r="T67" s="229" t="n">
        <v>9</v>
      </c>
      <c r="U67" s="229" t="n">
        <v>16</v>
      </c>
      <c r="V67" s="229" t="n">
        <v>0</v>
      </c>
      <c r="W67" s="229" t="n">
        <v>107</v>
      </c>
      <c r="X67" s="229" t="n">
        <v>378</v>
      </c>
      <c r="Y67" s="229" t="n">
        <v>4</v>
      </c>
      <c r="Z67" s="229" t="n">
        <v>49</v>
      </c>
      <c r="AA67" s="229" t="n">
        <v>14</v>
      </c>
      <c r="AB67" s="229" t="n">
        <v>213</v>
      </c>
      <c r="AC67" s="229" t="n">
        <v>95</v>
      </c>
      <c r="AD67" s="229" t="n">
        <v>5</v>
      </c>
      <c r="AE67" s="228" t="n">
        <v>3899</v>
      </c>
      <c r="AF67" s="229" t="n">
        <v>573</v>
      </c>
      <c r="AG67" s="229" t="n">
        <v>74</v>
      </c>
      <c r="AH67" s="229" t="n">
        <v>26</v>
      </c>
      <c r="AI67" s="229" t="n">
        <v>96</v>
      </c>
      <c r="AJ67" s="229" t="n">
        <v>10</v>
      </c>
      <c r="AK67" s="229" t="n">
        <v>691</v>
      </c>
      <c r="AL67" s="229" t="n">
        <v>1</v>
      </c>
      <c r="AM67" s="228" t="n">
        <v>1367</v>
      </c>
      <c r="AN67" s="229" t="n">
        <v>16</v>
      </c>
      <c r="AO67" s="229" t="n">
        <v>171</v>
      </c>
      <c r="AP67" s="229" t="n">
        <v>82</v>
      </c>
      <c r="AQ67" s="229" t="n">
        <v>229</v>
      </c>
      <c r="AR67" s="229" t="n">
        <v>11</v>
      </c>
      <c r="AS67" s="229" t="n">
        <v>13</v>
      </c>
      <c r="AT67" s="229" t="n">
        <v>318</v>
      </c>
      <c r="AU67" s="229" t="n">
        <v>9</v>
      </c>
      <c r="AV67" s="229" t="n">
        <v>36</v>
      </c>
      <c r="AW67" s="229" t="n">
        <v>305</v>
      </c>
      <c r="AX67" s="229" t="n">
        <v>17</v>
      </c>
      <c r="AY67" s="229" t="n">
        <v>12</v>
      </c>
      <c r="AZ67" s="229" t="n">
        <v>3</v>
      </c>
      <c r="BA67" s="229" t="n">
        <v>434</v>
      </c>
      <c r="BB67" s="229" t="n">
        <v>472</v>
      </c>
      <c r="BC67" s="229" t="n">
        <v>225</v>
      </c>
      <c r="BD67" s="228" t="n">
        <v>1270</v>
      </c>
      <c r="BE67" s="229" t="n">
        <v>138</v>
      </c>
      <c r="BF67" s="229" t="n">
        <v>4</v>
      </c>
      <c r="BG67" s="229" t="n">
        <v>851</v>
      </c>
      <c r="BH67" s="229" t="n">
        <v>93</v>
      </c>
      <c r="BI67" s="229" t="n">
        <v>5</v>
      </c>
      <c r="BJ67" s="229" t="n">
        <v>859</v>
      </c>
      <c r="BK67" s="229" t="n">
        <v>77</v>
      </c>
      <c r="BL67" s="229" t="n">
        <v>0</v>
      </c>
      <c r="BM67" s="229" t="n">
        <v>773</v>
      </c>
      <c r="BN67" s="229" t="n">
        <v>95</v>
      </c>
      <c r="BO67" s="229" t="n">
        <v>1</v>
      </c>
      <c r="BP67" s="229" t="n">
        <v>545</v>
      </c>
      <c r="BQ67" s="229" t="n">
        <v>82</v>
      </c>
      <c r="BR67" s="229" t="n">
        <v>11</v>
      </c>
      <c r="BS67" s="229" t="n">
        <v>378</v>
      </c>
      <c r="BT67" s="229" t="n">
        <v>529</v>
      </c>
      <c r="BU67" s="229" t="n">
        <v>127</v>
      </c>
      <c r="BV67" s="229" t="n">
        <v>47</v>
      </c>
      <c r="BW67" s="229" t="n">
        <v>624</v>
      </c>
      <c r="BX67" s="229" t="n">
        <v>76</v>
      </c>
      <c r="BY67" s="229" t="n">
        <v>14</v>
      </c>
      <c r="BZ67" s="229" t="n">
        <v>567</v>
      </c>
      <c r="CA67" s="229" t="n">
        <v>489</v>
      </c>
      <c r="CB67" s="229" t="n">
        <v>150</v>
      </c>
      <c r="CC67" s="229" t="n">
        <v>10</v>
      </c>
      <c r="CD67" s="229" t="n">
        <v>768</v>
      </c>
      <c r="CE67" s="229" t="n">
        <v>69</v>
      </c>
      <c r="CF67" s="229" t="n">
        <v>0</v>
      </c>
      <c r="CG67" s="229" t="n">
        <v>0</v>
      </c>
      <c r="CH67" s="229" t="n">
        <v>1</v>
      </c>
      <c r="CI67" s="229" t="n">
        <v>0</v>
      </c>
      <c r="CJ67" s="229" t="n">
        <v>21</v>
      </c>
      <c r="CK67" s="229" t="n">
        <v>3</v>
      </c>
      <c r="CL67" s="229" t="n">
        <v>28</v>
      </c>
      <c r="CM67" s="229" t="n">
        <v>9</v>
      </c>
      <c r="CN67" s="229" t="n">
        <v>5</v>
      </c>
      <c r="CO67" s="229" t="n">
        <v>54</v>
      </c>
      <c r="CP67" s="229" t="n">
        <v>20</v>
      </c>
      <c r="CQ67" s="229" t="n">
        <v>31</v>
      </c>
      <c r="CR67" s="229" t="n">
        <v>24</v>
      </c>
      <c r="CS67" s="229" t="n">
        <v>3</v>
      </c>
      <c r="CT67" s="229" t="n">
        <v>4</v>
      </c>
      <c r="CU67" s="229" t="n">
        <v>7</v>
      </c>
      <c r="CV67" s="229" t="n">
        <v>27</v>
      </c>
      <c r="CW67" s="229" t="n">
        <v>23</v>
      </c>
      <c r="CX67" s="229" t="n">
        <v>24</v>
      </c>
      <c r="CY67" s="229" t="n">
        <v>37</v>
      </c>
      <c r="CZ67" s="229" t="n">
        <v>7</v>
      </c>
      <c r="DA67" s="229" t="n">
        <v>25</v>
      </c>
      <c r="DB67" s="229" t="n">
        <v>3</v>
      </c>
      <c r="DC67" s="229" t="n">
        <v>248</v>
      </c>
      <c r="DD67" s="229" t="n">
        <v>9</v>
      </c>
      <c r="DE67" s="229" t="n">
        <v>2</v>
      </c>
      <c r="DF67" s="229" t="n">
        <v>32</v>
      </c>
      <c r="DG67" s="233" t="n">
        <v>3</v>
      </c>
      <c r="DH67" s="233" t="n">
        <v>21</v>
      </c>
      <c r="DI67" s="233" t="n">
        <v>145</v>
      </c>
    </row>
    <row r="68">
      <c r="A68" s="156" t="n">
        <v>45352</v>
      </c>
      <c r="B68" s="228" t="n">
        <v>3312</v>
      </c>
      <c r="C68" s="229" t="n">
        <v>458</v>
      </c>
      <c r="D68" s="228" t="n">
        <v>3034</v>
      </c>
      <c r="E68" s="228" t="n">
        <v>2970</v>
      </c>
      <c r="F68" s="229" t="n">
        <v>29</v>
      </c>
      <c r="G68" s="229" t="n">
        <v>1</v>
      </c>
      <c r="H68" s="229" t="n">
        <v>27</v>
      </c>
      <c r="I68" s="229" t="n">
        <v>2</v>
      </c>
      <c r="J68" s="229" t="n">
        <v>0</v>
      </c>
      <c r="K68" s="229" t="n">
        <v>206</v>
      </c>
      <c r="L68" s="229" t="n">
        <v>0</v>
      </c>
      <c r="M68" s="229" t="n">
        <v>904</v>
      </c>
      <c r="N68" s="229" t="n">
        <v>50</v>
      </c>
      <c r="O68" s="229" t="n">
        <v>7</v>
      </c>
      <c r="P68" s="229" t="n">
        <v>251</v>
      </c>
      <c r="Q68" s="231" t="n">
        <v>44</v>
      </c>
      <c r="R68" s="231" t="n">
        <v>2</v>
      </c>
      <c r="S68" s="231" t="n">
        <v>339</v>
      </c>
      <c r="T68" s="231" t="n">
        <v>9</v>
      </c>
      <c r="U68" s="231" t="n">
        <v>9</v>
      </c>
      <c r="V68" s="231" t="n">
        <v>0</v>
      </c>
      <c r="W68" s="231" t="n">
        <v>160</v>
      </c>
      <c r="X68" s="231" t="n">
        <v>953</v>
      </c>
      <c r="Y68" s="229" t="n">
        <v>5</v>
      </c>
      <c r="Z68" s="229" t="n">
        <v>54</v>
      </c>
      <c r="AA68" s="229" t="n">
        <v>24</v>
      </c>
      <c r="AB68" s="229" t="n">
        <v>17</v>
      </c>
      <c r="AC68" s="229" t="n">
        <v>119</v>
      </c>
      <c r="AD68" s="229" t="n">
        <v>4</v>
      </c>
      <c r="AE68" s="228" t="n">
        <v>4244</v>
      </c>
      <c r="AF68" s="229" t="n">
        <v>630</v>
      </c>
      <c r="AG68" s="229" t="n">
        <v>78</v>
      </c>
      <c r="AH68" s="229" t="n">
        <v>32</v>
      </c>
      <c r="AI68" s="229" t="n">
        <v>115</v>
      </c>
      <c r="AJ68" s="229" t="n">
        <v>11</v>
      </c>
      <c r="AK68" s="229" t="n">
        <v>887</v>
      </c>
      <c r="AL68" s="229" t="n">
        <v>1</v>
      </c>
      <c r="AM68" s="228" t="n">
        <v>1713</v>
      </c>
      <c r="AN68" s="229" t="n">
        <v>21</v>
      </c>
      <c r="AO68" s="229" t="n">
        <v>171</v>
      </c>
      <c r="AP68" s="229" t="n">
        <v>91</v>
      </c>
      <c r="AQ68" s="229" t="n">
        <v>201</v>
      </c>
      <c r="AR68" s="229" t="n">
        <v>3</v>
      </c>
      <c r="AS68" s="229" t="n">
        <v>16</v>
      </c>
      <c r="AT68" s="229" t="n">
        <v>388</v>
      </c>
      <c r="AU68" s="229" t="n">
        <v>11</v>
      </c>
      <c r="AV68" s="229" t="n">
        <v>37</v>
      </c>
      <c r="AW68" s="229" t="n">
        <v>286</v>
      </c>
      <c r="AX68" s="229" t="n">
        <v>17</v>
      </c>
      <c r="AY68" s="229" t="n">
        <v>18</v>
      </c>
      <c r="AZ68" s="229" t="n">
        <v>6</v>
      </c>
      <c r="BA68" s="229" t="n">
        <v>593</v>
      </c>
      <c r="BB68" s="229" t="n">
        <v>682</v>
      </c>
      <c r="BC68" s="229" t="n">
        <v>320</v>
      </c>
      <c r="BD68" s="228" t="n">
        <v>1574</v>
      </c>
      <c r="BE68" s="229" t="n">
        <v>134</v>
      </c>
      <c r="BF68" s="229" t="n">
        <v>6</v>
      </c>
      <c r="BG68" s="229" t="n">
        <v>958</v>
      </c>
      <c r="BH68" s="229" t="n">
        <v>108</v>
      </c>
      <c r="BI68" s="229" t="n">
        <v>9</v>
      </c>
      <c r="BJ68" s="228" t="n">
        <v>1101</v>
      </c>
      <c r="BK68" s="229" t="n">
        <v>94</v>
      </c>
      <c r="BL68" s="229" t="n">
        <v>0</v>
      </c>
      <c r="BM68" s="229" t="n">
        <v>984</v>
      </c>
      <c r="BN68" s="229" t="n">
        <v>117</v>
      </c>
      <c r="BO68" s="229" t="n">
        <v>1</v>
      </c>
      <c r="BP68" s="229" t="n">
        <v>758</v>
      </c>
      <c r="BQ68" s="229" t="n">
        <v>102</v>
      </c>
      <c r="BR68" s="229" t="n">
        <v>8</v>
      </c>
      <c r="BS68" s="229" t="n">
        <v>465</v>
      </c>
      <c r="BT68" s="229" t="n">
        <v>684</v>
      </c>
      <c r="BU68" s="229" t="n">
        <v>157</v>
      </c>
      <c r="BV68" s="229" t="n">
        <v>65</v>
      </c>
      <c r="BW68" s="229" t="n">
        <v>812</v>
      </c>
      <c r="BX68" s="229" t="n">
        <v>89</v>
      </c>
      <c r="BY68" s="229" t="n">
        <v>11</v>
      </c>
      <c r="BZ68" s="229" t="n">
        <v>797</v>
      </c>
      <c r="CA68" s="229" t="n">
        <v>666</v>
      </c>
      <c r="CB68" s="229" t="n">
        <v>189</v>
      </c>
      <c r="CC68" s="229" t="n">
        <v>12</v>
      </c>
      <c r="CD68" s="229" t="n">
        <v>970</v>
      </c>
      <c r="CE68" s="229" t="n">
        <v>-34</v>
      </c>
      <c r="CF68" s="229" t="n">
        <v>0</v>
      </c>
      <c r="CG68" s="229" t="n">
        <v>0</v>
      </c>
      <c r="CH68" s="229" t="n">
        <v>0</v>
      </c>
      <c r="CI68" s="229" t="n">
        <v>1</v>
      </c>
      <c r="CJ68" s="229" t="n">
        <v>20</v>
      </c>
      <c r="CK68" s="229" t="n">
        <v>1</v>
      </c>
      <c r="CL68" s="229" t="n">
        <v>27</v>
      </c>
      <c r="CM68" s="229" t="n">
        <v>11</v>
      </c>
      <c r="CN68" s="229" t="n">
        <v>5</v>
      </c>
      <c r="CO68" s="229" t="n">
        <v>58</v>
      </c>
      <c r="CP68" s="229" t="n">
        <v>27</v>
      </c>
      <c r="CQ68" s="229" t="n">
        <v>40</v>
      </c>
      <c r="CR68" s="229" t="n">
        <v>23</v>
      </c>
      <c r="CS68" s="229" t="n">
        <v>5</v>
      </c>
      <c r="CT68" s="229" t="n">
        <v>8</v>
      </c>
      <c r="CU68" s="229" t="n">
        <v>39</v>
      </c>
      <c r="CV68" s="229" t="n">
        <v>28</v>
      </c>
      <c r="CW68" s="229" t="n">
        <v>24</v>
      </c>
      <c r="CX68" s="229" t="n">
        <v>41</v>
      </c>
      <c r="CY68" s="229" t="n">
        <v>43</v>
      </c>
      <c r="CZ68" s="229" t="n">
        <v>8</v>
      </c>
      <c r="DA68" s="229" t="n">
        <v>24</v>
      </c>
      <c r="DB68" s="229" t="n">
        <v>3</v>
      </c>
      <c r="DC68" s="229" t="n">
        <v>224</v>
      </c>
      <c r="DD68" s="229" t="n">
        <v>10</v>
      </c>
      <c r="DE68" s="229" t="n">
        <v>3</v>
      </c>
      <c r="DF68" s="232" t="n">
        <v>46</v>
      </c>
      <c r="DG68" s="234" t="n">
        <v>2</v>
      </c>
      <c r="DH68" s="234" t="n">
        <v>21</v>
      </c>
      <c r="DI68" s="234" t="n">
        <v>27</v>
      </c>
    </row>
    <row r="69">
      <c r="A69" s="156" t="n">
        <v>45383</v>
      </c>
      <c r="B69" s="228" t="n">
        <v>8060</v>
      </c>
      <c r="C69" s="229" t="n">
        <v>406</v>
      </c>
      <c r="D69" s="228" t="n">
        <v>3224</v>
      </c>
      <c r="E69" s="228" t="n">
        <v>3007</v>
      </c>
      <c r="F69" s="229" t="n">
        <v>18</v>
      </c>
      <c r="G69" s="229" t="n">
        <v>69</v>
      </c>
      <c r="H69" s="229" t="n">
        <v>37</v>
      </c>
      <c r="I69" s="229" t="n">
        <v>14</v>
      </c>
      <c r="J69" s="229" t="n">
        <v>0</v>
      </c>
      <c r="K69" s="229" t="n">
        <v>214</v>
      </c>
      <c r="L69" s="229" t="n">
        <v>1</v>
      </c>
      <c r="M69" s="229" t="n">
        <v>918</v>
      </c>
      <c r="N69" s="229" t="n">
        <v>43</v>
      </c>
      <c r="O69" s="229" t="n">
        <v>4</v>
      </c>
      <c r="P69" s="229" t="n">
        <v>223</v>
      </c>
      <c r="Q69" s="229" t="n">
        <v>39</v>
      </c>
      <c r="R69" s="229" t="n">
        <v>1</v>
      </c>
      <c r="S69" s="229" t="n">
        <v>881</v>
      </c>
      <c r="T69" s="229" t="n">
        <v>12</v>
      </c>
      <c r="U69" s="229" t="n">
        <v>10</v>
      </c>
      <c r="V69" s="229" t="n">
        <v>0</v>
      </c>
      <c r="W69" s="229" t="n">
        <v>116</v>
      </c>
      <c r="X69" s="229" t="n">
        <v>953</v>
      </c>
      <c r="Y69" s="229" t="n">
        <v>10</v>
      </c>
      <c r="Z69" s="229" t="n">
        <v>60</v>
      </c>
      <c r="AA69" s="229" t="n">
        <v>25</v>
      </c>
      <c r="AB69" s="229" t="n">
        <v>20</v>
      </c>
      <c r="AC69" s="229" t="n">
        <v>125</v>
      </c>
      <c r="AD69" s="229" t="n">
        <v>0</v>
      </c>
      <c r="AE69" s="228" t="n">
        <v>4474</v>
      </c>
      <c r="AF69" s="229" t="n">
        <v>739</v>
      </c>
      <c r="AG69" s="229" t="n">
        <v>97</v>
      </c>
      <c r="AH69" s="229" t="n">
        <v>33</v>
      </c>
      <c r="AI69" s="229" t="n">
        <v>113</v>
      </c>
      <c r="AJ69" s="229" t="n">
        <v>12</v>
      </c>
      <c r="AK69" s="229" t="n">
        <v>899</v>
      </c>
      <c r="AL69" s="229" t="n">
        <v>1</v>
      </c>
      <c r="AM69" s="228" t="n">
        <v>1822</v>
      </c>
      <c r="AN69" s="229" t="n">
        <v>24</v>
      </c>
      <c r="AO69" s="229" t="n">
        <v>143</v>
      </c>
      <c r="AP69" s="229" t="n">
        <v>100</v>
      </c>
      <c r="AQ69" s="229" t="n">
        <v>214</v>
      </c>
      <c r="AR69" s="229" t="n">
        <v>9</v>
      </c>
      <c r="AS69" s="229" t="n">
        <v>15</v>
      </c>
      <c r="AT69" s="229" t="n">
        <v>387</v>
      </c>
      <c r="AU69" s="229" t="n">
        <v>9</v>
      </c>
      <c r="AV69" s="229" t="n">
        <v>26</v>
      </c>
      <c r="AW69" s="229" t="n">
        <v>293</v>
      </c>
      <c r="AX69" s="229" t="n">
        <v>16</v>
      </c>
      <c r="AY69" s="229" t="n">
        <v>17</v>
      </c>
      <c r="AZ69" s="229" t="n">
        <v>2</v>
      </c>
      <c r="BA69" s="229" t="n">
        <v>503</v>
      </c>
      <c r="BB69" s="229" t="n">
        <v>344</v>
      </c>
      <c r="BC69" s="229" t="n">
        <v>251</v>
      </c>
      <c r="BD69" s="228" t="n">
        <v>1562</v>
      </c>
      <c r="BE69" s="229" t="n">
        <v>149</v>
      </c>
      <c r="BF69" s="229" t="n">
        <v>8</v>
      </c>
      <c r="BG69" s="229" t="n">
        <v>977</v>
      </c>
      <c r="BH69" s="229" t="n">
        <v>114</v>
      </c>
      <c r="BI69" s="229" t="n">
        <v>4</v>
      </c>
      <c r="BJ69" s="228" t="n">
        <v>1060</v>
      </c>
      <c r="BK69" s="229" t="n">
        <v>108</v>
      </c>
      <c r="BL69" s="229" t="n">
        <v>2</v>
      </c>
      <c r="BM69" s="229" t="n">
        <v>930</v>
      </c>
      <c r="BN69" s="229" t="n">
        <v>110</v>
      </c>
      <c r="BO69" s="229" t="n">
        <v>0</v>
      </c>
      <c r="BP69" s="229" t="n">
        <v>717</v>
      </c>
      <c r="BQ69" s="229" t="n">
        <v>104</v>
      </c>
      <c r="BR69" s="229" t="n">
        <v>6</v>
      </c>
      <c r="BS69" s="229" t="n">
        <v>459</v>
      </c>
      <c r="BT69" s="229" t="n">
        <v>675</v>
      </c>
      <c r="BU69" s="229" t="n">
        <v>159</v>
      </c>
      <c r="BV69" s="229" t="n">
        <v>43</v>
      </c>
      <c r="BW69" s="229" t="n">
        <v>753</v>
      </c>
      <c r="BX69" s="229" t="n">
        <v>86</v>
      </c>
      <c r="BY69" s="229" t="n">
        <v>21</v>
      </c>
      <c r="BZ69" s="229" t="n">
        <v>760</v>
      </c>
      <c r="CA69" s="229" t="n">
        <v>650</v>
      </c>
      <c r="CB69" s="229" t="n">
        <v>190</v>
      </c>
      <c r="CC69" s="229" t="n">
        <v>15</v>
      </c>
      <c r="CD69" s="228" t="n">
        <v>1001</v>
      </c>
      <c r="CE69" s="229" t="n">
        <v>12</v>
      </c>
      <c r="CF69" s="229" t="n">
        <v>0</v>
      </c>
      <c r="CG69" s="229" t="n">
        <v>0</v>
      </c>
      <c r="CH69" s="229" t="n">
        <v>0</v>
      </c>
      <c r="CI69" s="229" t="n">
        <v>0</v>
      </c>
      <c r="CJ69" s="229" t="n">
        <v>28</v>
      </c>
      <c r="CK69" s="229" t="n">
        <v>7</v>
      </c>
      <c r="CL69" s="229" t="n">
        <v>38</v>
      </c>
      <c r="CM69" s="229" t="n">
        <v>15</v>
      </c>
      <c r="CN69" s="229" t="n">
        <v>5</v>
      </c>
      <c r="CO69" s="229" t="n">
        <v>109</v>
      </c>
      <c r="CP69" s="229" t="n">
        <v>28</v>
      </c>
      <c r="CQ69" s="229" t="n">
        <v>49</v>
      </c>
      <c r="CR69" s="229" t="n">
        <v>32</v>
      </c>
      <c r="CS69" s="229" t="n">
        <v>22</v>
      </c>
      <c r="CT69" s="229" t="n">
        <v>18</v>
      </c>
      <c r="CU69" s="229" t="n">
        <v>25</v>
      </c>
      <c r="CV69" s="229" t="n">
        <v>28</v>
      </c>
      <c r="CW69" s="229" t="n">
        <v>26</v>
      </c>
      <c r="CX69" s="229" t="n">
        <v>33</v>
      </c>
      <c r="CY69" s="229" t="n">
        <v>43</v>
      </c>
      <c r="CZ69" s="229" t="n">
        <v>9</v>
      </c>
      <c r="DA69" s="229" t="n">
        <v>30</v>
      </c>
      <c r="DB69" s="229" t="n">
        <v>3</v>
      </c>
      <c r="DC69" s="229" t="n">
        <v>215</v>
      </c>
      <c r="DD69" s="229" t="n">
        <v>10</v>
      </c>
      <c r="DE69" s="229" t="n">
        <v>2</v>
      </c>
      <c r="DF69" s="229" t="n">
        <v>62</v>
      </c>
      <c r="DG69" s="229" t="n">
        <v>2</v>
      </c>
      <c r="DH69" s="229" t="n">
        <v>15</v>
      </c>
      <c r="DI69" s="229" t="n">
        <v>32</v>
      </c>
    </row>
    <row r="70">
      <c r="A70" s="156" t="n">
        <v>45413</v>
      </c>
      <c r="B70" s="228" t="n">
        <v>7514</v>
      </c>
      <c r="C70" s="228" t="n">
        <v>509</v>
      </c>
      <c r="D70" s="228" t="n">
        <v>3111</v>
      </c>
      <c r="E70" s="228" t="n">
        <v>2882</v>
      </c>
      <c r="F70" s="228" t="n">
        <v>12</v>
      </c>
      <c r="G70" s="228" t="n">
        <v>149</v>
      </c>
      <c r="H70" s="228" t="n">
        <v>129</v>
      </c>
      <c r="I70" s="228" t="n">
        <v>3</v>
      </c>
      <c r="J70" s="228" t="n">
        <v>-120</v>
      </c>
      <c r="K70" s="228" t="n">
        <v>74</v>
      </c>
      <c r="L70" s="228" t="n">
        <v>0</v>
      </c>
      <c r="M70" s="228" t="n">
        <v>820</v>
      </c>
      <c r="N70" s="228" t="n">
        <v>32</v>
      </c>
      <c r="O70" s="228" t="n">
        <v>3</v>
      </c>
      <c r="P70" s="228" t="n">
        <v>190</v>
      </c>
      <c r="Q70" s="228" t="n">
        <v>41</v>
      </c>
      <c r="R70" s="228" t="n">
        <v>0</v>
      </c>
      <c r="S70" s="228" t="n">
        <v>812</v>
      </c>
      <c r="T70" s="228" t="n">
        <v>11</v>
      </c>
      <c r="U70" s="228" t="n">
        <v>8</v>
      </c>
      <c r="V70" s="228" t="n">
        <v>0</v>
      </c>
      <c r="W70" s="228" t="n">
        <v>122</v>
      </c>
      <c r="X70" s="228" t="n">
        <v>51</v>
      </c>
      <c r="Y70" s="228" t="n">
        <v>6</v>
      </c>
      <c r="Z70" s="228" t="n">
        <v>43</v>
      </c>
      <c r="AA70" s="228" t="n">
        <v>20</v>
      </c>
      <c r="AB70" s="228" t="n">
        <v>20</v>
      </c>
      <c r="AC70" s="228" t="n">
        <v>49</v>
      </c>
      <c r="AD70" s="228" t="n">
        <v>0</v>
      </c>
      <c r="AE70" s="228" t="n">
        <v>4250</v>
      </c>
      <c r="AF70" s="228" t="n">
        <v>714</v>
      </c>
      <c r="AG70" s="228" t="n">
        <v>100</v>
      </c>
      <c r="AH70" s="228" t="n">
        <v>32</v>
      </c>
      <c r="AI70" s="228" t="n">
        <v>112</v>
      </c>
      <c r="AJ70" s="228" t="n">
        <v>11</v>
      </c>
      <c r="AK70" s="228" t="n">
        <v>918</v>
      </c>
      <c r="AL70" s="228" t="n">
        <v>0</v>
      </c>
      <c r="AM70" s="228" t="n">
        <v>1981</v>
      </c>
      <c r="AN70" s="228" t="n">
        <v>23</v>
      </c>
      <c r="AO70" s="228" t="n">
        <v>118</v>
      </c>
      <c r="AP70" s="228" t="n">
        <v>107</v>
      </c>
      <c r="AQ70" s="228" t="n">
        <v>224</v>
      </c>
      <c r="AR70" s="228" t="n">
        <v>8</v>
      </c>
      <c r="AS70" s="228" t="n">
        <v>18</v>
      </c>
      <c r="AT70" s="228" t="n">
        <v>432</v>
      </c>
      <c r="AU70" s="228" t="n">
        <v>9</v>
      </c>
      <c r="AV70" s="228" t="n">
        <v>25</v>
      </c>
      <c r="AW70" s="228" t="n">
        <v>273</v>
      </c>
      <c r="AX70" s="228" t="n">
        <v>16</v>
      </c>
      <c r="AY70" s="228" t="n">
        <v>6</v>
      </c>
      <c r="AZ70" s="228" t="n">
        <v>3</v>
      </c>
      <c r="BA70" s="228" t="n">
        <v>472</v>
      </c>
      <c r="BB70" s="228" t="n">
        <v>304</v>
      </c>
      <c r="BC70" s="228" t="n">
        <v>249</v>
      </c>
      <c r="BD70" s="228" t="n">
        <v>1532</v>
      </c>
      <c r="BE70" s="228" t="n">
        <v>125</v>
      </c>
      <c r="BF70" s="228" t="n">
        <v>4</v>
      </c>
      <c r="BG70" s="228" t="n">
        <v>942</v>
      </c>
      <c r="BH70" s="228" t="n">
        <v>134</v>
      </c>
      <c r="BI70" s="228" t="n">
        <v>6</v>
      </c>
      <c r="BJ70" s="228" t="n">
        <v>1085</v>
      </c>
      <c r="BK70" s="228" t="n">
        <v>91</v>
      </c>
      <c r="BL70" s="228" t="n">
        <v>0</v>
      </c>
      <c r="BM70" s="228" t="n">
        <v>896</v>
      </c>
      <c r="BN70" s="228" t="n">
        <v>96</v>
      </c>
      <c r="BO70" s="228" t="n">
        <v>0</v>
      </c>
      <c r="BP70" s="228" t="n">
        <v>690</v>
      </c>
      <c r="BQ70" s="228" t="n">
        <v>90</v>
      </c>
      <c r="BR70" s="228" t="n">
        <v>3</v>
      </c>
      <c r="BS70" s="228" t="n">
        <v>471</v>
      </c>
      <c r="BT70" s="228" t="n">
        <v>677</v>
      </c>
      <c r="BU70" s="228" t="n">
        <v>139</v>
      </c>
      <c r="BV70" s="228" t="n">
        <v>15</v>
      </c>
      <c r="BW70" s="228" t="n">
        <v>733</v>
      </c>
      <c r="BX70" s="228" t="n">
        <v>80</v>
      </c>
      <c r="BY70" s="228" t="n">
        <v>20</v>
      </c>
      <c r="BZ70" s="228" t="n">
        <v>797</v>
      </c>
      <c r="CA70" s="228" t="n">
        <v>672</v>
      </c>
      <c r="CB70" s="228" t="n">
        <v>169</v>
      </c>
      <c r="CC70" s="228" t="n">
        <v>16</v>
      </c>
      <c r="CD70" s="228" t="n">
        <v>1048</v>
      </c>
      <c r="CE70" s="228" t="n">
        <v>17</v>
      </c>
      <c r="CF70" s="228" t="n">
        <v>6</v>
      </c>
      <c r="CG70" s="228" t="n">
        <v>0</v>
      </c>
      <c r="CH70" s="228" t="n">
        <v>2</v>
      </c>
      <c r="CI70" s="228" t="n">
        <v>1</v>
      </c>
      <c r="CJ70" s="228" t="n">
        <v>72</v>
      </c>
      <c r="CK70" s="228" t="n">
        <v>13</v>
      </c>
      <c r="CL70" s="228" t="n">
        <v>36</v>
      </c>
      <c r="CM70" s="228" t="n">
        <v>16</v>
      </c>
      <c r="CN70" s="228" t="n">
        <v>4</v>
      </c>
      <c r="CO70" s="228" t="n">
        <v>46</v>
      </c>
      <c r="CP70" s="228" t="n">
        <v>23</v>
      </c>
      <c r="CQ70" s="228" t="n">
        <v>41</v>
      </c>
      <c r="CR70" s="228" t="n">
        <v>19</v>
      </c>
      <c r="CS70" s="228" t="n">
        <v>13</v>
      </c>
      <c r="CT70" s="228" t="n">
        <v>12</v>
      </c>
      <c r="CU70" s="228" t="n">
        <v>30</v>
      </c>
      <c r="CV70" s="228" t="n">
        <v>29</v>
      </c>
      <c r="CW70" s="228" t="n">
        <v>31</v>
      </c>
      <c r="CX70" s="228" t="n">
        <v>23</v>
      </c>
      <c r="CY70" s="228" t="n">
        <v>44</v>
      </c>
      <c r="CZ70" s="228" t="n">
        <v>6</v>
      </c>
      <c r="DA70" s="228" t="n">
        <v>19</v>
      </c>
      <c r="DB70" s="228" t="n">
        <v>4</v>
      </c>
      <c r="DC70" s="228" t="n">
        <v>232</v>
      </c>
      <c r="DD70" s="228" t="n">
        <v>7</v>
      </c>
      <c r="DE70" s="228" t="n">
        <v>3</v>
      </c>
      <c r="DF70" s="228" t="n">
        <v>55</v>
      </c>
      <c r="DG70" s="228" t="n">
        <v>5</v>
      </c>
      <c r="DH70" s="228" t="n">
        <v>14</v>
      </c>
      <c r="DI70" s="228" t="n">
        <v>19</v>
      </c>
    </row>
    <row r="71">
      <c r="A71" s="156" t="n">
        <v>45444</v>
      </c>
      <c r="B71" s="228" t="n">
        <v>8996</v>
      </c>
      <c r="C71" s="228" t="n">
        <v>461</v>
      </c>
      <c r="D71" s="228" t="n">
        <v>2478</v>
      </c>
      <c r="E71" s="228" t="n">
        <v>2709</v>
      </c>
      <c r="F71" s="228" t="n">
        <v>17</v>
      </c>
      <c r="G71" s="228" t="n">
        <v>152</v>
      </c>
      <c r="H71" s="228" t="n">
        <v>164</v>
      </c>
      <c r="I71" s="228" t="n">
        <v>13</v>
      </c>
      <c r="J71" s="228" t="n">
        <v>10</v>
      </c>
      <c r="K71" s="228" t="n">
        <v>20</v>
      </c>
      <c r="L71" s="228" t="n">
        <v>0</v>
      </c>
      <c r="M71" s="228" t="n">
        <v>719</v>
      </c>
      <c r="N71" s="228" t="n">
        <v>19</v>
      </c>
      <c r="O71" s="228" t="n">
        <v>4</v>
      </c>
      <c r="P71" s="228" t="n">
        <v>155</v>
      </c>
      <c r="Q71" s="228" t="n">
        <v>23</v>
      </c>
      <c r="R71" s="228" t="n">
        <v>0</v>
      </c>
      <c r="S71" s="228" t="n">
        <v>1015</v>
      </c>
      <c r="T71" s="228" t="n">
        <v>12</v>
      </c>
      <c r="U71" s="228" t="n">
        <v>5</v>
      </c>
      <c r="V71" s="228" t="n">
        <v>0</v>
      </c>
      <c r="W71" s="228" t="n">
        <v>309</v>
      </c>
      <c r="X71" s="228" t="n">
        <v>6</v>
      </c>
      <c r="Y71" s="228" t="n">
        <v>11</v>
      </c>
      <c r="Z71" s="228" t="n">
        <v>44</v>
      </c>
      <c r="AA71" s="228" t="n">
        <v>11</v>
      </c>
      <c r="AB71" s="228" t="n">
        <v>16</v>
      </c>
      <c r="AC71" s="228" t="n">
        <v>37</v>
      </c>
      <c r="AD71" s="228" t="n">
        <v>0</v>
      </c>
      <c r="AE71" s="228" t="n">
        <v>3475</v>
      </c>
      <c r="AF71" s="228" t="n">
        <v>824</v>
      </c>
      <c r="AG71" s="228" t="n">
        <v>69</v>
      </c>
      <c r="AH71" s="228" t="n">
        <v>24</v>
      </c>
      <c r="AI71" s="228" t="n">
        <v>87</v>
      </c>
      <c r="AJ71" s="228" t="n">
        <v>8</v>
      </c>
      <c r="AK71" s="228" t="n">
        <v>751</v>
      </c>
      <c r="AL71" s="228" t="n">
        <v>3</v>
      </c>
      <c r="AM71" s="228" t="n">
        <v>1245</v>
      </c>
      <c r="AN71" s="228" t="n">
        <v>17</v>
      </c>
      <c r="AO71" s="228" t="n">
        <v>2</v>
      </c>
      <c r="AP71" s="228" t="n">
        <v>76</v>
      </c>
      <c r="AQ71" s="228" t="n">
        <v>229</v>
      </c>
      <c r="AR71" s="228" t="n">
        <v>51</v>
      </c>
      <c r="AS71" s="228" t="n">
        <v>10</v>
      </c>
      <c r="AT71" s="228" t="n">
        <v>303</v>
      </c>
      <c r="AU71" s="228" t="n">
        <v>7</v>
      </c>
      <c r="AV71" s="228" t="n">
        <v>20</v>
      </c>
      <c r="AW71" s="228" t="n">
        <v>280</v>
      </c>
      <c r="AX71" s="228" t="n">
        <v>10</v>
      </c>
      <c r="AY71" s="228" t="n">
        <v>4</v>
      </c>
      <c r="AZ71" s="228" t="n">
        <v>1</v>
      </c>
      <c r="BA71" s="228" t="n">
        <v>163</v>
      </c>
      <c r="BB71" s="228" t="n">
        <v>97</v>
      </c>
      <c r="BC71" s="228" t="n">
        <v>83</v>
      </c>
      <c r="BD71" s="228" t="n">
        <v>673</v>
      </c>
      <c r="BE71" s="228" t="n">
        <v>81</v>
      </c>
      <c r="BF71" s="228" t="n">
        <v>3</v>
      </c>
      <c r="BG71" s="228" t="n">
        <v>374</v>
      </c>
      <c r="BH71" s="228" t="n">
        <v>34</v>
      </c>
      <c r="BI71" s="228" t="n">
        <v>5</v>
      </c>
      <c r="BJ71" s="228" t="n">
        <v>455</v>
      </c>
      <c r="BK71" s="228" t="n">
        <v>58</v>
      </c>
      <c r="BL71" s="228" t="n">
        <v>0</v>
      </c>
      <c r="BM71" s="228" t="n">
        <v>311</v>
      </c>
      <c r="BN71" s="228" t="n">
        <v>61</v>
      </c>
      <c r="BO71" s="228" t="n">
        <v>1</v>
      </c>
      <c r="BP71" s="228" t="n">
        <v>280</v>
      </c>
      <c r="BQ71" s="228" t="n">
        <v>51</v>
      </c>
      <c r="BR71" s="228" t="n">
        <v>1</v>
      </c>
      <c r="BS71" s="228" t="n">
        <v>193</v>
      </c>
      <c r="BT71" s="228" t="n">
        <v>190</v>
      </c>
      <c r="BU71" s="228" t="n">
        <v>81</v>
      </c>
      <c r="BV71" s="228" t="n">
        <v>12</v>
      </c>
      <c r="BW71" s="228" t="n">
        <v>266</v>
      </c>
      <c r="BX71" s="228" t="n">
        <v>44</v>
      </c>
      <c r="BY71" s="228" t="n">
        <v>7</v>
      </c>
      <c r="BZ71" s="228" t="n">
        <v>320</v>
      </c>
      <c r="CA71" s="228" t="n">
        <v>356</v>
      </c>
      <c r="CB71" s="228" t="n">
        <v>110</v>
      </c>
      <c r="CC71" s="228" t="n">
        <v>12</v>
      </c>
      <c r="CD71" s="228" t="n">
        <v>720</v>
      </c>
      <c r="CE71" s="228" t="n">
        <v>12</v>
      </c>
      <c r="CF71" s="228" t="n">
        <v>0</v>
      </c>
      <c r="CG71" s="228" t="n">
        <v>0</v>
      </c>
      <c r="CH71" s="228" t="n">
        <v>0</v>
      </c>
      <c r="CI71" s="228" t="n">
        <v>1</v>
      </c>
      <c r="CJ71" s="228" t="n">
        <v>28</v>
      </c>
      <c r="CK71" s="228" t="n">
        <v>12</v>
      </c>
      <c r="CL71" s="228" t="n">
        <v>38</v>
      </c>
      <c r="CM71" s="228" t="n">
        <v>18</v>
      </c>
      <c r="CN71" s="228" t="n">
        <v>6</v>
      </c>
      <c r="CO71" s="228" t="n">
        <v>41</v>
      </c>
      <c r="CP71" s="228" t="n">
        <v>25</v>
      </c>
      <c r="CQ71" s="228" t="n">
        <v>48</v>
      </c>
      <c r="CR71" s="228" t="n">
        <v>27</v>
      </c>
      <c r="CS71" s="228" t="n">
        <v>23</v>
      </c>
      <c r="CT71" s="228" t="n">
        <v>17</v>
      </c>
      <c r="CU71" s="228" t="n">
        <v>39</v>
      </c>
      <c r="CV71" s="228" t="n">
        <v>29</v>
      </c>
      <c r="CW71" s="228" t="n">
        <v>50</v>
      </c>
      <c r="CX71" s="228" t="n">
        <v>24</v>
      </c>
      <c r="CY71" s="228" t="n">
        <v>30</v>
      </c>
      <c r="CZ71" s="228" t="n">
        <v>6</v>
      </c>
      <c r="DA71" s="228" t="n">
        <v>17</v>
      </c>
      <c r="DB71" s="228" t="n">
        <v>4</v>
      </c>
      <c r="DC71" s="228" t="n">
        <v>234</v>
      </c>
      <c r="DD71" s="228" t="n">
        <v>8</v>
      </c>
      <c r="DE71" s="228" t="n">
        <v>3</v>
      </c>
      <c r="DF71" s="228" t="n">
        <v>98</v>
      </c>
      <c r="DG71" s="228" t="n">
        <v>5</v>
      </c>
      <c r="DH71" s="228" t="n">
        <v>13</v>
      </c>
      <c r="DI71" s="228" t="n">
        <v>23</v>
      </c>
    </row>
    <row r="72">
      <c r="A72" s="156" t="n">
        <v>45474</v>
      </c>
      <c r="B72" s="228" t="n">
        <v>10945</v>
      </c>
      <c r="C72" s="228" t="n">
        <v>647</v>
      </c>
      <c r="D72" s="228" t="n">
        <v>3919</v>
      </c>
      <c r="E72" s="228" t="n">
        <v>3419</v>
      </c>
      <c r="F72" s="228" t="n">
        <v>42</v>
      </c>
      <c r="G72" s="228" t="n">
        <v>196</v>
      </c>
      <c r="H72" s="228" t="n">
        <v>228</v>
      </c>
      <c r="I72" s="228" t="n">
        <v>7</v>
      </c>
      <c r="J72" s="228" t="n">
        <v>10</v>
      </c>
      <c r="K72" s="228" t="n">
        <v>0</v>
      </c>
      <c r="L72" s="228" t="n">
        <v>0</v>
      </c>
      <c r="M72" s="228" t="n">
        <v>1007</v>
      </c>
      <c r="N72" s="228" t="n">
        <v>33</v>
      </c>
      <c r="O72" s="228" t="n">
        <v>3</v>
      </c>
      <c r="P72" s="228" t="n">
        <v>143</v>
      </c>
      <c r="Q72" s="228" t="n">
        <v>48</v>
      </c>
      <c r="R72" s="228" t="n">
        <v>2</v>
      </c>
      <c r="S72" s="228" t="n">
        <v>1480</v>
      </c>
      <c r="T72" s="228" t="n">
        <v>10</v>
      </c>
      <c r="U72" s="228" t="n">
        <v>5</v>
      </c>
      <c r="V72" s="228" t="n">
        <v>0</v>
      </c>
      <c r="W72" s="228" t="n">
        <v>112</v>
      </c>
      <c r="X72" s="228" t="n">
        <v>5</v>
      </c>
      <c r="Y72" s="228" t="n">
        <v>15</v>
      </c>
      <c r="Z72" s="228" t="n">
        <v>58</v>
      </c>
      <c r="AA72" s="228" t="n">
        <v>12</v>
      </c>
      <c r="AB72" s="228" t="n">
        <v>14</v>
      </c>
      <c r="AC72" s="228" t="n">
        <v>67</v>
      </c>
      <c r="AD72" s="228" t="n">
        <v>0</v>
      </c>
      <c r="AE72" s="228" t="n">
        <v>4102</v>
      </c>
      <c r="AF72" s="228" t="n">
        <v>957</v>
      </c>
      <c r="AG72" s="228" t="n">
        <v>0</v>
      </c>
      <c r="AH72" s="228" t="n">
        <v>23</v>
      </c>
      <c r="AI72" s="228" t="n">
        <v>111</v>
      </c>
      <c r="AJ72" s="228" t="n">
        <v>8</v>
      </c>
      <c r="AK72" s="228" t="n">
        <v>980</v>
      </c>
      <c r="AL72" s="228" t="n">
        <v>0</v>
      </c>
      <c r="AM72" s="228" t="n">
        <v>1616</v>
      </c>
      <c r="AN72" s="228" t="n">
        <v>22</v>
      </c>
      <c r="AO72" s="228" t="n">
        <v>6</v>
      </c>
      <c r="AP72" s="228" t="n">
        <v>132</v>
      </c>
      <c r="AQ72" s="228" t="n">
        <v>166</v>
      </c>
      <c r="AR72" s="228" t="n">
        <v>12</v>
      </c>
      <c r="AS72" s="228" t="n">
        <v>10</v>
      </c>
      <c r="AT72" s="228" t="n">
        <v>391</v>
      </c>
      <c r="AU72" s="228" t="n">
        <v>6</v>
      </c>
      <c r="AV72" s="228" t="n">
        <v>27</v>
      </c>
      <c r="AW72" s="228" t="n">
        <v>301</v>
      </c>
      <c r="AX72" s="228" t="n">
        <v>13</v>
      </c>
      <c r="AY72" s="228" t="n">
        <v>55</v>
      </c>
      <c r="AZ72" s="228" t="n">
        <v>2</v>
      </c>
      <c r="BA72" s="228" t="n">
        <v>109</v>
      </c>
      <c r="BB72" s="228" t="n">
        <v>37</v>
      </c>
      <c r="BC72" s="228" t="n">
        <v>30</v>
      </c>
      <c r="BD72" s="228" t="n">
        <v>594</v>
      </c>
      <c r="BE72" s="228" t="n">
        <v>59</v>
      </c>
      <c r="BF72" s="228" t="n">
        <v>4</v>
      </c>
      <c r="BG72" s="228" t="n">
        <v>352</v>
      </c>
      <c r="BH72" s="228" t="n">
        <v>63</v>
      </c>
      <c r="BI72" s="228" t="n">
        <v>8</v>
      </c>
      <c r="BJ72" s="228" t="n">
        <v>363</v>
      </c>
      <c r="BK72" s="228" t="n">
        <v>26</v>
      </c>
      <c r="BL72" s="228" t="n">
        <v>0</v>
      </c>
      <c r="BM72" s="228" t="n">
        <v>219</v>
      </c>
      <c r="BN72" s="228" t="n">
        <v>24</v>
      </c>
      <c r="BO72" s="228" t="n">
        <v>0</v>
      </c>
      <c r="BP72" s="228" t="n">
        <v>138</v>
      </c>
      <c r="BQ72" s="228" t="n">
        <v>50</v>
      </c>
      <c r="BR72" s="228" t="n">
        <v>2</v>
      </c>
      <c r="BS72" s="228" t="n">
        <v>208</v>
      </c>
      <c r="BT72" s="228" t="n">
        <v>69</v>
      </c>
      <c r="BU72" s="228" t="n">
        <v>39</v>
      </c>
      <c r="BV72" s="228" t="n">
        <v>10</v>
      </c>
      <c r="BW72" s="228" t="n">
        <v>169</v>
      </c>
      <c r="BX72" s="228" t="n">
        <v>20</v>
      </c>
      <c r="BY72" s="228" t="n">
        <v>7</v>
      </c>
      <c r="BZ72" s="228" t="n">
        <v>285</v>
      </c>
      <c r="CA72" s="228" t="n">
        <v>387</v>
      </c>
      <c r="CB72" s="228" t="n">
        <v>104</v>
      </c>
      <c r="CC72" s="228" t="n">
        <v>15</v>
      </c>
      <c r="CD72" s="228" t="n">
        <v>635</v>
      </c>
      <c r="CE72" s="228" t="n">
        <v>12</v>
      </c>
      <c r="CF72" s="228" t="n">
        <v>0</v>
      </c>
      <c r="CG72" s="228" t="n">
        <v>0</v>
      </c>
      <c r="CH72" s="228" t="n">
        <v>1</v>
      </c>
      <c r="CI72" s="228" t="n">
        <v>0</v>
      </c>
      <c r="CJ72" s="228" t="n">
        <v>41</v>
      </c>
      <c r="CK72" s="228" t="n">
        <v>11</v>
      </c>
      <c r="CL72" s="228" t="n">
        <v>25</v>
      </c>
      <c r="CM72" s="228" t="n">
        <v>15</v>
      </c>
      <c r="CN72" s="228" t="n">
        <v>5</v>
      </c>
      <c r="CO72" s="228" t="n">
        <v>47</v>
      </c>
      <c r="CP72" s="228" t="n">
        <v>25</v>
      </c>
      <c r="CQ72" s="228" t="n">
        <v>39</v>
      </c>
      <c r="CR72" s="228" t="n">
        <v>17</v>
      </c>
      <c r="CS72" s="228" t="n">
        <v>20</v>
      </c>
      <c r="CT72" s="228" t="n">
        <v>19</v>
      </c>
      <c r="CU72" s="228" t="n">
        <v>28</v>
      </c>
      <c r="CV72" s="228" t="n">
        <v>26</v>
      </c>
      <c r="CW72" s="228" t="n">
        <v>21</v>
      </c>
      <c r="CX72" s="228" t="n">
        <v>16</v>
      </c>
      <c r="CY72" s="228" t="n">
        <v>31</v>
      </c>
      <c r="CZ72" s="228" t="n">
        <v>6</v>
      </c>
      <c r="DA72" s="228" t="n">
        <v>15</v>
      </c>
      <c r="DB72" s="228" t="n">
        <v>3</v>
      </c>
      <c r="DC72" s="228" t="n">
        <v>185</v>
      </c>
      <c r="DD72" s="228" t="n">
        <v>7</v>
      </c>
      <c r="DE72" s="228" t="n">
        <v>3</v>
      </c>
      <c r="DF72" s="228" t="n">
        <v>78</v>
      </c>
      <c r="DG72" s="228" t="n">
        <v>1</v>
      </c>
      <c r="DH72" s="228" t="n">
        <v>4</v>
      </c>
      <c r="DI72" s="228" t="n">
        <v>15</v>
      </c>
    </row>
    <row r="73">
      <c r="A73" s="156" t="n">
        <v>45505</v>
      </c>
      <c r="B73" s="228" t="n">
        <v>9791</v>
      </c>
      <c r="C73" s="228" t="n">
        <v>280</v>
      </c>
      <c r="D73" s="228" t="n">
        <v>3569</v>
      </c>
      <c r="E73" s="228" t="n">
        <v>3098</v>
      </c>
      <c r="F73" s="228" t="n">
        <v>22</v>
      </c>
      <c r="G73" s="228" t="n">
        <v>184</v>
      </c>
      <c r="H73" s="228" t="n">
        <v>234</v>
      </c>
      <c r="I73" s="228" t="n">
        <v>19</v>
      </c>
      <c r="J73" s="228" t="n">
        <v>0</v>
      </c>
      <c r="K73" s="228" t="n">
        <v>0</v>
      </c>
      <c r="L73" s="228" t="n">
        <v>0</v>
      </c>
      <c r="M73" s="228" t="n">
        <v>893</v>
      </c>
      <c r="N73" s="228" t="n">
        <v>39</v>
      </c>
      <c r="O73" s="228" t="n">
        <v>3</v>
      </c>
      <c r="P73" s="228" t="n">
        <v>164</v>
      </c>
      <c r="Q73" s="228" t="n">
        <v>83</v>
      </c>
      <c r="R73" s="228" t="n">
        <v>1</v>
      </c>
      <c r="S73" s="228" t="n">
        <v>1378</v>
      </c>
      <c r="T73" s="228" t="n">
        <v>11</v>
      </c>
      <c r="U73" s="228" t="n">
        <v>13</v>
      </c>
      <c r="V73" s="228" t="n">
        <v>0</v>
      </c>
      <c r="W73" s="228" t="n">
        <v>145</v>
      </c>
      <c r="X73" s="228" t="n">
        <v>7</v>
      </c>
      <c r="Y73" s="228" t="n">
        <v>16</v>
      </c>
      <c r="Z73" s="228" t="n">
        <v>55</v>
      </c>
      <c r="AA73" s="228" t="n">
        <v>14</v>
      </c>
      <c r="AB73" s="228" t="n">
        <v>18</v>
      </c>
      <c r="AC73" s="228" t="n">
        <v>76</v>
      </c>
      <c r="AD73" s="228" t="n">
        <v>0</v>
      </c>
      <c r="AE73" s="228" t="n">
        <v>3738</v>
      </c>
      <c r="AF73" s="228" t="n">
        <v>946</v>
      </c>
      <c r="AG73" s="228" t="n">
        <v>91</v>
      </c>
      <c r="AH73" s="228" t="n">
        <v>24</v>
      </c>
      <c r="AI73" s="228" t="n">
        <v>103</v>
      </c>
      <c r="AJ73" s="228" t="n">
        <v>7</v>
      </c>
      <c r="AK73" s="228" t="n">
        <v>1010</v>
      </c>
      <c r="AL73" s="228" t="n">
        <v>1</v>
      </c>
      <c r="AM73" s="228" t="n">
        <v>1626</v>
      </c>
      <c r="AN73" s="228" t="n">
        <v>20</v>
      </c>
      <c r="AO73" s="228" t="n">
        <v>99</v>
      </c>
      <c r="AP73" s="228" t="n">
        <v>129</v>
      </c>
      <c r="AQ73" s="228" t="n">
        <v>197</v>
      </c>
      <c r="AR73" s="228" t="n">
        <v>7</v>
      </c>
      <c r="AS73" s="228" t="n">
        <v>8</v>
      </c>
      <c r="AT73" s="228" t="n">
        <v>403</v>
      </c>
      <c r="AU73" s="228" t="n">
        <v>7</v>
      </c>
      <c r="AV73" s="228" t="n">
        <v>29</v>
      </c>
      <c r="AW73" s="228" t="n">
        <v>275</v>
      </c>
      <c r="AX73" s="228" t="n">
        <v>11</v>
      </c>
      <c r="AY73" s="228" t="n">
        <v>309</v>
      </c>
      <c r="AZ73" s="228" t="n">
        <v>3</v>
      </c>
      <c r="BA73" s="228" t="n">
        <v>95</v>
      </c>
      <c r="BB73" s="228" t="n">
        <v>22</v>
      </c>
      <c r="BC73" s="228" t="n">
        <v>40</v>
      </c>
      <c r="BD73" s="228" t="n">
        <v>513</v>
      </c>
      <c r="BE73" s="228" t="n">
        <v>59</v>
      </c>
      <c r="BF73" s="228" t="n">
        <v>7</v>
      </c>
      <c r="BG73" s="228" t="n">
        <v>337</v>
      </c>
      <c r="BH73" s="228" t="n">
        <v>80</v>
      </c>
      <c r="BI73" s="228" t="n">
        <v>9</v>
      </c>
      <c r="BJ73" s="228" t="n">
        <v>208</v>
      </c>
      <c r="BK73" s="228" t="n">
        <v>40</v>
      </c>
      <c r="BL73" s="228" t="n">
        <v>0</v>
      </c>
      <c r="BM73" s="228" t="n">
        <v>192</v>
      </c>
      <c r="BN73" s="228" t="n">
        <v>27</v>
      </c>
      <c r="BO73" s="228" t="n">
        <v>0</v>
      </c>
      <c r="BP73" s="228" t="n">
        <v>127</v>
      </c>
      <c r="BQ73" s="228" t="n">
        <v>22</v>
      </c>
      <c r="BR73" s="228" t="n">
        <v>3</v>
      </c>
      <c r="BS73" s="228" t="n">
        <v>193</v>
      </c>
      <c r="BT73" s="228" t="n">
        <v>73</v>
      </c>
      <c r="BU73" s="228" t="n">
        <v>21</v>
      </c>
      <c r="BV73" s="228" t="n">
        <v>9</v>
      </c>
      <c r="BW73" s="228" t="n">
        <v>144</v>
      </c>
      <c r="BX73" s="228" t="n">
        <v>22</v>
      </c>
      <c r="BY73" s="228" t="n">
        <v>8</v>
      </c>
      <c r="BZ73" s="228" t="n">
        <v>190</v>
      </c>
      <c r="CA73" s="228" t="n">
        <v>224</v>
      </c>
      <c r="CB73" s="228" t="n">
        <v>65</v>
      </c>
      <c r="CC73" s="228" t="n">
        <v>26</v>
      </c>
      <c r="CD73" s="228" t="n">
        <v>596</v>
      </c>
      <c r="CE73" s="228" t="n">
        <v>8</v>
      </c>
      <c r="CF73" s="228" t="n">
        <v>0</v>
      </c>
      <c r="CG73" s="228" t="n">
        <v>0</v>
      </c>
      <c r="CH73" s="228" t="n">
        <v>1</v>
      </c>
      <c r="CI73" s="228" t="n">
        <v>0</v>
      </c>
      <c r="CJ73" s="228" t="n">
        <v>22</v>
      </c>
      <c r="CK73" s="228" t="n">
        <v>14</v>
      </c>
      <c r="CL73" s="228" t="n">
        <v>31</v>
      </c>
      <c r="CM73" s="228" t="n">
        <v>18</v>
      </c>
      <c r="CN73" s="228" t="n">
        <v>6</v>
      </c>
      <c r="CO73" s="228" t="n">
        <v>67</v>
      </c>
      <c r="CP73" s="228" t="n">
        <v>24</v>
      </c>
      <c r="CQ73" s="228" t="n">
        <v>31</v>
      </c>
      <c r="CR73" s="228" t="n">
        <v>14</v>
      </c>
      <c r="CS73" s="228" t="n">
        <v>22</v>
      </c>
      <c r="CT73" s="228" t="n">
        <v>20</v>
      </c>
      <c r="CU73" s="228" t="n">
        <v>83</v>
      </c>
      <c r="CV73" s="228" t="n">
        <v>34</v>
      </c>
      <c r="CW73" s="228" t="n">
        <v>15</v>
      </c>
      <c r="CX73" s="228" t="n">
        <v>28</v>
      </c>
      <c r="CY73" s="228" t="n">
        <v>47</v>
      </c>
      <c r="CZ73" s="228" t="n">
        <v>8</v>
      </c>
      <c r="DA73" s="228" t="n">
        <v>20</v>
      </c>
      <c r="DB73" s="228" t="n">
        <v>0</v>
      </c>
      <c r="DC73" s="228" t="n">
        <v>206</v>
      </c>
      <c r="DD73" s="228" t="n">
        <v>18</v>
      </c>
      <c r="DE73" s="228" t="n">
        <v>4</v>
      </c>
      <c r="DF73" s="228" t="n">
        <v>95</v>
      </c>
      <c r="DG73" s="228" t="n">
        <v>2</v>
      </c>
      <c r="DH73" s="228" t="n">
        <v>5</v>
      </c>
      <c r="DI73" s="228" t="n">
        <v>24</v>
      </c>
    </row>
    <row r="74">
      <c r="A74" s="156" t="n">
        <v>45536</v>
      </c>
      <c r="B74" s="228" t="n">
        <v>10145</v>
      </c>
      <c r="C74" s="228" t="n">
        <v>239</v>
      </c>
      <c r="D74" s="228" t="n">
        <v>2810</v>
      </c>
      <c r="E74" s="228" t="n">
        <v>2960</v>
      </c>
      <c r="F74" s="228" t="n">
        <v>28</v>
      </c>
      <c r="G74" s="228" t="n">
        <v>221</v>
      </c>
      <c r="H74" s="228" t="n">
        <v>276</v>
      </c>
      <c r="I74" s="228" t="n">
        <v>10</v>
      </c>
      <c r="J74" s="228" t="n">
        <v>0</v>
      </c>
      <c r="K74" s="228" t="n">
        <v>0</v>
      </c>
      <c r="L74" s="228" t="n">
        <v>1</v>
      </c>
      <c r="M74" s="228" t="n">
        <v>1170</v>
      </c>
      <c r="N74" s="228" t="n">
        <v>34</v>
      </c>
      <c r="O74" s="228" t="n">
        <v>3</v>
      </c>
      <c r="P74" s="228" t="n">
        <v>203</v>
      </c>
      <c r="Q74" s="228" t="n">
        <v>48</v>
      </c>
      <c r="R74" s="228" t="n">
        <v>0</v>
      </c>
      <c r="S74" s="228" t="n">
        <v>1347</v>
      </c>
      <c r="T74" s="228" t="n">
        <v>9</v>
      </c>
      <c r="U74" s="228" t="n">
        <v>12</v>
      </c>
      <c r="V74" s="228" t="n">
        <v>0</v>
      </c>
      <c r="W74" s="228" t="n">
        <v>157</v>
      </c>
      <c r="X74" s="228" t="n">
        <v>5</v>
      </c>
      <c r="Y74" s="228" t="n">
        <v>17</v>
      </c>
      <c r="Z74" s="228" t="n">
        <v>69</v>
      </c>
      <c r="AA74" s="228" t="n">
        <v>21</v>
      </c>
      <c r="AB74" s="228" t="n">
        <v>20</v>
      </c>
      <c r="AC74" s="228" t="n">
        <v>96</v>
      </c>
      <c r="AD74" s="228" t="n">
        <v>0</v>
      </c>
      <c r="AE74" s="228" t="n">
        <v>5372</v>
      </c>
      <c r="AF74" s="228" t="n">
        <v>1020</v>
      </c>
      <c r="AG74" s="228" t="n">
        <v>143</v>
      </c>
      <c r="AH74" s="228" t="n">
        <v>27</v>
      </c>
      <c r="AI74" s="228" t="n">
        <v>122</v>
      </c>
      <c r="AJ74" s="228" t="n">
        <v>8</v>
      </c>
      <c r="AK74" s="228" t="n">
        <v>1277</v>
      </c>
      <c r="AL74" s="228" t="n">
        <v>5</v>
      </c>
      <c r="AM74" s="228" t="n">
        <v>1932</v>
      </c>
      <c r="AN74" s="228" t="n">
        <v>21</v>
      </c>
      <c r="AO74" s="228" t="n">
        <v>461</v>
      </c>
      <c r="AP74" s="228" t="n">
        <v>147</v>
      </c>
      <c r="AQ74" s="228" t="n">
        <v>237</v>
      </c>
      <c r="AR74" s="228" t="n">
        <v>3</v>
      </c>
      <c r="AS74" s="228" t="n">
        <v>17</v>
      </c>
      <c r="AT74" s="228" t="n">
        <v>545</v>
      </c>
      <c r="AU74" s="228" t="n">
        <v>12</v>
      </c>
      <c r="AV74" s="228" t="n">
        <v>40</v>
      </c>
      <c r="AW74" s="228" t="n">
        <v>315</v>
      </c>
      <c r="AX74" s="228" t="n">
        <v>15</v>
      </c>
      <c r="AY74" s="228" t="n">
        <v>131</v>
      </c>
      <c r="AZ74" s="228" t="n">
        <v>2</v>
      </c>
      <c r="BA74" s="228" t="n">
        <v>169</v>
      </c>
      <c r="BB74" s="228" t="n">
        <v>166</v>
      </c>
      <c r="BC74" s="228" t="n">
        <v>172</v>
      </c>
      <c r="BD74" s="228" t="n">
        <v>1084</v>
      </c>
      <c r="BE74" s="228" t="n">
        <v>131</v>
      </c>
      <c r="BF74" s="228" t="n">
        <v>6</v>
      </c>
      <c r="BG74" s="228" t="n">
        <v>585</v>
      </c>
      <c r="BH74" s="228" t="n">
        <v>127</v>
      </c>
      <c r="BI74" s="228" t="n">
        <v>6</v>
      </c>
      <c r="BJ74" s="228" t="n">
        <v>579</v>
      </c>
      <c r="BK74" s="228" t="n">
        <v>115</v>
      </c>
      <c r="BL74" s="228" t="n">
        <v>0</v>
      </c>
      <c r="BM74" s="228" t="n">
        <v>639</v>
      </c>
      <c r="BN74" s="228" t="n">
        <v>109</v>
      </c>
      <c r="BO74" s="228" t="n">
        <v>1</v>
      </c>
      <c r="BP74" s="228" t="n">
        <v>498</v>
      </c>
      <c r="BQ74" s="228" t="n">
        <v>80</v>
      </c>
      <c r="BR74" s="228" t="n">
        <v>1</v>
      </c>
      <c r="BS74" s="228" t="n">
        <v>454</v>
      </c>
      <c r="BT74" s="228" t="n">
        <v>509</v>
      </c>
      <c r="BU74" s="228" t="n">
        <v>144</v>
      </c>
      <c r="BV74" s="228" t="n">
        <v>7</v>
      </c>
      <c r="BW74" s="228" t="n">
        <v>593</v>
      </c>
      <c r="BX74" s="228" t="n">
        <v>88</v>
      </c>
      <c r="BY74" s="228" t="n">
        <v>9</v>
      </c>
      <c r="BZ74" s="228" t="n">
        <v>748</v>
      </c>
      <c r="CA74" s="228" t="n">
        <v>476</v>
      </c>
      <c r="CB74" s="228" t="n">
        <v>190</v>
      </c>
      <c r="CC74" s="228" t="n">
        <v>20</v>
      </c>
      <c r="CD74" s="228" t="n">
        <v>1053</v>
      </c>
      <c r="CE74" s="228" t="n">
        <v>137</v>
      </c>
      <c r="CF74" s="228" t="n">
        <v>0</v>
      </c>
      <c r="CG74" s="228" t="n">
        <v>0</v>
      </c>
      <c r="CH74" s="228" t="n">
        <v>0</v>
      </c>
      <c r="CI74" s="228" t="n">
        <v>0</v>
      </c>
      <c r="CJ74" s="228" t="n">
        <v>279</v>
      </c>
      <c r="CK74" s="228" t="n">
        <v>15</v>
      </c>
      <c r="CL74" s="228" t="n">
        <v>28</v>
      </c>
      <c r="CM74" s="228" t="n">
        <v>14</v>
      </c>
      <c r="CN74" s="228" t="n">
        <v>5</v>
      </c>
      <c r="CO74" s="228" t="n">
        <v>53</v>
      </c>
      <c r="CP74" s="228" t="n">
        <v>23</v>
      </c>
      <c r="CQ74" s="228" t="n">
        <v>33</v>
      </c>
      <c r="CR74" s="228" t="n">
        <v>29</v>
      </c>
      <c r="CS74" s="228" t="n">
        <v>20</v>
      </c>
      <c r="CT74" s="228" t="n">
        <v>24</v>
      </c>
      <c r="CU74" s="228" t="n">
        <v>41</v>
      </c>
      <c r="CV74" s="228" t="n">
        <v>213</v>
      </c>
      <c r="CW74" s="228" t="n">
        <v>153</v>
      </c>
      <c r="CX74" s="228" t="n">
        <v>215</v>
      </c>
      <c r="CY74" s="228" t="n">
        <v>173</v>
      </c>
      <c r="CZ74" s="228" t="n">
        <v>7</v>
      </c>
      <c r="DA74" s="228" t="n">
        <v>173</v>
      </c>
      <c r="DB74" s="228" t="n">
        <v>4</v>
      </c>
      <c r="DC74" s="228" t="n">
        <v>222</v>
      </c>
      <c r="DD74" s="228" t="n">
        <v>5</v>
      </c>
      <c r="DE74" s="228" t="n">
        <v>2</v>
      </c>
      <c r="DF74" s="228" t="n">
        <v>77</v>
      </c>
      <c r="DG74" s="228" t="n">
        <v>1</v>
      </c>
      <c r="DH74" s="228" t="n">
        <v>4</v>
      </c>
      <c r="DI74" s="228" t="n">
        <v>18</v>
      </c>
    </row>
    <row r="75">
      <c r="AE75" s="14">
        <f>SUM(AE60:AE62)</f>
        <v/>
      </c>
      <c r="AF75" s="14">
        <f>SUM(AF60:AF62)</f>
        <v/>
      </c>
      <c r="AG75" s="14">
        <f>SUM(AG60:AG62)</f>
        <v/>
      </c>
      <c r="AH75" s="14">
        <f>SUM(AH60:AH62)</f>
        <v/>
      </c>
      <c r="AI75" s="14">
        <f>SUM(AI60:AI62)</f>
        <v/>
      </c>
      <c r="AJ75" s="14">
        <f>SUM(AJ60:AJ62)</f>
        <v/>
      </c>
      <c r="AK75" s="14">
        <f>SUM(AK60:AK62)</f>
        <v/>
      </c>
      <c r="AL75" s="14">
        <f>SUM(AL60:AL62)</f>
        <v/>
      </c>
      <c r="AM75" s="14">
        <f>SUM(AM60:AM62)</f>
        <v/>
      </c>
      <c r="AN75" s="14">
        <f>SUM(AN60:AN62)</f>
        <v/>
      </c>
      <c r="AO75" s="14">
        <f>SUM(AO60:AO62)</f>
        <v/>
      </c>
      <c r="AP75" s="14">
        <f>SUM(AP60:AP62)</f>
        <v/>
      </c>
      <c r="AQ75" s="14">
        <f>SUM(AQ60:AQ62)</f>
        <v/>
      </c>
      <c r="AR75" s="14">
        <f>SUM(AR60:AR62)</f>
        <v/>
      </c>
      <c r="AS75" s="14">
        <f>SUM(AS60:AS62)</f>
        <v/>
      </c>
      <c r="AT75" s="14">
        <f>SUM(AT60:AT62)</f>
        <v/>
      </c>
      <c r="AU75" s="14">
        <f>SUM(AU60:AU62)</f>
        <v/>
      </c>
      <c r="AV75" s="14">
        <f>SUM(AV60:AV62)</f>
        <v/>
      </c>
      <c r="AW75" s="14">
        <f>SUM(AW60:AW62)</f>
        <v/>
      </c>
      <c r="AX75" s="14">
        <f>SUM(AX60:AX62)</f>
        <v/>
      </c>
      <c r="AY75" s="14">
        <f>SUM(AY60:AY62)</f>
        <v/>
      </c>
      <c r="AZ75" s="14">
        <f>SUM(AZ60:AZ62)</f>
        <v/>
      </c>
    </row>
    <row r="76">
      <c r="AE76" s="14">
        <f>SUM(AE72:AE74)</f>
        <v/>
      </c>
      <c r="AF76" s="14">
        <f>SUM(AF72:AF74)</f>
        <v/>
      </c>
      <c r="AG76" s="14">
        <f>SUM(AG72:AG74)</f>
        <v/>
      </c>
      <c r="AH76" s="14">
        <f>SUM(AH72:AH74)</f>
        <v/>
      </c>
      <c r="AI76" s="14">
        <f>SUM(AI72:AI74)</f>
        <v/>
      </c>
      <c r="AJ76" s="14">
        <f>SUM(AJ72:AJ74)</f>
        <v/>
      </c>
      <c r="AK76" s="14">
        <f>SUM(AK72:AK74)</f>
        <v/>
      </c>
      <c r="AL76" s="14">
        <f>SUM(AL72:AL74)</f>
        <v/>
      </c>
      <c r="AM76" s="14">
        <f>SUM(AM72:AM74)</f>
        <v/>
      </c>
      <c r="AN76" s="14">
        <f>SUM(AN72:AN74)</f>
        <v/>
      </c>
      <c r="AO76" s="14">
        <f>SUM(AO72:AO74)</f>
        <v/>
      </c>
      <c r="AP76" s="14">
        <f>SUM(AP72:AP74)</f>
        <v/>
      </c>
      <c r="AQ76" s="14">
        <f>SUM(AQ72:AQ74)</f>
        <v/>
      </c>
      <c r="AR76" s="14">
        <f>SUM(AR72:AR74)</f>
        <v/>
      </c>
      <c r="AS76" s="14">
        <f>SUM(AS72:AS74)</f>
        <v/>
      </c>
      <c r="AT76" s="14">
        <f>SUM(AT72:AT74)</f>
        <v/>
      </c>
      <c r="AU76" s="14">
        <f>SUM(AU72:AU74)</f>
        <v/>
      </c>
      <c r="AV76" s="14">
        <f>SUM(AV72:AV74)</f>
        <v/>
      </c>
      <c r="AW76" s="14">
        <f>SUM(AW72:AW74)</f>
        <v/>
      </c>
      <c r="AX76" s="14">
        <f>SUM(AX72:AX74)</f>
        <v/>
      </c>
      <c r="AY76" s="14">
        <f>SUM(AY72:AY74)</f>
        <v/>
      </c>
      <c r="AZ76" s="14">
        <f>SUM(AZ72:AZ74)</f>
        <v/>
      </c>
    </row>
    <row r="77">
      <c r="AE77" s="1">
        <f>(AE76-AE75)/AE75*100</f>
        <v/>
      </c>
      <c r="AF77" s="1">
        <f>(AF76-AF75)/AF75*100</f>
        <v/>
      </c>
      <c r="AG77" s="1">
        <f>(AG76-AG75)/AG75*100</f>
        <v/>
      </c>
      <c r="AH77" s="1">
        <f>(AH76-AH75)/AH75*100</f>
        <v/>
      </c>
      <c r="AI77" s="1">
        <f>(AI76-AI75)/AI75*100</f>
        <v/>
      </c>
      <c r="AJ77" s="1">
        <f>(AJ76-AJ75)/AJ75*100</f>
        <v/>
      </c>
      <c r="AK77" s="1">
        <f>(AK76-AK75)/AK75*100</f>
        <v/>
      </c>
      <c r="AL77" s="1">
        <f>(AL76-AL75)/AL75*100</f>
        <v/>
      </c>
      <c r="AM77" s="1">
        <f>(AM76-AM75)/AM75*100</f>
        <v/>
      </c>
      <c r="AN77" s="1">
        <f>(AN76-AN75)/AN75*100</f>
        <v/>
      </c>
      <c r="AO77" s="1">
        <f>(AO76-AO75)/AO75*100</f>
        <v/>
      </c>
      <c r="AP77" s="1">
        <f>(AP76-AP75)/AP75*100</f>
        <v/>
      </c>
      <c r="AQ77" s="1">
        <f>(AQ76-AQ75)/AQ75*100</f>
        <v/>
      </c>
      <c r="AR77" s="1">
        <f>(AR76-AR75)/AR75*100</f>
        <v/>
      </c>
      <c r="AS77" s="1">
        <f>(AS76-AS75)/AS75*100</f>
        <v/>
      </c>
      <c r="AT77" s="1">
        <f>(AT76-AT75)/AT75*100</f>
        <v/>
      </c>
      <c r="AU77" s="1">
        <f>(AU76-AU75)/AU75*100</f>
        <v/>
      </c>
      <c r="AV77" s="1">
        <f>(AV76-AV75)/AV75*100</f>
        <v/>
      </c>
      <c r="AW77" s="1">
        <f>(AW76-AW75)/AW75*100</f>
        <v/>
      </c>
      <c r="AX77" s="1">
        <f>(AX76-AX75)/AX75*100</f>
        <v/>
      </c>
      <c r="AY77" s="1">
        <f>(AY76-AY75)/AY75*100</f>
        <v/>
      </c>
      <c r="AZ77" s="1">
        <f>(AZ76-AZ75)/AZ75*100</f>
        <v/>
      </c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76"/>
  <sheetViews>
    <sheetView topLeftCell="A40" workbookViewId="0">
      <selection activeCell="F51" sqref="F51"/>
    </sheetView>
  </sheetViews>
  <sheetFormatPr baseColWidth="10" defaultColWidth="11.5" defaultRowHeight="15"/>
  <cols>
    <col width="24.33203125" bestFit="1" customWidth="1" min="2" max="2"/>
    <col width="13.6640625" bestFit="1" customWidth="1" min="3" max="3"/>
    <col width="19.5" bestFit="1" customWidth="1" min="5" max="5"/>
    <col width="14" bestFit="1" customWidth="1" min="6" max="6"/>
    <col width="16.33203125" bestFit="1" customWidth="1" min="7" max="7"/>
    <col width="17.6640625" bestFit="1" customWidth="1" min="8" max="8"/>
    <col width="12.6640625" bestFit="1" customWidth="1" min="10" max="10"/>
    <col width="29.5" bestFit="1" customWidth="1" min="11" max="11"/>
    <col width="13.1640625" bestFit="1" customWidth="1" min="12" max="12"/>
  </cols>
  <sheetData>
    <row r="1" ht="16" customHeight="1">
      <c r="A1" s="221" t="inlineStr">
        <is>
          <t>Date</t>
        </is>
      </c>
      <c r="B1" s="221" t="inlineStr">
        <is>
          <t>Main Academic Building</t>
        </is>
      </c>
      <c r="C1" s="221" t="inlineStr">
        <is>
          <t>LSK Campus</t>
        </is>
      </c>
      <c r="D1" s="221" t="inlineStr">
        <is>
          <t>CYT</t>
        </is>
      </c>
      <c r="E1" s="221" t="inlineStr">
        <is>
          <t>Wind Tunnel (AAF)</t>
        </is>
      </c>
      <c r="F1" s="221" t="inlineStr">
        <is>
          <t>Student Halls</t>
        </is>
      </c>
      <c r="G1" s="221" t="inlineStr">
        <is>
          <t>Cooling Towers</t>
        </is>
      </c>
      <c r="H1" s="221" t="inlineStr">
        <is>
          <t xml:space="preserve">Sport Facilicites </t>
        </is>
      </c>
      <c r="I1" s="221" t="inlineStr">
        <is>
          <t>Catering</t>
        </is>
      </c>
      <c r="J1" s="221" t="inlineStr">
        <is>
          <t>Commercial</t>
        </is>
      </c>
      <c r="K1" s="221" t="inlineStr">
        <is>
          <t>Cleaning Water and Irrigation</t>
        </is>
      </c>
      <c r="L1" s="221" t="inlineStr">
        <is>
          <t>Lab Building</t>
        </is>
      </c>
      <c r="M1" s="221" t="inlineStr">
        <is>
          <t>Shaw</t>
        </is>
      </c>
    </row>
    <row r="2" ht="16" customHeight="1">
      <c r="A2" s="156" t="n">
        <v>43374</v>
      </c>
      <c r="B2">
        <f>SUM('Monthly Potable (Meters)'!D3)</f>
        <v/>
      </c>
      <c r="C2">
        <f>SUM('Monthly Potable (Meters)'!P3)+SUM('Monthly Potable (Meters)'!R3)+SUM('Monthly Potable (Meters)'!T3)+SUM('Monthly Potable (Meters)'!V3)+SUM('Monthly Potable (Meters)'!W3)</f>
        <v/>
      </c>
      <c r="D2">
        <f>SUM('Monthly Potable (Meters)'!M3)</f>
        <v/>
      </c>
      <c r="E2">
        <f>SUM(#REF!)</f>
        <v/>
      </c>
      <c r="F2">
        <f>SUM('Monthly Potable (Meters)'!BA3:BE3)+SUM('Monthly Potable (Meters)'!BG3:BH3)+SUM('Monthly Potable (Meters)'!BJ3:BK3)+SUM('Monthly Potable (Meters)'!BM3:BN3)+SUM('Monthly Potable (Meters)'!BP3:BQ3)+SUM('Monthly Potable (Meters)'!BS3:BU3)+SUM('Monthly Potable (Meters)'!BW3:BX3)+SUM('Monthly Potable (Meters)'!BZ3:CB3)+SUM('Monthly Potable (Meters)'!CD3:CF3)</f>
        <v/>
      </c>
      <c r="G2">
        <f>SUM('Monthly Potable (Meters)'!B3)+SUM('Monthly Potable (Meters)'!S3)</f>
        <v/>
      </c>
      <c r="H2">
        <f>SUM('Monthly Potable (Meters)'!G3:H3)+SUM('Monthly Potable (Meters)'!J3:K3)+SUM('Monthly Potable (Meters)'!Y3:Z3)</f>
        <v/>
      </c>
      <c r="I2">
        <f>SUM('Monthly Potable (Meters)'!AE3:AG3)+SUM('Monthly Potable (Meters)'!AI3)+SUM('Monthly Potable (Meters)'!AK3:AZ3)</f>
        <v/>
      </c>
      <c r="J2">
        <f>SUM('Monthly Potable (Meters)'!AH3)+SUM('Monthly Potable (Meters)'!AJ3)</f>
        <v/>
      </c>
      <c r="K2">
        <f>SUM('Monthly Potable (Meters)'!C3)+SUM('Monthly Potable (Meters)'!I3)+SUM('Monthly Potable (Meters)'!L3)+SUM('Monthly Potable (Meters)'!N3)+SUM('Monthly Potable (Meters)'!Q3)+SUM('Monthly Potable (Meters)'!U3)+SUM('Monthly Potable (Meters)'!X3)+SUM('Monthly Potable (Meters)'!AB3:AD3)+SUM('Monthly Potable (Meters)'!BF3)+SUM('Monthly Potable (Meters)'!BI3)+SUM('Monthly Potable (Meters)'!BL3)+SUM('Monthly Potable (Meters)'!BO3)+SUM('Monthly Potable (Meters)'!BR3)+SUM('Monthly Potable (Meters)'!BV3)+SUM('Monthly Potable (Meters)'!BY3)+SUM('Monthly Potable (Meters)'!CC3)+SUM('Monthly Potable (Meters)'!CE3)+SUM('Monthly Potable (Meters)'!CH3:CM3)+SUM('Monthly Potable (Meters)'!CO3:DI3)</f>
        <v/>
      </c>
      <c r="L2">
        <f>SUM('Monthly Potable (Meters)'!E3)</f>
        <v/>
      </c>
      <c r="M2">
        <f>SUM('Monthly Potable (Meters)'!AA3)</f>
        <v/>
      </c>
    </row>
    <row r="3" ht="16" customHeight="1">
      <c r="A3" s="156" t="n">
        <v>43405</v>
      </c>
      <c r="B3">
        <f>SUM('Monthly Potable (Meters)'!D4)</f>
        <v/>
      </c>
      <c r="C3">
        <f>SUM('Monthly Potable (Meters)'!P4)+SUM('Monthly Potable (Meters)'!R4)+SUM('Monthly Potable (Meters)'!T4)+SUM('Monthly Potable (Meters)'!V4)+SUM('Monthly Potable (Meters)'!W4)</f>
        <v/>
      </c>
      <c r="D3">
        <f>SUM('Monthly Potable (Meters)'!M4)</f>
        <v/>
      </c>
      <c r="E3">
        <f>SUM(#REF!)</f>
        <v/>
      </c>
      <c r="F3">
        <f>SUM('Monthly Potable (Meters)'!BA4:BE4)+SUM('Monthly Potable (Meters)'!BG4:BH4)+SUM('Monthly Potable (Meters)'!BJ4:BK4)+SUM('Monthly Potable (Meters)'!BM4:BN4)+SUM('Monthly Potable (Meters)'!BP4:BQ4)+SUM('Monthly Potable (Meters)'!BS4:BU4)+SUM('Monthly Potable (Meters)'!BW4:BX4)+SUM('Monthly Potable (Meters)'!BZ4:CB4)+SUM('Monthly Potable (Meters)'!CD4:CF4)</f>
        <v/>
      </c>
      <c r="G3">
        <f>SUM('Monthly Potable (Meters)'!B4)+SUM('Monthly Potable (Meters)'!S4)</f>
        <v/>
      </c>
      <c r="H3">
        <f>SUM('Monthly Potable (Meters)'!G4:H4)+SUM('Monthly Potable (Meters)'!J4:K4)+SUM('Monthly Potable (Meters)'!Y4:Z4)</f>
        <v/>
      </c>
      <c r="I3">
        <f>SUM('Monthly Potable (Meters)'!AE4:AG4)+SUM('Monthly Potable (Meters)'!AI4)+SUM('Monthly Potable (Meters)'!AK4:AZ4)</f>
        <v/>
      </c>
      <c r="J3">
        <f>SUM('Monthly Potable (Meters)'!AH4)+SUM('Monthly Potable (Meters)'!AJ4)</f>
        <v/>
      </c>
      <c r="K3">
        <f>SUM('Monthly Potable (Meters)'!C4)+SUM('Monthly Potable (Meters)'!I4)+SUM('Monthly Potable (Meters)'!L4)+SUM('Monthly Potable (Meters)'!N4)+SUM('Monthly Potable (Meters)'!Q4)+SUM('Monthly Potable (Meters)'!U4)+SUM('Monthly Potable (Meters)'!X4)+SUM('Monthly Potable (Meters)'!AB4:AD4)+SUM('Monthly Potable (Meters)'!BF4)+SUM('Monthly Potable (Meters)'!BI4)+SUM('Monthly Potable (Meters)'!BL4)+SUM('Monthly Potable (Meters)'!BO4)+SUM('Monthly Potable (Meters)'!BR4)+SUM('Monthly Potable (Meters)'!BV4)+SUM('Monthly Potable (Meters)'!BY4)+SUM('Monthly Potable (Meters)'!CC4)+SUM('Monthly Potable (Meters)'!CE4)+SUM('Monthly Potable (Meters)'!CH4:CM4)+SUM('Monthly Potable (Meters)'!CO4:DI4)</f>
        <v/>
      </c>
      <c r="L3">
        <f>SUM('Monthly Potable (Meters)'!E4)</f>
        <v/>
      </c>
      <c r="M3">
        <f>SUM('Monthly Potable (Meters)'!AA4)</f>
        <v/>
      </c>
    </row>
    <row r="4" ht="16" customHeight="1">
      <c r="A4" s="156" t="n">
        <v>43435</v>
      </c>
      <c r="B4">
        <f>SUM('Monthly Potable (Meters)'!D5)</f>
        <v/>
      </c>
      <c r="C4">
        <f>SUM('Monthly Potable (Meters)'!P5)+SUM('Monthly Potable (Meters)'!R5)+SUM('Monthly Potable (Meters)'!T5)+SUM('Monthly Potable (Meters)'!V5)+SUM('Monthly Potable (Meters)'!W5)</f>
        <v/>
      </c>
      <c r="D4">
        <f>SUM('Monthly Potable (Meters)'!M5)</f>
        <v/>
      </c>
      <c r="E4">
        <f>SUM(#REF!)</f>
        <v/>
      </c>
      <c r="F4">
        <f>SUM('Monthly Potable (Meters)'!BA5:BE5)+SUM('Monthly Potable (Meters)'!BG5:BH5)+SUM('Monthly Potable (Meters)'!BJ5:BK5)+SUM('Monthly Potable (Meters)'!BM5:BN5)+SUM('Monthly Potable (Meters)'!BP5:BQ5)+SUM('Monthly Potable (Meters)'!BS5:BU5)+SUM('Monthly Potable (Meters)'!BW5:BX5)+SUM('Monthly Potable (Meters)'!BZ5:CB5)+SUM('Monthly Potable (Meters)'!CD5:CF5)</f>
        <v/>
      </c>
      <c r="G4">
        <f>SUM('Monthly Potable (Meters)'!B5)+SUM('Monthly Potable (Meters)'!S5)</f>
        <v/>
      </c>
      <c r="H4">
        <f>SUM('Monthly Potable (Meters)'!G5:H5)+SUM('Monthly Potable (Meters)'!J5:K5)+SUM('Monthly Potable (Meters)'!Y5:Z5)</f>
        <v/>
      </c>
      <c r="I4">
        <f>SUM('Monthly Potable (Meters)'!AE5:AG5)+SUM('Monthly Potable (Meters)'!AI5)+SUM('Monthly Potable (Meters)'!AK5:AZ5)</f>
        <v/>
      </c>
      <c r="J4">
        <f>SUM('Monthly Potable (Meters)'!AH5)+SUM('Monthly Potable (Meters)'!AJ5)</f>
        <v/>
      </c>
      <c r="K4">
        <f>SUM('Monthly Potable (Meters)'!C5)+SUM('Monthly Potable (Meters)'!I5)+SUM('Monthly Potable (Meters)'!L5)+SUM('Monthly Potable (Meters)'!N5)+SUM('Monthly Potable (Meters)'!Q5)+SUM('Monthly Potable (Meters)'!U5)+SUM('Monthly Potable (Meters)'!X5)+SUM('Monthly Potable (Meters)'!AB5:AD5)+SUM('Monthly Potable (Meters)'!BF5)+SUM('Monthly Potable (Meters)'!BI5)+SUM('Monthly Potable (Meters)'!BL5)+SUM('Monthly Potable (Meters)'!BO5)+SUM('Monthly Potable (Meters)'!BR5)+SUM('Monthly Potable (Meters)'!BV5)+SUM('Monthly Potable (Meters)'!BY5)+SUM('Monthly Potable (Meters)'!CC5)+SUM('Monthly Potable (Meters)'!CE5)+SUM('Monthly Potable (Meters)'!CH5:CM5)+SUM('Monthly Potable (Meters)'!CO5:DI5)</f>
        <v/>
      </c>
      <c r="L4">
        <f>SUM('Monthly Potable (Meters)'!E5)</f>
        <v/>
      </c>
      <c r="M4">
        <f>SUM('Monthly Potable (Meters)'!AA5)</f>
        <v/>
      </c>
    </row>
    <row r="5" ht="16" customHeight="1">
      <c r="A5" s="156" t="n">
        <v>43466</v>
      </c>
      <c r="B5">
        <f>SUM('Monthly Potable (Meters)'!D6)</f>
        <v/>
      </c>
      <c r="C5">
        <f>SUM('Monthly Potable (Meters)'!P6)+SUM('Monthly Potable (Meters)'!R6)+SUM('Monthly Potable (Meters)'!T6)+SUM('Monthly Potable (Meters)'!V6)+SUM('Monthly Potable (Meters)'!W6)</f>
        <v/>
      </c>
      <c r="D5">
        <f>SUM('Monthly Potable (Meters)'!M6)</f>
        <v/>
      </c>
      <c r="E5">
        <f>SUM(#REF!)</f>
        <v/>
      </c>
      <c r="F5">
        <f>SUM('Monthly Potable (Meters)'!BA6:BE6)+SUM('Monthly Potable (Meters)'!BG6:BH6)+SUM('Monthly Potable (Meters)'!BJ6:BK6)+SUM('Monthly Potable (Meters)'!BM6:BN6)+SUM('Monthly Potable (Meters)'!BP6:BQ6)+SUM('Monthly Potable (Meters)'!BS6:BU6)+SUM('Monthly Potable (Meters)'!BW6:BX6)+SUM('Monthly Potable (Meters)'!BZ6:CB6)+SUM('Monthly Potable (Meters)'!CD6:CF6)</f>
        <v/>
      </c>
      <c r="G5">
        <f>SUM('Monthly Potable (Meters)'!B6)+SUM('Monthly Potable (Meters)'!S6)</f>
        <v/>
      </c>
      <c r="H5">
        <f>SUM('Monthly Potable (Meters)'!G6:H6)+SUM('Monthly Potable (Meters)'!J6:K6)+SUM('Monthly Potable (Meters)'!Y6:Z6)</f>
        <v/>
      </c>
      <c r="I5">
        <f>SUM('Monthly Potable (Meters)'!AE6:AG6)+SUM('Monthly Potable (Meters)'!AI6)+SUM('Monthly Potable (Meters)'!AK6:AZ6)</f>
        <v/>
      </c>
      <c r="J5">
        <f>SUM('Monthly Potable (Meters)'!AH6)+SUM('Monthly Potable (Meters)'!AJ6)</f>
        <v/>
      </c>
      <c r="K5">
        <f>SUM('Monthly Potable (Meters)'!C6)+SUM('Monthly Potable (Meters)'!I6)+SUM('Monthly Potable (Meters)'!L6)+SUM('Monthly Potable (Meters)'!N6)+SUM('Monthly Potable (Meters)'!Q6)+SUM('Monthly Potable (Meters)'!U6)+SUM('Monthly Potable (Meters)'!X6)+SUM('Monthly Potable (Meters)'!AB6:AD6)+SUM('Monthly Potable (Meters)'!BF6)+SUM('Monthly Potable (Meters)'!BI6)+SUM('Monthly Potable (Meters)'!BL6)+SUM('Monthly Potable (Meters)'!BO6)+SUM('Monthly Potable (Meters)'!BR6)+SUM('Monthly Potable (Meters)'!BV6)+SUM('Monthly Potable (Meters)'!BY6)+SUM('Monthly Potable (Meters)'!CC6)+SUM('Monthly Potable (Meters)'!CE6)+SUM('Monthly Potable (Meters)'!CH6:CM6)+SUM('Monthly Potable (Meters)'!CO6:DI6)</f>
        <v/>
      </c>
      <c r="L5">
        <f>SUM('Monthly Potable (Meters)'!E6)</f>
        <v/>
      </c>
      <c r="M5">
        <f>SUM('Monthly Potable (Meters)'!AA6)</f>
        <v/>
      </c>
    </row>
    <row r="6" ht="16" customHeight="1">
      <c r="A6" s="156" t="n">
        <v>43497</v>
      </c>
      <c r="B6">
        <f>SUM('Monthly Potable (Meters)'!D7)</f>
        <v/>
      </c>
      <c r="C6">
        <f>SUM('Monthly Potable (Meters)'!P7)+SUM('Monthly Potable (Meters)'!R7)+SUM('Monthly Potable (Meters)'!T7)+SUM('Monthly Potable (Meters)'!V7)+SUM('Monthly Potable (Meters)'!W7)</f>
        <v/>
      </c>
      <c r="D6">
        <f>SUM('Monthly Potable (Meters)'!M7)</f>
        <v/>
      </c>
      <c r="E6">
        <f>SUM(#REF!)</f>
        <v/>
      </c>
      <c r="F6">
        <f>SUM('Monthly Potable (Meters)'!BA7:BE7)+SUM('Monthly Potable (Meters)'!BG7:BH7)+SUM('Monthly Potable (Meters)'!BJ7:BK7)+SUM('Monthly Potable (Meters)'!BM7:BN7)+SUM('Monthly Potable (Meters)'!BP7:BQ7)+SUM('Monthly Potable (Meters)'!BS7:BU7)+SUM('Monthly Potable (Meters)'!BW7:BX7)+SUM('Monthly Potable (Meters)'!BZ7:CB7)+SUM('Monthly Potable (Meters)'!CD7:CF7)</f>
        <v/>
      </c>
      <c r="G6">
        <f>SUM('Monthly Potable (Meters)'!B7)+SUM('Monthly Potable (Meters)'!S7)</f>
        <v/>
      </c>
      <c r="H6">
        <f>SUM('Monthly Potable (Meters)'!G7:H7)+SUM('Monthly Potable (Meters)'!J7:K7)+SUM('Monthly Potable (Meters)'!Y7:Z7)</f>
        <v/>
      </c>
      <c r="I6">
        <f>SUM('Monthly Potable (Meters)'!AE7:AG7)+SUM('Monthly Potable (Meters)'!AI7)+SUM('Monthly Potable (Meters)'!AK7:AZ7)</f>
        <v/>
      </c>
      <c r="J6">
        <f>SUM('Monthly Potable (Meters)'!AH7)+SUM('Monthly Potable (Meters)'!AJ7)</f>
        <v/>
      </c>
      <c r="K6">
        <f>SUM('Monthly Potable (Meters)'!C7)+SUM('Monthly Potable (Meters)'!I7)+SUM('Monthly Potable (Meters)'!L7)+SUM('Monthly Potable (Meters)'!N7)+SUM('Monthly Potable (Meters)'!Q7)+SUM('Monthly Potable (Meters)'!U7)+SUM('Monthly Potable (Meters)'!X7)+SUM('Monthly Potable (Meters)'!AB7:AD7)+SUM('Monthly Potable (Meters)'!BF7)+SUM('Monthly Potable (Meters)'!BI7)+SUM('Monthly Potable (Meters)'!BL7)+SUM('Monthly Potable (Meters)'!BO7)+SUM('Monthly Potable (Meters)'!BR7)+SUM('Monthly Potable (Meters)'!BV7)+SUM('Monthly Potable (Meters)'!BY7)+SUM('Monthly Potable (Meters)'!CC7)+SUM('Monthly Potable (Meters)'!CE7)+SUM('Monthly Potable (Meters)'!CH7:CM7)+SUM('Monthly Potable (Meters)'!CO7:DI7)</f>
        <v/>
      </c>
      <c r="L6">
        <f>SUM('Monthly Potable (Meters)'!E7)</f>
        <v/>
      </c>
      <c r="M6">
        <f>SUM('Monthly Potable (Meters)'!AA7)</f>
        <v/>
      </c>
    </row>
    <row r="7" ht="16" customHeight="1">
      <c r="A7" s="156" t="n">
        <v>43525</v>
      </c>
      <c r="B7">
        <f>SUM('Monthly Potable (Meters)'!D8)</f>
        <v/>
      </c>
      <c r="C7">
        <f>SUM('Monthly Potable (Meters)'!P8)+SUM('Monthly Potable (Meters)'!R8)+SUM('Monthly Potable (Meters)'!T8)+SUM('Monthly Potable (Meters)'!V8)+SUM('Monthly Potable (Meters)'!W8)</f>
        <v/>
      </c>
      <c r="D7">
        <f>SUM('Monthly Potable (Meters)'!M8)</f>
        <v/>
      </c>
      <c r="E7">
        <f>SUM(#REF!)</f>
        <v/>
      </c>
      <c r="F7">
        <f>SUM('Monthly Potable (Meters)'!BA8:BE8)+SUM('Monthly Potable (Meters)'!BG8:BH8)+SUM('Monthly Potable (Meters)'!BJ8:BK8)+SUM('Monthly Potable (Meters)'!BM8:BN8)+SUM('Monthly Potable (Meters)'!BP8:BQ8)+SUM('Monthly Potable (Meters)'!BS8:BU8)+SUM('Monthly Potable (Meters)'!BW8:BX8)+SUM('Monthly Potable (Meters)'!BZ8:CB8)+SUM('Monthly Potable (Meters)'!CD8:CF8)</f>
        <v/>
      </c>
      <c r="G7">
        <f>SUM('Monthly Potable (Meters)'!B8)+SUM('Monthly Potable (Meters)'!S8)</f>
        <v/>
      </c>
      <c r="H7">
        <f>SUM('Monthly Potable (Meters)'!G8:H8)+SUM('Monthly Potable (Meters)'!J8:K8)+SUM('Monthly Potable (Meters)'!Y8:Z8)</f>
        <v/>
      </c>
      <c r="I7">
        <f>SUM('Monthly Potable (Meters)'!AE8:AG8)+SUM('Monthly Potable (Meters)'!AI8)+SUM('Monthly Potable (Meters)'!AK8:AZ8)</f>
        <v/>
      </c>
      <c r="J7">
        <f>SUM('Monthly Potable (Meters)'!AH8)+SUM('Monthly Potable (Meters)'!AJ8)</f>
        <v/>
      </c>
      <c r="K7">
        <f>SUM('Monthly Potable (Meters)'!C8)+SUM('Monthly Potable (Meters)'!I8)+SUM('Monthly Potable (Meters)'!L8)+SUM('Monthly Potable (Meters)'!N8)+SUM('Monthly Potable (Meters)'!Q8)+SUM('Monthly Potable (Meters)'!U8)+SUM('Monthly Potable (Meters)'!X8)+SUM('Monthly Potable (Meters)'!AB8:AD8)+SUM('Monthly Potable (Meters)'!BF8)+SUM('Monthly Potable (Meters)'!BI8)+SUM('Monthly Potable (Meters)'!BL8)+SUM('Monthly Potable (Meters)'!BO8)+SUM('Monthly Potable (Meters)'!BR8)+SUM('Monthly Potable (Meters)'!BV8)+SUM('Monthly Potable (Meters)'!BY8)+SUM('Monthly Potable (Meters)'!CC8)+SUM('Monthly Potable (Meters)'!CE8)+SUM('Monthly Potable (Meters)'!CH8:CM8)+SUM('Monthly Potable (Meters)'!CO8:DI8)</f>
        <v/>
      </c>
      <c r="L7">
        <f>SUM('Monthly Potable (Meters)'!E8)</f>
        <v/>
      </c>
      <c r="M7">
        <f>SUM('Monthly Potable (Meters)'!AA8)</f>
        <v/>
      </c>
    </row>
    <row r="8" ht="16" customHeight="1">
      <c r="A8" s="156" t="n">
        <v>43556</v>
      </c>
      <c r="B8">
        <f>SUM('Monthly Potable (Meters)'!D9)</f>
        <v/>
      </c>
      <c r="C8">
        <f>SUM('Monthly Potable (Meters)'!P9)+SUM('Monthly Potable (Meters)'!R9)+SUM('Monthly Potable (Meters)'!T9)+SUM('Monthly Potable (Meters)'!V9)+SUM('Monthly Potable (Meters)'!W9)</f>
        <v/>
      </c>
      <c r="D8">
        <f>SUM('Monthly Potable (Meters)'!M9)</f>
        <v/>
      </c>
      <c r="E8">
        <f>SUM(#REF!)</f>
        <v/>
      </c>
      <c r="F8">
        <f>SUM('Monthly Potable (Meters)'!BA9:BE9)+SUM('Monthly Potable (Meters)'!BG9:BH9)+SUM('Monthly Potable (Meters)'!BJ9:BK9)+SUM('Monthly Potable (Meters)'!BM9:BN9)+SUM('Monthly Potable (Meters)'!BP9:BQ9)+SUM('Monthly Potable (Meters)'!BS9:BU9)+SUM('Monthly Potable (Meters)'!BW9:BX9)+SUM('Monthly Potable (Meters)'!BZ9:CB9)+SUM('Monthly Potable (Meters)'!CD9:CF9)</f>
        <v/>
      </c>
      <c r="G8">
        <f>SUM('Monthly Potable (Meters)'!B9)+SUM('Monthly Potable (Meters)'!S9)</f>
        <v/>
      </c>
      <c r="H8">
        <f>SUM('Monthly Potable (Meters)'!G9:H9)+SUM('Monthly Potable (Meters)'!J9:K9)+SUM('Monthly Potable (Meters)'!Y9:Z9)</f>
        <v/>
      </c>
      <c r="I8">
        <f>SUM('Monthly Potable (Meters)'!AE9:AG9)+SUM('Monthly Potable (Meters)'!AI9)+SUM('Monthly Potable (Meters)'!AK9:AZ9)</f>
        <v/>
      </c>
      <c r="J8">
        <f>SUM('Monthly Potable (Meters)'!AH9)+SUM('Monthly Potable (Meters)'!AJ9)</f>
        <v/>
      </c>
      <c r="K8">
        <f>SUM('Monthly Potable (Meters)'!C9)+SUM('Monthly Potable (Meters)'!I9)+SUM('Monthly Potable (Meters)'!L9)+SUM('Monthly Potable (Meters)'!N9)+SUM('Monthly Potable (Meters)'!Q9)+SUM('Monthly Potable (Meters)'!U9)+SUM('Monthly Potable (Meters)'!X9)+SUM('Monthly Potable (Meters)'!AB9:AD9)+SUM('Monthly Potable (Meters)'!BF9)+SUM('Monthly Potable (Meters)'!BI9)+SUM('Monthly Potable (Meters)'!BL9)+SUM('Monthly Potable (Meters)'!BO9)+SUM('Monthly Potable (Meters)'!BR9)+SUM('Monthly Potable (Meters)'!BV9)+SUM('Monthly Potable (Meters)'!BY9)+SUM('Monthly Potable (Meters)'!CC9)+SUM('Monthly Potable (Meters)'!CE9)+SUM('Monthly Potable (Meters)'!CH9:CM9)+SUM('Monthly Potable (Meters)'!CO9:DI9)</f>
        <v/>
      </c>
      <c r="L8">
        <f>SUM('Monthly Potable (Meters)'!E9)</f>
        <v/>
      </c>
      <c r="M8">
        <f>SUM('Monthly Potable (Meters)'!AA9)</f>
        <v/>
      </c>
    </row>
    <row r="9" ht="16" customHeight="1">
      <c r="A9" s="156" t="n">
        <v>43586</v>
      </c>
      <c r="B9">
        <f>SUM('Monthly Potable (Meters)'!D10)</f>
        <v/>
      </c>
      <c r="C9">
        <f>SUM('Monthly Potable (Meters)'!P10)+SUM('Monthly Potable (Meters)'!R10)+SUM('Monthly Potable (Meters)'!T10)+SUM('Monthly Potable (Meters)'!V10)+SUM('Monthly Potable (Meters)'!W10)</f>
        <v/>
      </c>
      <c r="D9">
        <f>SUM('Monthly Potable (Meters)'!M10)</f>
        <v/>
      </c>
      <c r="E9">
        <f>SUM(#REF!)</f>
        <v/>
      </c>
      <c r="F9">
        <f>SUM('Monthly Potable (Meters)'!BA10:BE10)+SUM('Monthly Potable (Meters)'!BG10:BH10)+SUM('Monthly Potable (Meters)'!BJ10:BK10)+SUM('Monthly Potable (Meters)'!BM10:BN10)+SUM('Monthly Potable (Meters)'!BP10:BQ10)+SUM('Monthly Potable (Meters)'!BS10:BU10)+SUM('Monthly Potable (Meters)'!BW10:BX10)+SUM('Monthly Potable (Meters)'!BZ10:CB10)+SUM('Monthly Potable (Meters)'!CD10:CF10)</f>
        <v/>
      </c>
      <c r="G9">
        <f>SUM('Monthly Potable (Meters)'!B10)+SUM('Monthly Potable (Meters)'!S10)</f>
        <v/>
      </c>
      <c r="H9">
        <f>SUM('Monthly Potable (Meters)'!G10:H10)+SUM('Monthly Potable (Meters)'!J10:K10)+SUM('Monthly Potable (Meters)'!Y10:Z10)</f>
        <v/>
      </c>
      <c r="I9">
        <f>SUM('Monthly Potable (Meters)'!AE10:AG10)+SUM('Monthly Potable (Meters)'!AI10)+SUM('Monthly Potable (Meters)'!AK10:AZ10)</f>
        <v/>
      </c>
      <c r="J9">
        <f>SUM('Monthly Potable (Meters)'!AH10)+SUM('Monthly Potable (Meters)'!AJ10)</f>
        <v/>
      </c>
      <c r="K9">
        <f>SUM('Monthly Potable (Meters)'!C10)+SUM('Monthly Potable (Meters)'!I10)+SUM('Monthly Potable (Meters)'!L10)+SUM('Monthly Potable (Meters)'!N10)+SUM('Monthly Potable (Meters)'!Q10)+SUM('Monthly Potable (Meters)'!U10)+SUM('Monthly Potable (Meters)'!X10)+SUM('Monthly Potable (Meters)'!AB10:AD10)+SUM('Monthly Potable (Meters)'!BF10)+SUM('Monthly Potable (Meters)'!BI10)+SUM('Monthly Potable (Meters)'!BL10)+SUM('Monthly Potable (Meters)'!BO10)+SUM('Monthly Potable (Meters)'!BR10)+SUM('Monthly Potable (Meters)'!BV10)+SUM('Monthly Potable (Meters)'!BY10)+SUM('Monthly Potable (Meters)'!CC10)+SUM('Monthly Potable (Meters)'!CE10)+SUM('Monthly Potable (Meters)'!CH10:CM10)+SUM('Monthly Potable (Meters)'!CO10:DI10)</f>
        <v/>
      </c>
      <c r="L9">
        <f>SUM('Monthly Potable (Meters)'!E10)</f>
        <v/>
      </c>
      <c r="M9">
        <f>SUM('Monthly Potable (Meters)'!AA10)</f>
        <v/>
      </c>
    </row>
    <row r="10" ht="16" customHeight="1">
      <c r="A10" s="156" t="n">
        <v>43617</v>
      </c>
      <c r="B10">
        <f>SUM('Monthly Potable (Meters)'!D11)</f>
        <v/>
      </c>
      <c r="C10">
        <f>SUM('Monthly Potable (Meters)'!P11)+SUM('Monthly Potable (Meters)'!R11)+SUM('Monthly Potable (Meters)'!T11)+SUM('Monthly Potable (Meters)'!V11)+SUM('Monthly Potable (Meters)'!W11)</f>
        <v/>
      </c>
      <c r="D10">
        <f>SUM('Monthly Potable (Meters)'!M11)</f>
        <v/>
      </c>
      <c r="E10">
        <f>SUM(#REF!)</f>
        <v/>
      </c>
      <c r="F10">
        <f>SUM('Monthly Potable (Meters)'!BA11:BE11)+SUM('Monthly Potable (Meters)'!BG11:BH11)+SUM('Monthly Potable (Meters)'!BJ11:BK11)+SUM('Monthly Potable (Meters)'!BM11:BN11)+SUM('Monthly Potable (Meters)'!BP11:BQ11)+SUM('Monthly Potable (Meters)'!BS11:BU11)+SUM('Monthly Potable (Meters)'!BW11:BX11)+SUM('Monthly Potable (Meters)'!BZ11:CB11)+SUM('Monthly Potable (Meters)'!CD11:CF11)</f>
        <v/>
      </c>
      <c r="G10">
        <f>SUM('Monthly Potable (Meters)'!B11)+SUM('Monthly Potable (Meters)'!S11)</f>
        <v/>
      </c>
      <c r="H10">
        <f>SUM('Monthly Potable (Meters)'!G11:H11)+SUM('Monthly Potable (Meters)'!J11:K11)+SUM('Monthly Potable (Meters)'!Y11:Z11)</f>
        <v/>
      </c>
      <c r="I10">
        <f>SUM('Monthly Potable (Meters)'!AE11:AG11)+SUM('Monthly Potable (Meters)'!AI11)+SUM('Monthly Potable (Meters)'!AK11:AZ11)</f>
        <v/>
      </c>
      <c r="J10">
        <f>SUM('Monthly Potable (Meters)'!AH11)+SUM('Monthly Potable (Meters)'!AJ11)</f>
        <v/>
      </c>
      <c r="K10">
        <f>SUM('Monthly Potable (Meters)'!C11)+SUM('Monthly Potable (Meters)'!I11)+SUM('Monthly Potable (Meters)'!L11)+SUM('Monthly Potable (Meters)'!N11)+SUM('Monthly Potable (Meters)'!Q11)+SUM('Monthly Potable (Meters)'!U11)+SUM('Monthly Potable (Meters)'!X11)+SUM('Monthly Potable (Meters)'!AB11:AD11)+SUM('Monthly Potable (Meters)'!BF11)+SUM('Monthly Potable (Meters)'!BI11)+SUM('Monthly Potable (Meters)'!BL11)+SUM('Monthly Potable (Meters)'!BO11)+SUM('Monthly Potable (Meters)'!BR11)+SUM('Monthly Potable (Meters)'!BV11)+SUM('Monthly Potable (Meters)'!BY11)+SUM('Monthly Potable (Meters)'!CC11)+SUM('Monthly Potable (Meters)'!CE11)+SUM('Monthly Potable (Meters)'!CH11:CM11)+SUM('Monthly Potable (Meters)'!CO11:DI11)</f>
        <v/>
      </c>
      <c r="L10">
        <f>SUM('Monthly Potable (Meters)'!E11)</f>
        <v/>
      </c>
      <c r="M10">
        <f>SUM('Monthly Potable (Meters)'!AA11)</f>
        <v/>
      </c>
    </row>
    <row r="11" ht="16" customHeight="1">
      <c r="A11" s="156" t="n">
        <v>43647</v>
      </c>
      <c r="B11">
        <f>SUM('Monthly Potable (Meters)'!D12)</f>
        <v/>
      </c>
      <c r="C11">
        <f>SUM('Monthly Potable (Meters)'!P12)+SUM('Monthly Potable (Meters)'!R12)+SUM('Monthly Potable (Meters)'!T12)+SUM('Monthly Potable (Meters)'!V12)+SUM('Monthly Potable (Meters)'!W12)</f>
        <v/>
      </c>
      <c r="D11">
        <f>SUM('Monthly Potable (Meters)'!M12)</f>
        <v/>
      </c>
      <c r="E11">
        <f>SUM(#REF!)</f>
        <v/>
      </c>
      <c r="F11">
        <f>SUM('Monthly Potable (Meters)'!BA12:BE12)+SUM('Monthly Potable (Meters)'!BG12:BH12)+SUM('Monthly Potable (Meters)'!BJ12:BK12)+SUM('Monthly Potable (Meters)'!BM12:BN12)+SUM('Monthly Potable (Meters)'!BP12:BQ12)+SUM('Monthly Potable (Meters)'!BS12:BU12)+SUM('Monthly Potable (Meters)'!BW12:BX12)+SUM('Monthly Potable (Meters)'!BZ12:CB12)+SUM('Monthly Potable (Meters)'!CD12:CF12)</f>
        <v/>
      </c>
      <c r="G11">
        <f>SUM('Monthly Potable (Meters)'!B12)+SUM('Monthly Potable (Meters)'!S12)</f>
        <v/>
      </c>
      <c r="H11">
        <f>SUM('Monthly Potable (Meters)'!G12:H12)+SUM('Monthly Potable (Meters)'!J12:K12)+SUM('Monthly Potable (Meters)'!Y12:Z12)</f>
        <v/>
      </c>
      <c r="I11">
        <f>SUM('Monthly Potable (Meters)'!AE12:AG12)+SUM('Monthly Potable (Meters)'!AI12)+SUM('Monthly Potable (Meters)'!AK12:AZ12)</f>
        <v/>
      </c>
      <c r="J11">
        <f>SUM('Monthly Potable (Meters)'!AH12)+SUM('Monthly Potable (Meters)'!AJ12)</f>
        <v/>
      </c>
      <c r="K11">
        <f>SUM('Monthly Potable (Meters)'!C12)+SUM('Monthly Potable (Meters)'!I12)+SUM('Monthly Potable (Meters)'!L12)+SUM('Monthly Potable (Meters)'!N12)+SUM('Monthly Potable (Meters)'!Q12)+SUM('Monthly Potable (Meters)'!U12)+SUM('Monthly Potable (Meters)'!X12)+SUM('Monthly Potable (Meters)'!AB12:AD12)+SUM('Monthly Potable (Meters)'!BF12)+SUM('Monthly Potable (Meters)'!BI12)+SUM('Monthly Potable (Meters)'!BL12)+SUM('Monthly Potable (Meters)'!BO12)+SUM('Monthly Potable (Meters)'!BR12)+SUM('Monthly Potable (Meters)'!BV12)+SUM('Monthly Potable (Meters)'!BY12)+SUM('Monthly Potable (Meters)'!CC12)+SUM('Monthly Potable (Meters)'!CE12)+SUM('Monthly Potable (Meters)'!CH12:CM12)+SUM('Monthly Potable (Meters)'!CO12:DI12)</f>
        <v/>
      </c>
      <c r="L11">
        <f>SUM('Monthly Potable (Meters)'!E12)</f>
        <v/>
      </c>
      <c r="M11">
        <f>SUM('Monthly Potable (Meters)'!AA12)</f>
        <v/>
      </c>
    </row>
    <row r="12" ht="16" customHeight="1">
      <c r="A12" s="156" t="n">
        <v>43678</v>
      </c>
      <c r="B12">
        <f>SUM('Monthly Potable (Meters)'!D13)</f>
        <v/>
      </c>
      <c r="C12">
        <f>SUM('Monthly Potable (Meters)'!P13)+SUM('Monthly Potable (Meters)'!R13)+SUM('Monthly Potable (Meters)'!T13)+SUM('Monthly Potable (Meters)'!V13)+SUM('Monthly Potable (Meters)'!W13)</f>
        <v/>
      </c>
      <c r="D12">
        <f>SUM('Monthly Potable (Meters)'!M13)</f>
        <v/>
      </c>
      <c r="E12">
        <f>SUM(#REF!)</f>
        <v/>
      </c>
      <c r="F12">
        <f>SUM('Monthly Potable (Meters)'!BA13:BE13)+SUM('Monthly Potable (Meters)'!BG13:BH13)+SUM('Monthly Potable (Meters)'!BJ13:BK13)+SUM('Monthly Potable (Meters)'!BM13:BN13)+SUM('Monthly Potable (Meters)'!BP13:BQ13)+SUM('Monthly Potable (Meters)'!BS13:BU13)+SUM('Monthly Potable (Meters)'!BW13:BX13)+SUM('Monthly Potable (Meters)'!BZ13:CB13)+SUM('Monthly Potable (Meters)'!CD13:CF13)</f>
        <v/>
      </c>
      <c r="G12">
        <f>SUM('Monthly Potable (Meters)'!B13)+SUM('Monthly Potable (Meters)'!S13)</f>
        <v/>
      </c>
      <c r="H12">
        <f>SUM('Monthly Potable (Meters)'!G13:H13)+SUM('Monthly Potable (Meters)'!J13:K13)+SUM('Monthly Potable (Meters)'!Y13:Z13)</f>
        <v/>
      </c>
      <c r="I12">
        <f>SUM('Monthly Potable (Meters)'!AE13:AG13)+SUM('Monthly Potable (Meters)'!AI13)+SUM('Monthly Potable (Meters)'!AK13:AZ13)</f>
        <v/>
      </c>
      <c r="J12">
        <f>SUM('Monthly Potable (Meters)'!AH13)+SUM('Monthly Potable (Meters)'!AJ13)</f>
        <v/>
      </c>
      <c r="K12">
        <f>SUM('Monthly Potable (Meters)'!C13)+SUM('Monthly Potable (Meters)'!I13)+SUM('Monthly Potable (Meters)'!L13)+SUM('Monthly Potable (Meters)'!N13)+SUM('Monthly Potable (Meters)'!Q13)+SUM('Monthly Potable (Meters)'!U13)+SUM('Monthly Potable (Meters)'!X13)+SUM('Monthly Potable (Meters)'!AB13:AD13)+SUM('Monthly Potable (Meters)'!BF13)+SUM('Monthly Potable (Meters)'!BI13)+SUM('Monthly Potable (Meters)'!BL13)+SUM('Monthly Potable (Meters)'!BO13)+SUM('Monthly Potable (Meters)'!BR13)+SUM('Monthly Potable (Meters)'!BV13)+SUM('Monthly Potable (Meters)'!BY13)+SUM('Monthly Potable (Meters)'!CC13)+SUM('Monthly Potable (Meters)'!CE13)+SUM('Monthly Potable (Meters)'!CH13:CM13)+SUM('Monthly Potable (Meters)'!CO13:DI13)</f>
        <v/>
      </c>
      <c r="L12">
        <f>SUM('Monthly Potable (Meters)'!E13)</f>
        <v/>
      </c>
      <c r="M12">
        <f>SUM('Monthly Potable (Meters)'!AA13)</f>
        <v/>
      </c>
    </row>
    <row r="13" ht="16" customHeight="1">
      <c r="A13" s="156" t="n">
        <v>43709</v>
      </c>
      <c r="B13">
        <f>SUM('Monthly Potable (Meters)'!D14)</f>
        <v/>
      </c>
      <c r="C13">
        <f>SUM('Monthly Potable (Meters)'!P14)+SUM('Monthly Potable (Meters)'!R14)+SUM('Monthly Potable (Meters)'!T14)+SUM('Monthly Potable (Meters)'!V14)+SUM('Monthly Potable (Meters)'!W14)</f>
        <v/>
      </c>
      <c r="D13">
        <f>SUM('Monthly Potable (Meters)'!M14)</f>
        <v/>
      </c>
      <c r="E13">
        <f>SUM(#REF!)</f>
        <v/>
      </c>
      <c r="F13">
        <f>SUM('Monthly Potable (Meters)'!BA14:BE14)+SUM('Monthly Potable (Meters)'!BG14:BH14)+SUM('Monthly Potable (Meters)'!BJ14:BK14)+SUM('Monthly Potable (Meters)'!BM14:BN14)+SUM('Monthly Potable (Meters)'!BP14:BQ14)+SUM('Monthly Potable (Meters)'!BS14:BU14)+SUM('Monthly Potable (Meters)'!BW14:BX14)+SUM('Monthly Potable (Meters)'!BZ14:CB14)+SUM('Monthly Potable (Meters)'!CD14:CF14)</f>
        <v/>
      </c>
      <c r="G13">
        <f>SUM('Monthly Potable (Meters)'!B14)+SUM('Monthly Potable (Meters)'!S14)</f>
        <v/>
      </c>
      <c r="H13">
        <f>SUM('Monthly Potable (Meters)'!G14:H14)+SUM('Monthly Potable (Meters)'!J14:K14)+SUM('Monthly Potable (Meters)'!Y14:Z14)</f>
        <v/>
      </c>
      <c r="I13">
        <f>SUM('Monthly Potable (Meters)'!AE14:AG14)+SUM('Monthly Potable (Meters)'!AI14)+SUM('Monthly Potable (Meters)'!AK14:AZ14)</f>
        <v/>
      </c>
      <c r="J13">
        <f>SUM('Monthly Potable (Meters)'!AH14)+SUM('Monthly Potable (Meters)'!AJ14)</f>
        <v/>
      </c>
      <c r="K13">
        <f>SUM('Monthly Potable (Meters)'!C14)+SUM('Monthly Potable (Meters)'!I14)+SUM('Monthly Potable (Meters)'!L14)+SUM('Monthly Potable (Meters)'!N14)+SUM('Monthly Potable (Meters)'!Q14)+SUM('Monthly Potable (Meters)'!U14)+SUM('Monthly Potable (Meters)'!X14)+SUM('Monthly Potable (Meters)'!AB14:AD14)+SUM('Monthly Potable (Meters)'!BF14)+SUM('Monthly Potable (Meters)'!BI14)+SUM('Monthly Potable (Meters)'!BL14)+SUM('Monthly Potable (Meters)'!BO14)+SUM('Monthly Potable (Meters)'!BR14)+SUM('Monthly Potable (Meters)'!BV14)+SUM('Monthly Potable (Meters)'!BY14)+SUM('Monthly Potable (Meters)'!CC14)+SUM('Monthly Potable (Meters)'!CE14)+SUM('Monthly Potable (Meters)'!CH14:CM14)+SUM('Monthly Potable (Meters)'!CO14:DI14)</f>
        <v/>
      </c>
      <c r="L13">
        <f>SUM('Monthly Potable (Meters)'!E14)</f>
        <v/>
      </c>
      <c r="M13">
        <f>SUM('Monthly Potable (Meters)'!AA14)</f>
        <v/>
      </c>
    </row>
    <row r="14" ht="16" customHeight="1">
      <c r="A14" s="156" t="n">
        <v>43739</v>
      </c>
      <c r="B14">
        <f>SUM('Monthly Potable (Meters)'!D15)</f>
        <v/>
      </c>
      <c r="C14">
        <f>SUM('Monthly Potable (Meters)'!P15)+SUM('Monthly Potable (Meters)'!R15)+SUM('Monthly Potable (Meters)'!T15)+SUM('Monthly Potable (Meters)'!V15)+SUM('Monthly Potable (Meters)'!W15)</f>
        <v/>
      </c>
      <c r="D14">
        <f>SUM('Monthly Potable (Meters)'!M15)</f>
        <v/>
      </c>
      <c r="E14">
        <f>SUM(#REF!)</f>
        <v/>
      </c>
      <c r="F14">
        <f>SUM('Monthly Potable (Meters)'!BA15:BE15)+SUM('Monthly Potable (Meters)'!BG15:BH15)+SUM('Monthly Potable (Meters)'!BJ15:BK15)+SUM('Monthly Potable (Meters)'!BM15:BN15)+SUM('Monthly Potable (Meters)'!BP15:BQ15)+SUM('Monthly Potable (Meters)'!BS15:BU15)+SUM('Monthly Potable (Meters)'!BW15:BX15)+SUM('Monthly Potable (Meters)'!BZ15:CB15)+SUM('Monthly Potable (Meters)'!CD15:CF15)</f>
        <v/>
      </c>
      <c r="G14">
        <f>SUM('Monthly Potable (Meters)'!B15)+SUM('Monthly Potable (Meters)'!S15)</f>
        <v/>
      </c>
      <c r="H14">
        <f>SUM('Monthly Potable (Meters)'!G15:H15)+SUM('Monthly Potable (Meters)'!J15:K15)+SUM('Monthly Potable (Meters)'!Y15:Z15)</f>
        <v/>
      </c>
      <c r="I14">
        <f>SUM('Monthly Potable (Meters)'!AE15:AG15)+SUM('Monthly Potable (Meters)'!AI15)+SUM('Monthly Potable (Meters)'!AK15:AZ15)</f>
        <v/>
      </c>
      <c r="J14">
        <f>SUM('Monthly Potable (Meters)'!AH15)+SUM('Monthly Potable (Meters)'!AJ15)</f>
        <v/>
      </c>
      <c r="K14">
        <f>SUM('Monthly Potable (Meters)'!C15)+SUM('Monthly Potable (Meters)'!I15)+SUM('Monthly Potable (Meters)'!L15)+SUM('Monthly Potable (Meters)'!N15)+SUM('Monthly Potable (Meters)'!Q15)+SUM('Monthly Potable (Meters)'!U15)+SUM('Monthly Potable (Meters)'!X15)+SUM('Monthly Potable (Meters)'!AB15:AD15)+SUM('Monthly Potable (Meters)'!BF15)+SUM('Monthly Potable (Meters)'!BI15)+SUM('Monthly Potable (Meters)'!BL15)+SUM('Monthly Potable (Meters)'!BO15)+SUM('Monthly Potable (Meters)'!BR15)+SUM('Monthly Potable (Meters)'!BV15)+SUM('Monthly Potable (Meters)'!BY15)+SUM('Monthly Potable (Meters)'!CC15)+SUM('Monthly Potable (Meters)'!CE15)+SUM('Monthly Potable (Meters)'!CH15:CM15)+SUM('Monthly Potable (Meters)'!CO15:DI15)</f>
        <v/>
      </c>
      <c r="L14">
        <f>SUM('Monthly Potable (Meters)'!E15)</f>
        <v/>
      </c>
      <c r="M14">
        <f>SUM('Monthly Potable (Meters)'!AA15)</f>
        <v/>
      </c>
    </row>
    <row r="15" ht="16" customHeight="1">
      <c r="A15" s="156" t="n">
        <v>43770</v>
      </c>
      <c r="B15">
        <f>SUM('Monthly Potable (Meters)'!D16)</f>
        <v/>
      </c>
      <c r="C15">
        <f>SUM('Monthly Potable (Meters)'!P16)+SUM('Monthly Potable (Meters)'!R16)+SUM('Monthly Potable (Meters)'!T16)+SUM('Monthly Potable (Meters)'!V16)+SUM('Monthly Potable (Meters)'!W16)</f>
        <v/>
      </c>
      <c r="D15">
        <f>SUM('Monthly Potable (Meters)'!M16)</f>
        <v/>
      </c>
      <c r="E15">
        <f>SUM(#REF!)</f>
        <v/>
      </c>
      <c r="F15">
        <f>SUM('Monthly Potable (Meters)'!BA16:BE16)+SUM('Monthly Potable (Meters)'!BG16:BH16)+SUM('Monthly Potable (Meters)'!BJ16:BK16)+SUM('Monthly Potable (Meters)'!BM16:BN16)+SUM('Monthly Potable (Meters)'!BP16:BQ16)+SUM('Monthly Potable (Meters)'!BS16:BU16)+SUM('Monthly Potable (Meters)'!BW16:BX16)+SUM('Monthly Potable (Meters)'!BZ16:CB16)+SUM('Monthly Potable (Meters)'!CD16:CF16)</f>
        <v/>
      </c>
      <c r="G15">
        <f>SUM('Monthly Potable (Meters)'!B16)+SUM('Monthly Potable (Meters)'!S16)</f>
        <v/>
      </c>
      <c r="H15">
        <f>SUM('Monthly Potable (Meters)'!G16:H16)+SUM('Monthly Potable (Meters)'!J16:K16)+SUM('Monthly Potable (Meters)'!Y16:Z16)</f>
        <v/>
      </c>
      <c r="I15">
        <f>SUM('Monthly Potable (Meters)'!AE16:AG16)+SUM('Monthly Potable (Meters)'!AI16)+SUM('Monthly Potable (Meters)'!AK16:AZ16)</f>
        <v/>
      </c>
      <c r="J15">
        <f>SUM('Monthly Potable (Meters)'!AH16)+SUM('Monthly Potable (Meters)'!AJ16)</f>
        <v/>
      </c>
      <c r="K15">
        <f>SUM('Monthly Potable (Meters)'!C16)+SUM('Monthly Potable (Meters)'!I16)+SUM('Monthly Potable (Meters)'!L16)+SUM('Monthly Potable (Meters)'!N16)+SUM('Monthly Potable (Meters)'!Q16)+SUM('Monthly Potable (Meters)'!U16)+SUM('Monthly Potable (Meters)'!X16)+SUM('Monthly Potable (Meters)'!AB16:AD16)+SUM('Monthly Potable (Meters)'!BF16)+SUM('Monthly Potable (Meters)'!BI16)+SUM('Monthly Potable (Meters)'!BL16)+SUM('Monthly Potable (Meters)'!BO16)+SUM('Monthly Potable (Meters)'!BR16)+SUM('Monthly Potable (Meters)'!BV16)+SUM('Monthly Potable (Meters)'!BY16)+SUM('Monthly Potable (Meters)'!CC16)+SUM('Monthly Potable (Meters)'!CE16)+SUM('Monthly Potable (Meters)'!CH16:CM16)+SUM('Monthly Potable (Meters)'!CO16:DI16)</f>
        <v/>
      </c>
      <c r="L15">
        <f>SUM('Monthly Potable (Meters)'!E16)</f>
        <v/>
      </c>
      <c r="M15">
        <f>SUM('Monthly Potable (Meters)'!AA16)</f>
        <v/>
      </c>
    </row>
    <row r="16" ht="16" customHeight="1">
      <c r="A16" s="156" t="n">
        <v>43800</v>
      </c>
      <c r="B16">
        <f>SUM('Monthly Potable (Meters)'!D17)</f>
        <v/>
      </c>
      <c r="C16">
        <f>SUM('Monthly Potable (Meters)'!P17)+SUM('Monthly Potable (Meters)'!R17)+SUM('Monthly Potable (Meters)'!T17)+SUM('Monthly Potable (Meters)'!V17)+SUM('Monthly Potable (Meters)'!W17)</f>
        <v/>
      </c>
      <c r="D16">
        <f>SUM('Monthly Potable (Meters)'!M17)</f>
        <v/>
      </c>
      <c r="E16">
        <f>SUM(#REF!)</f>
        <v/>
      </c>
      <c r="F16">
        <f>SUM('Monthly Potable (Meters)'!BA17:BE17)+SUM('Monthly Potable (Meters)'!BG17:BH17)+SUM('Monthly Potable (Meters)'!BJ17:BK17)+SUM('Monthly Potable (Meters)'!BM17:BN17)+SUM('Monthly Potable (Meters)'!BP17:BQ17)+SUM('Monthly Potable (Meters)'!BS17:BU17)+SUM('Monthly Potable (Meters)'!BW17:BX17)+SUM('Monthly Potable (Meters)'!BZ17:CB17)+SUM('Monthly Potable (Meters)'!CD17:CF17)</f>
        <v/>
      </c>
      <c r="G16">
        <f>SUM('Monthly Potable (Meters)'!B17)+SUM('Monthly Potable (Meters)'!S17)</f>
        <v/>
      </c>
      <c r="H16">
        <f>SUM('Monthly Potable (Meters)'!G17:H17)+SUM('Monthly Potable (Meters)'!J17:K17)+SUM('Monthly Potable (Meters)'!Y17:Z17)</f>
        <v/>
      </c>
      <c r="I16">
        <f>SUM('Monthly Potable (Meters)'!AE17:AG17)+SUM('Monthly Potable (Meters)'!AI17)+SUM('Monthly Potable (Meters)'!AK17:AZ17)</f>
        <v/>
      </c>
      <c r="J16">
        <f>SUM('Monthly Potable (Meters)'!AH17)+SUM('Monthly Potable (Meters)'!AJ17)</f>
        <v/>
      </c>
      <c r="K16">
        <f>SUM('Monthly Potable (Meters)'!C17)+SUM('Monthly Potable (Meters)'!I17)+SUM('Monthly Potable (Meters)'!L17)+SUM('Monthly Potable (Meters)'!N17)+SUM('Monthly Potable (Meters)'!Q17)+SUM('Monthly Potable (Meters)'!U17)+SUM('Monthly Potable (Meters)'!X17)+SUM('Monthly Potable (Meters)'!AB17:AD17)+SUM('Monthly Potable (Meters)'!BF17)+SUM('Monthly Potable (Meters)'!BI17)+SUM('Monthly Potable (Meters)'!BL17)+SUM('Monthly Potable (Meters)'!BO17)+SUM('Monthly Potable (Meters)'!BR17)+SUM('Monthly Potable (Meters)'!BV17)+SUM('Monthly Potable (Meters)'!BY17)+SUM('Monthly Potable (Meters)'!CC17)+SUM('Monthly Potable (Meters)'!CE17)+SUM('Monthly Potable (Meters)'!CH17:CM17)+SUM('Monthly Potable (Meters)'!CO17:DI17)</f>
        <v/>
      </c>
      <c r="L16">
        <f>SUM('Monthly Potable (Meters)'!E17)</f>
        <v/>
      </c>
      <c r="M16">
        <f>SUM('Monthly Potable (Meters)'!AA17)</f>
        <v/>
      </c>
    </row>
    <row r="17" ht="16" customHeight="1">
      <c r="A17" s="156" t="n">
        <v>43831</v>
      </c>
      <c r="B17">
        <f>SUM('Monthly Potable (Meters)'!D18)</f>
        <v/>
      </c>
      <c r="C17">
        <f>SUM('Monthly Potable (Meters)'!P18)+SUM('Monthly Potable (Meters)'!R18)+SUM('Monthly Potable (Meters)'!T18)+SUM('Monthly Potable (Meters)'!V18)+SUM('Monthly Potable (Meters)'!W18)</f>
        <v/>
      </c>
      <c r="D17">
        <f>SUM('Monthly Potable (Meters)'!M18)</f>
        <v/>
      </c>
      <c r="E17">
        <f>SUM(#REF!)</f>
        <v/>
      </c>
      <c r="F17">
        <f>SUM('Monthly Potable (Meters)'!BA18:BE18)+SUM('Monthly Potable (Meters)'!BG18:BH18)+SUM('Monthly Potable (Meters)'!BJ18:BK18)+SUM('Monthly Potable (Meters)'!BM18:BN18)+SUM('Monthly Potable (Meters)'!BP18:BQ18)+SUM('Monthly Potable (Meters)'!BS18:BU18)+SUM('Monthly Potable (Meters)'!BW18:BX18)+SUM('Monthly Potable (Meters)'!BZ18:CB18)+SUM('Monthly Potable (Meters)'!CD18:CF18)</f>
        <v/>
      </c>
      <c r="G17">
        <f>SUM('Monthly Potable (Meters)'!B18)+SUM('Monthly Potable (Meters)'!S18)</f>
        <v/>
      </c>
      <c r="H17">
        <f>SUM('Monthly Potable (Meters)'!G18:H18)+SUM('Monthly Potable (Meters)'!J18:K18)+SUM('Monthly Potable (Meters)'!Y18:Z18)</f>
        <v/>
      </c>
      <c r="I17">
        <f>SUM('Monthly Potable (Meters)'!AE18:AG18)+SUM('Monthly Potable (Meters)'!AI18)+SUM('Monthly Potable (Meters)'!AK18:AZ18)</f>
        <v/>
      </c>
      <c r="J17">
        <f>SUM('Monthly Potable (Meters)'!AH18)+SUM('Monthly Potable (Meters)'!AJ18)</f>
        <v/>
      </c>
      <c r="K17">
        <f>SUM('Monthly Potable (Meters)'!C18)+SUM('Monthly Potable (Meters)'!I18)+SUM('Monthly Potable (Meters)'!L18)+SUM('Monthly Potable (Meters)'!N18)+SUM('Monthly Potable (Meters)'!Q18)+SUM('Monthly Potable (Meters)'!U18)+SUM('Monthly Potable (Meters)'!X18)+SUM('Monthly Potable (Meters)'!AB18:AD18)+SUM('Monthly Potable (Meters)'!BF18)+SUM('Monthly Potable (Meters)'!BI18)+SUM('Monthly Potable (Meters)'!BL18)+SUM('Monthly Potable (Meters)'!BO18)+SUM('Monthly Potable (Meters)'!BR18)+SUM('Monthly Potable (Meters)'!BV18)+SUM('Monthly Potable (Meters)'!BY18)+SUM('Monthly Potable (Meters)'!CC18)+SUM('Monthly Potable (Meters)'!CE18)+SUM('Monthly Potable (Meters)'!CH18:CM18)+SUM('Monthly Potable (Meters)'!CO18:DI18)</f>
        <v/>
      </c>
      <c r="L17">
        <f>SUM('Monthly Potable (Meters)'!E18)</f>
        <v/>
      </c>
      <c r="M17">
        <f>SUM('Monthly Potable (Meters)'!AA18)</f>
        <v/>
      </c>
    </row>
    <row r="18" ht="16" customHeight="1">
      <c r="A18" s="156" t="n">
        <v>43862</v>
      </c>
      <c r="B18">
        <f>SUM('Monthly Potable (Meters)'!D19)</f>
        <v/>
      </c>
      <c r="C18">
        <f>SUM('Monthly Potable (Meters)'!P19)+SUM('Monthly Potable (Meters)'!R19)+SUM('Monthly Potable (Meters)'!T19)+SUM('Monthly Potable (Meters)'!V19)+SUM('Monthly Potable (Meters)'!W19)</f>
        <v/>
      </c>
      <c r="D18">
        <f>SUM('Monthly Potable (Meters)'!M19)</f>
        <v/>
      </c>
      <c r="E18">
        <f>SUM(#REF!)</f>
        <v/>
      </c>
      <c r="F18">
        <f>SUM('Monthly Potable (Meters)'!BA19:BE19)+SUM('Monthly Potable (Meters)'!BG19:BH19)+SUM('Monthly Potable (Meters)'!BJ19:BK19)+SUM('Monthly Potable (Meters)'!BM19:BN19)+SUM('Monthly Potable (Meters)'!BP19:BQ19)+SUM('Monthly Potable (Meters)'!BS19:BU19)+SUM('Monthly Potable (Meters)'!BW19:BX19)+SUM('Monthly Potable (Meters)'!BZ19:CB19)+SUM('Monthly Potable (Meters)'!CD19:CF19)</f>
        <v/>
      </c>
      <c r="G18">
        <f>SUM('Monthly Potable (Meters)'!B19)+SUM('Monthly Potable (Meters)'!S19)</f>
        <v/>
      </c>
      <c r="H18">
        <f>SUM('Monthly Potable (Meters)'!G19:H19)+SUM('Monthly Potable (Meters)'!J19:K19)+SUM('Monthly Potable (Meters)'!Y19:Z19)</f>
        <v/>
      </c>
      <c r="I18">
        <f>SUM('Monthly Potable (Meters)'!AE19:AG19)+SUM('Monthly Potable (Meters)'!AI19)+SUM('Monthly Potable (Meters)'!AK19:AZ19)</f>
        <v/>
      </c>
      <c r="J18">
        <f>SUM('Monthly Potable (Meters)'!AH19)+SUM('Monthly Potable (Meters)'!AJ19)</f>
        <v/>
      </c>
      <c r="K18">
        <f>SUM('Monthly Potable (Meters)'!C19)+SUM('Monthly Potable (Meters)'!I19)+SUM('Monthly Potable (Meters)'!L19)+SUM('Monthly Potable (Meters)'!N19)+SUM('Monthly Potable (Meters)'!Q19)+SUM('Monthly Potable (Meters)'!U19)+SUM('Monthly Potable (Meters)'!X19)+SUM('Monthly Potable (Meters)'!AB19:AD19)+SUM('Monthly Potable (Meters)'!BF19)+SUM('Monthly Potable (Meters)'!BI19)+SUM('Monthly Potable (Meters)'!BL19)+SUM('Monthly Potable (Meters)'!BO19)+SUM('Monthly Potable (Meters)'!BR19)+SUM('Monthly Potable (Meters)'!BV19)+SUM('Monthly Potable (Meters)'!BY19)+SUM('Monthly Potable (Meters)'!CC19)+SUM('Monthly Potable (Meters)'!CE19)+SUM('Monthly Potable (Meters)'!CH19:CM19)+SUM('Monthly Potable (Meters)'!CO19:DI19)</f>
        <v/>
      </c>
      <c r="L18">
        <f>SUM('Monthly Potable (Meters)'!E19)</f>
        <v/>
      </c>
      <c r="M18">
        <f>SUM('Monthly Potable (Meters)'!AA19)</f>
        <v/>
      </c>
    </row>
    <row r="19" ht="16" customHeight="1">
      <c r="A19" s="156" t="n">
        <v>43891</v>
      </c>
      <c r="B19">
        <f>SUM('Monthly Potable (Meters)'!D20)</f>
        <v/>
      </c>
      <c r="C19">
        <f>SUM('Monthly Potable (Meters)'!P20)+SUM('Monthly Potable (Meters)'!R20)+SUM('Monthly Potable (Meters)'!T20)+SUM('Monthly Potable (Meters)'!V20)+SUM('Monthly Potable (Meters)'!W20)</f>
        <v/>
      </c>
      <c r="D19">
        <f>SUM('Monthly Potable (Meters)'!M20)</f>
        <v/>
      </c>
      <c r="E19">
        <f>SUM(#REF!)</f>
        <v/>
      </c>
      <c r="F19">
        <f>SUM('Monthly Potable (Meters)'!BA20:BE20)+SUM('Monthly Potable (Meters)'!BG20:BH20)+SUM('Monthly Potable (Meters)'!BJ20:BK20)+SUM('Monthly Potable (Meters)'!BM20:BN20)+SUM('Monthly Potable (Meters)'!BP20:BQ20)+SUM('Monthly Potable (Meters)'!BS20:BU20)+SUM('Monthly Potable (Meters)'!BW20:BX20)+SUM('Monthly Potable (Meters)'!BZ20:CB20)+SUM('Monthly Potable (Meters)'!CD20:CF20)</f>
        <v/>
      </c>
      <c r="G19">
        <f>SUM('Monthly Potable (Meters)'!B20)+SUM('Monthly Potable (Meters)'!S20)</f>
        <v/>
      </c>
      <c r="H19">
        <f>SUM('Monthly Potable (Meters)'!G20:H20)+SUM('Monthly Potable (Meters)'!J20:K20)+SUM('Monthly Potable (Meters)'!Y20:Z20)</f>
        <v/>
      </c>
      <c r="I19">
        <f>SUM('Monthly Potable (Meters)'!AE20:AG20)+SUM('Monthly Potable (Meters)'!AI20)+SUM('Monthly Potable (Meters)'!AK20:AZ20)</f>
        <v/>
      </c>
      <c r="J19">
        <f>SUM('Monthly Potable (Meters)'!AH20)+SUM('Monthly Potable (Meters)'!AJ20)</f>
        <v/>
      </c>
      <c r="K19">
        <f>SUM('Monthly Potable (Meters)'!C20)+SUM('Monthly Potable (Meters)'!I20)+SUM('Monthly Potable (Meters)'!L20)+SUM('Monthly Potable (Meters)'!N20)+SUM('Monthly Potable (Meters)'!Q20)+SUM('Monthly Potable (Meters)'!U20)+SUM('Monthly Potable (Meters)'!X20)+SUM('Monthly Potable (Meters)'!AB20:AD20)+SUM('Monthly Potable (Meters)'!BF20)+SUM('Monthly Potable (Meters)'!BI20)+SUM('Monthly Potable (Meters)'!BL20)+SUM('Monthly Potable (Meters)'!BO20)+SUM('Monthly Potable (Meters)'!BR20)+SUM('Monthly Potable (Meters)'!BV20)+SUM('Monthly Potable (Meters)'!BY20)+SUM('Monthly Potable (Meters)'!CC20)+SUM('Monthly Potable (Meters)'!CE20)+SUM('Monthly Potable (Meters)'!CH20:CM20)+SUM('Monthly Potable (Meters)'!CO20:DI20)</f>
        <v/>
      </c>
      <c r="L19">
        <f>SUM('Monthly Potable (Meters)'!E20)</f>
        <v/>
      </c>
      <c r="M19">
        <f>SUM('Monthly Potable (Meters)'!AA20)</f>
        <v/>
      </c>
    </row>
    <row r="20" ht="16" customHeight="1">
      <c r="A20" s="156" t="n">
        <v>43922</v>
      </c>
      <c r="B20">
        <f>SUM('Monthly Potable (Meters)'!D21)</f>
        <v/>
      </c>
      <c r="C20">
        <f>SUM('Monthly Potable (Meters)'!P21)+SUM('Monthly Potable (Meters)'!R21)+SUM('Monthly Potable (Meters)'!T21)+SUM('Monthly Potable (Meters)'!V21)+SUM('Monthly Potable (Meters)'!W21)</f>
        <v/>
      </c>
      <c r="D20">
        <f>SUM('Monthly Potable (Meters)'!M21)</f>
        <v/>
      </c>
      <c r="E20">
        <f>SUM(#REF!)</f>
        <v/>
      </c>
      <c r="F20">
        <f>SUM('Monthly Potable (Meters)'!BA21:BE21)+SUM('Monthly Potable (Meters)'!BG21:BH21)+SUM('Monthly Potable (Meters)'!BJ21:BK21)+SUM('Monthly Potable (Meters)'!BM21:BN21)+SUM('Monthly Potable (Meters)'!BP21:BQ21)+SUM('Monthly Potable (Meters)'!BS21:BU21)+SUM('Monthly Potable (Meters)'!BW21:BX21)+SUM('Monthly Potable (Meters)'!BZ21:CB21)+SUM('Monthly Potable (Meters)'!CD21:CF21)</f>
        <v/>
      </c>
      <c r="G20">
        <f>SUM('Monthly Potable (Meters)'!B21)+SUM('Monthly Potable (Meters)'!S21)</f>
        <v/>
      </c>
      <c r="H20">
        <f>SUM('Monthly Potable (Meters)'!G21:H21)+SUM('Monthly Potable (Meters)'!J21:K21)+SUM('Monthly Potable (Meters)'!Y21:Z21)</f>
        <v/>
      </c>
      <c r="I20">
        <f>SUM('Monthly Potable (Meters)'!AE21:AG21)+SUM('Monthly Potable (Meters)'!AI21)+SUM('Monthly Potable (Meters)'!AK21:AZ21)</f>
        <v/>
      </c>
      <c r="J20">
        <f>SUM('Monthly Potable (Meters)'!AH21)+SUM('Monthly Potable (Meters)'!AJ21)</f>
        <v/>
      </c>
      <c r="K20">
        <f>SUM('Monthly Potable (Meters)'!C21)+SUM('Monthly Potable (Meters)'!I21)+SUM('Monthly Potable (Meters)'!L21)+SUM('Monthly Potable (Meters)'!N21)+SUM('Monthly Potable (Meters)'!Q21)+SUM('Monthly Potable (Meters)'!U21)+SUM('Monthly Potable (Meters)'!X21)+SUM('Monthly Potable (Meters)'!AB21:AD21)+SUM('Monthly Potable (Meters)'!BF21)+SUM('Monthly Potable (Meters)'!BI21)+SUM('Monthly Potable (Meters)'!BL21)+SUM('Monthly Potable (Meters)'!BO21)+SUM('Monthly Potable (Meters)'!BR21)+SUM('Monthly Potable (Meters)'!BV21)+SUM('Monthly Potable (Meters)'!BY21)+SUM('Monthly Potable (Meters)'!CC21)+SUM('Monthly Potable (Meters)'!CE21)+SUM('Monthly Potable (Meters)'!CH21:CM21)+SUM('Monthly Potable (Meters)'!CO21:DI21)</f>
        <v/>
      </c>
      <c r="L20">
        <f>SUM('Monthly Potable (Meters)'!E21)</f>
        <v/>
      </c>
      <c r="M20">
        <f>SUM('Monthly Potable (Meters)'!AA21)</f>
        <v/>
      </c>
    </row>
    <row r="21" ht="16" customHeight="1">
      <c r="A21" s="156" t="n">
        <v>43952</v>
      </c>
      <c r="B21">
        <f>SUM('Monthly Potable (Meters)'!D22)</f>
        <v/>
      </c>
      <c r="C21">
        <f>SUM('Monthly Potable (Meters)'!P22)+SUM('Monthly Potable (Meters)'!R22)+SUM('Monthly Potable (Meters)'!T22)+SUM('Monthly Potable (Meters)'!V22)+SUM('Monthly Potable (Meters)'!W22)</f>
        <v/>
      </c>
      <c r="D21">
        <f>SUM('Monthly Potable (Meters)'!M22)</f>
        <v/>
      </c>
      <c r="E21">
        <f>SUM(#REF!)</f>
        <v/>
      </c>
      <c r="F21">
        <f>SUM('Monthly Potable (Meters)'!BA22:BE22)+SUM('Monthly Potable (Meters)'!BG22:BH22)+SUM('Monthly Potable (Meters)'!BJ22:BK22)+SUM('Monthly Potable (Meters)'!BM22:BN22)+SUM('Monthly Potable (Meters)'!BP22:BQ22)+SUM('Monthly Potable (Meters)'!BS22:BU22)+SUM('Monthly Potable (Meters)'!BW22:BX22)+SUM('Monthly Potable (Meters)'!BZ22:CB22)+SUM('Monthly Potable (Meters)'!CD22:CF22)</f>
        <v/>
      </c>
      <c r="G21">
        <f>SUM('Monthly Potable (Meters)'!B22)+SUM('Monthly Potable (Meters)'!S22)</f>
        <v/>
      </c>
      <c r="H21">
        <f>SUM('Monthly Potable (Meters)'!G22:H22)+SUM('Monthly Potable (Meters)'!J22:K22)+SUM('Monthly Potable (Meters)'!Y22:Z22)</f>
        <v/>
      </c>
      <c r="I21">
        <f>SUM('Monthly Potable (Meters)'!AE22:AG22)+SUM('Monthly Potable (Meters)'!AI22)+SUM('Monthly Potable (Meters)'!AK22:AZ22)</f>
        <v/>
      </c>
      <c r="J21">
        <f>SUM('Monthly Potable (Meters)'!AH22)+SUM('Monthly Potable (Meters)'!AJ22)</f>
        <v/>
      </c>
      <c r="K21">
        <f>SUM('Monthly Potable (Meters)'!C22)+SUM('Monthly Potable (Meters)'!I22)+SUM('Monthly Potable (Meters)'!L22)+SUM('Monthly Potable (Meters)'!N22)+SUM('Monthly Potable (Meters)'!Q22)+SUM('Monthly Potable (Meters)'!U22)+SUM('Monthly Potable (Meters)'!X22)+SUM('Monthly Potable (Meters)'!AB22:AD22)+SUM('Monthly Potable (Meters)'!BF22)+SUM('Monthly Potable (Meters)'!BI22)+SUM('Monthly Potable (Meters)'!BL22)+SUM('Monthly Potable (Meters)'!BO22)+SUM('Monthly Potable (Meters)'!BR22)+SUM('Monthly Potable (Meters)'!BV22)+SUM('Monthly Potable (Meters)'!BY22)+SUM('Monthly Potable (Meters)'!CC22)+SUM('Monthly Potable (Meters)'!CE22)+SUM('Monthly Potable (Meters)'!CH22:CM22)+SUM('Monthly Potable (Meters)'!CO22:DI22)</f>
        <v/>
      </c>
      <c r="L21">
        <f>SUM('Monthly Potable (Meters)'!E22)</f>
        <v/>
      </c>
      <c r="M21">
        <f>SUM('Monthly Potable (Meters)'!AA22)</f>
        <v/>
      </c>
    </row>
    <row r="22" ht="16" customHeight="1">
      <c r="A22" s="156" t="n">
        <v>43983</v>
      </c>
      <c r="B22">
        <f>SUM('Monthly Potable (Meters)'!D23)</f>
        <v/>
      </c>
      <c r="C22">
        <f>SUM('Monthly Potable (Meters)'!P23)+SUM('Monthly Potable (Meters)'!R23)+SUM('Monthly Potable (Meters)'!T23)+SUM('Monthly Potable (Meters)'!V23)+SUM('Monthly Potable (Meters)'!W23)</f>
        <v/>
      </c>
      <c r="D22">
        <f>SUM('Monthly Potable (Meters)'!M23)</f>
        <v/>
      </c>
      <c r="E22">
        <f>SUM(#REF!)</f>
        <v/>
      </c>
      <c r="F22">
        <f>SUM('Monthly Potable (Meters)'!BA23:BE23)+SUM('Monthly Potable (Meters)'!BG23:BH23)+SUM('Monthly Potable (Meters)'!BJ23:BK23)+SUM('Monthly Potable (Meters)'!BM23:BN23)+SUM('Monthly Potable (Meters)'!BP23:BQ23)+SUM('Monthly Potable (Meters)'!BS23:BU23)+SUM('Monthly Potable (Meters)'!BW23:BX23)+SUM('Monthly Potable (Meters)'!BZ23:CB23)+SUM('Monthly Potable (Meters)'!CD23:CF23)</f>
        <v/>
      </c>
      <c r="G22">
        <f>SUM('Monthly Potable (Meters)'!B23)+SUM('Monthly Potable (Meters)'!S23)</f>
        <v/>
      </c>
      <c r="H22">
        <f>SUM('Monthly Potable (Meters)'!G23:H23)+SUM('Monthly Potable (Meters)'!J23:K23)+SUM('Monthly Potable (Meters)'!Y23:Z23)</f>
        <v/>
      </c>
      <c r="I22">
        <f>SUM('Monthly Potable (Meters)'!AE23:AG23)+SUM('Monthly Potable (Meters)'!AI23)+SUM('Monthly Potable (Meters)'!AK23:AZ23)</f>
        <v/>
      </c>
      <c r="J22">
        <f>SUM('Monthly Potable (Meters)'!AH23)+SUM('Monthly Potable (Meters)'!AJ23)</f>
        <v/>
      </c>
      <c r="K22">
        <f>SUM('Monthly Potable (Meters)'!C23)+SUM('Monthly Potable (Meters)'!I23)+SUM('Monthly Potable (Meters)'!L23)+SUM('Monthly Potable (Meters)'!N23)+SUM('Monthly Potable (Meters)'!Q23)+SUM('Monthly Potable (Meters)'!U23)+SUM('Monthly Potable (Meters)'!X23)+SUM('Monthly Potable (Meters)'!AB23:AD23)+SUM('Monthly Potable (Meters)'!BF23)+SUM('Monthly Potable (Meters)'!BI23)+SUM('Monthly Potable (Meters)'!BL23)+SUM('Monthly Potable (Meters)'!BO23)+SUM('Monthly Potable (Meters)'!BR23)+SUM('Monthly Potable (Meters)'!BV23)+SUM('Monthly Potable (Meters)'!BY23)+SUM('Monthly Potable (Meters)'!CC23)+SUM('Monthly Potable (Meters)'!CE23)+SUM('Monthly Potable (Meters)'!CH23:CM23)+SUM('Monthly Potable (Meters)'!CO23:DI23)</f>
        <v/>
      </c>
      <c r="L22">
        <f>SUM('Monthly Potable (Meters)'!E23)</f>
        <v/>
      </c>
      <c r="M22">
        <f>SUM('Monthly Potable (Meters)'!AA23)</f>
        <v/>
      </c>
    </row>
    <row r="23" ht="16" customHeight="1">
      <c r="A23" s="156" t="n">
        <v>44013</v>
      </c>
      <c r="B23">
        <f>SUM('Monthly Potable (Meters)'!D24)</f>
        <v/>
      </c>
      <c r="C23">
        <f>SUM('Monthly Potable (Meters)'!P24)+SUM('Monthly Potable (Meters)'!R24)+SUM('Monthly Potable (Meters)'!T24)+SUM('Monthly Potable (Meters)'!V24)+SUM('Monthly Potable (Meters)'!W24)</f>
        <v/>
      </c>
      <c r="D23">
        <f>SUM('Monthly Potable (Meters)'!M24)</f>
        <v/>
      </c>
      <c r="E23">
        <f>SUM(#REF!)</f>
        <v/>
      </c>
      <c r="F23">
        <f>SUM('Monthly Potable (Meters)'!BA24:BE24)+SUM('Monthly Potable (Meters)'!BG24:BH24)+SUM('Monthly Potable (Meters)'!BJ24:BK24)+SUM('Monthly Potable (Meters)'!BM24:BN24)+SUM('Monthly Potable (Meters)'!BP24:BQ24)+SUM('Monthly Potable (Meters)'!BS24:BU24)+SUM('Monthly Potable (Meters)'!BW24:BX24)+SUM('Monthly Potable (Meters)'!BZ24:CB24)+SUM('Monthly Potable (Meters)'!CD24:CF24)</f>
        <v/>
      </c>
      <c r="G23">
        <f>SUM('Monthly Potable (Meters)'!B24)+SUM('Monthly Potable (Meters)'!S24)</f>
        <v/>
      </c>
      <c r="H23">
        <f>SUM('Monthly Potable (Meters)'!G24:H24)+SUM('Monthly Potable (Meters)'!J24:K24)+SUM('Monthly Potable (Meters)'!Y24:Z24)</f>
        <v/>
      </c>
      <c r="I23">
        <f>SUM('Monthly Potable (Meters)'!AE24:AG24)+SUM('Monthly Potable (Meters)'!AI24)+SUM('Monthly Potable (Meters)'!AK24:AZ24)</f>
        <v/>
      </c>
      <c r="J23">
        <f>SUM('Monthly Potable (Meters)'!AH24)+SUM('Monthly Potable (Meters)'!AJ24)</f>
        <v/>
      </c>
      <c r="K23">
        <f>SUM('Monthly Potable (Meters)'!C24)+SUM('Monthly Potable (Meters)'!I24)+SUM('Monthly Potable (Meters)'!L24)+SUM('Monthly Potable (Meters)'!N24)+SUM('Monthly Potable (Meters)'!Q24)+SUM('Monthly Potable (Meters)'!U24)+SUM('Monthly Potable (Meters)'!X24)+SUM('Monthly Potable (Meters)'!AB24:AD24)+SUM('Monthly Potable (Meters)'!BF24)+SUM('Monthly Potable (Meters)'!BI24)+SUM('Monthly Potable (Meters)'!BL24)+SUM('Monthly Potable (Meters)'!BO24)+SUM('Monthly Potable (Meters)'!BR24)+SUM('Monthly Potable (Meters)'!BV24)+SUM('Monthly Potable (Meters)'!BY24)+SUM('Monthly Potable (Meters)'!CC24)+SUM('Monthly Potable (Meters)'!CE24)+SUM('Monthly Potable (Meters)'!CH24:CM24)+SUM('Monthly Potable (Meters)'!CO24:DI24)</f>
        <v/>
      </c>
      <c r="L23">
        <f>SUM('Monthly Potable (Meters)'!E24)</f>
        <v/>
      </c>
      <c r="M23">
        <f>SUM('Monthly Potable (Meters)'!AA24)</f>
        <v/>
      </c>
    </row>
    <row r="24" ht="16" customHeight="1">
      <c r="A24" s="156" t="n">
        <v>44044</v>
      </c>
      <c r="B24">
        <f>SUM('Monthly Potable (Meters)'!D25)</f>
        <v/>
      </c>
      <c r="C24">
        <f>SUM('Monthly Potable (Meters)'!P25)+SUM('Monthly Potable (Meters)'!R25)+SUM('Monthly Potable (Meters)'!T25)+SUM('Monthly Potable (Meters)'!V25)+SUM('Monthly Potable (Meters)'!W25)</f>
        <v/>
      </c>
      <c r="D24">
        <f>SUM('Monthly Potable (Meters)'!M25)</f>
        <v/>
      </c>
      <c r="E24">
        <f>SUM(#REF!)</f>
        <v/>
      </c>
      <c r="F24">
        <f>SUM('Monthly Potable (Meters)'!BA25:BE25)+SUM('Monthly Potable (Meters)'!BG25:BH25)+SUM('Monthly Potable (Meters)'!BJ25:BK25)+SUM('Monthly Potable (Meters)'!BM25:BN25)+SUM('Monthly Potable (Meters)'!BP25:BQ25)+SUM('Monthly Potable (Meters)'!BS25:BU25)+SUM('Monthly Potable (Meters)'!BW25:BX25)+SUM('Monthly Potable (Meters)'!BZ25:CB25)+SUM('Monthly Potable (Meters)'!CD25:CF25)</f>
        <v/>
      </c>
      <c r="G24">
        <f>SUM('Monthly Potable (Meters)'!B25)+SUM('Monthly Potable (Meters)'!S25)</f>
        <v/>
      </c>
      <c r="H24">
        <f>SUM('Monthly Potable (Meters)'!G25:H25)+SUM('Monthly Potable (Meters)'!J25:K25)+SUM('Monthly Potable (Meters)'!Y25:Z25)</f>
        <v/>
      </c>
      <c r="I24">
        <f>SUM('Monthly Potable (Meters)'!AE25:AG25)+SUM('Monthly Potable (Meters)'!AI25)+SUM('Monthly Potable (Meters)'!AK25:AZ25)</f>
        <v/>
      </c>
      <c r="J24">
        <f>SUM('Monthly Potable (Meters)'!AH25)+SUM('Monthly Potable (Meters)'!AJ25)</f>
        <v/>
      </c>
      <c r="K24">
        <f>SUM('Monthly Potable (Meters)'!C25)+SUM('Monthly Potable (Meters)'!I25)+SUM('Monthly Potable (Meters)'!L25)+SUM('Monthly Potable (Meters)'!N25)+SUM('Monthly Potable (Meters)'!Q25)+SUM('Monthly Potable (Meters)'!U25)+SUM('Monthly Potable (Meters)'!X25)+SUM('Monthly Potable (Meters)'!AB25:AD25)+SUM('Monthly Potable (Meters)'!BF25)+SUM('Monthly Potable (Meters)'!BI25)+SUM('Monthly Potable (Meters)'!BL25)+SUM('Monthly Potable (Meters)'!BO25)+SUM('Monthly Potable (Meters)'!BR25)+SUM('Monthly Potable (Meters)'!BV25)+SUM('Monthly Potable (Meters)'!BY25)+SUM('Monthly Potable (Meters)'!CC25)+SUM('Monthly Potable (Meters)'!CE25)+SUM('Monthly Potable (Meters)'!CH25:CM25)+SUM('Monthly Potable (Meters)'!CO25:DI25)</f>
        <v/>
      </c>
      <c r="L24">
        <f>SUM('Monthly Potable (Meters)'!E25)</f>
        <v/>
      </c>
      <c r="M24">
        <f>SUM('Monthly Potable (Meters)'!AA25)</f>
        <v/>
      </c>
    </row>
    <row r="25" ht="16" customHeight="1">
      <c r="A25" s="156" t="n">
        <v>44075</v>
      </c>
      <c r="B25">
        <f>SUM('Monthly Potable (Meters)'!D26)</f>
        <v/>
      </c>
      <c r="C25">
        <f>SUM('Monthly Potable (Meters)'!P26)+SUM('Monthly Potable (Meters)'!R26)+SUM('Monthly Potable (Meters)'!T26)+SUM('Monthly Potable (Meters)'!V26)+SUM('Monthly Potable (Meters)'!W26)</f>
        <v/>
      </c>
      <c r="D25">
        <f>SUM('Monthly Potable (Meters)'!M26)</f>
        <v/>
      </c>
      <c r="E25">
        <f>SUM(#REF!)</f>
        <v/>
      </c>
      <c r="F25">
        <f>SUM('Monthly Potable (Meters)'!BA26:BE26)+SUM('Monthly Potable (Meters)'!BG26:BH26)+SUM('Monthly Potable (Meters)'!BJ26:BK26)+SUM('Monthly Potable (Meters)'!BM26:BN26)+SUM('Monthly Potable (Meters)'!BP26:BQ26)+SUM('Monthly Potable (Meters)'!BS26:BU26)+SUM('Monthly Potable (Meters)'!BW26:BX26)+SUM('Monthly Potable (Meters)'!BZ26:CB26)+SUM('Monthly Potable (Meters)'!CD26:CF26)</f>
        <v/>
      </c>
      <c r="G25">
        <f>SUM('Monthly Potable (Meters)'!B26)+SUM('Monthly Potable (Meters)'!S26)</f>
        <v/>
      </c>
      <c r="H25">
        <f>SUM('Monthly Potable (Meters)'!G26:H26)+SUM('Monthly Potable (Meters)'!J26:K26)+SUM('Monthly Potable (Meters)'!Y26:Z26)</f>
        <v/>
      </c>
      <c r="I25">
        <f>SUM('Monthly Potable (Meters)'!AE26:AG26)+SUM('Monthly Potable (Meters)'!AI26)+SUM('Monthly Potable (Meters)'!AK26:AZ26)</f>
        <v/>
      </c>
      <c r="J25">
        <f>SUM('Monthly Potable (Meters)'!AH26)+SUM('Monthly Potable (Meters)'!AJ26)</f>
        <v/>
      </c>
      <c r="K25">
        <f>SUM('Monthly Potable (Meters)'!C26)+SUM('Monthly Potable (Meters)'!I26)+SUM('Monthly Potable (Meters)'!L26)+SUM('Monthly Potable (Meters)'!N26)+SUM('Monthly Potable (Meters)'!Q26)+SUM('Monthly Potable (Meters)'!U26)+SUM('Monthly Potable (Meters)'!X26)+SUM('Monthly Potable (Meters)'!AB26:AD26)+SUM('Monthly Potable (Meters)'!BF26)+SUM('Monthly Potable (Meters)'!BI26)+SUM('Monthly Potable (Meters)'!BL26)+SUM('Monthly Potable (Meters)'!BO26)+SUM('Monthly Potable (Meters)'!BR26)+SUM('Monthly Potable (Meters)'!BV26)+SUM('Monthly Potable (Meters)'!BY26)+SUM('Monthly Potable (Meters)'!CC26)+SUM('Monthly Potable (Meters)'!CE26)+SUM('Monthly Potable (Meters)'!CH26:CM26)+SUM('Monthly Potable (Meters)'!CO26:DI26)</f>
        <v/>
      </c>
      <c r="L25">
        <f>SUM('Monthly Potable (Meters)'!E26)</f>
        <v/>
      </c>
      <c r="M25">
        <f>SUM('Monthly Potable (Meters)'!AA26)</f>
        <v/>
      </c>
    </row>
    <row r="26" ht="16" customHeight="1">
      <c r="A26" s="156" t="n">
        <v>44105</v>
      </c>
      <c r="B26">
        <f>SUM('Monthly Potable (Meters)'!D27)</f>
        <v/>
      </c>
      <c r="C26">
        <f>SUM('Monthly Potable (Meters)'!P27)+SUM('Monthly Potable (Meters)'!R27)+SUM('Monthly Potable (Meters)'!T27)+SUM('Monthly Potable (Meters)'!V27)+SUM('Monthly Potable (Meters)'!W27)</f>
        <v/>
      </c>
      <c r="D26">
        <f>SUM('Monthly Potable (Meters)'!M27)</f>
        <v/>
      </c>
      <c r="E26">
        <f>SUM(#REF!)</f>
        <v/>
      </c>
      <c r="F26">
        <f>SUM('Monthly Potable (Meters)'!BA27:BE27)+SUM('Monthly Potable (Meters)'!BG27:BH27)+SUM('Monthly Potable (Meters)'!BJ27:BK27)+SUM('Monthly Potable (Meters)'!BM27:BN27)+SUM('Monthly Potable (Meters)'!BP27:BQ27)+SUM('Monthly Potable (Meters)'!BS27:BU27)+SUM('Monthly Potable (Meters)'!BW27:BX27)+SUM('Monthly Potable (Meters)'!BZ27:CB27)+SUM('Monthly Potable (Meters)'!CD27:CF27)</f>
        <v/>
      </c>
      <c r="G26">
        <f>SUM('Monthly Potable (Meters)'!B27)+SUM('Monthly Potable (Meters)'!S27)</f>
        <v/>
      </c>
      <c r="H26">
        <f>SUM('Monthly Potable (Meters)'!G27:H27)+SUM('Monthly Potable (Meters)'!J27:K27)+SUM('Monthly Potable (Meters)'!Y27:Z27)</f>
        <v/>
      </c>
      <c r="I26">
        <f>SUM('Monthly Potable (Meters)'!AE27:AG27)+SUM('Monthly Potable (Meters)'!AI27)+SUM('Monthly Potable (Meters)'!AK27:AZ27)</f>
        <v/>
      </c>
      <c r="J26">
        <f>SUM('Monthly Potable (Meters)'!AH27)+SUM('Monthly Potable (Meters)'!AJ27)</f>
        <v/>
      </c>
      <c r="K26">
        <f>SUM('Monthly Potable (Meters)'!C27)+SUM('Monthly Potable (Meters)'!I27)+SUM('Monthly Potable (Meters)'!L27)+SUM('Monthly Potable (Meters)'!N27)+SUM('Monthly Potable (Meters)'!Q27)+SUM('Monthly Potable (Meters)'!U27)+SUM('Monthly Potable (Meters)'!X27)+SUM('Monthly Potable (Meters)'!AB27:AD27)+SUM('Monthly Potable (Meters)'!BF27)+SUM('Monthly Potable (Meters)'!BI27)+SUM('Monthly Potable (Meters)'!BL27)+SUM('Monthly Potable (Meters)'!BO27)+SUM('Monthly Potable (Meters)'!BR27)+SUM('Monthly Potable (Meters)'!BV27)+SUM('Monthly Potable (Meters)'!BY27)+SUM('Monthly Potable (Meters)'!CC27)+SUM('Monthly Potable (Meters)'!CE27)+SUM('Monthly Potable (Meters)'!CH27:CM27)+SUM('Monthly Potable (Meters)'!CO27:DI27)</f>
        <v/>
      </c>
      <c r="L26">
        <f>SUM('Monthly Potable (Meters)'!E27)</f>
        <v/>
      </c>
      <c r="M26">
        <f>SUM('Monthly Potable (Meters)'!AA27)</f>
        <v/>
      </c>
    </row>
    <row r="27" ht="16" customHeight="1">
      <c r="A27" s="156" t="n">
        <v>44136</v>
      </c>
      <c r="B27">
        <f>SUM('Monthly Potable (Meters)'!D28)</f>
        <v/>
      </c>
      <c r="C27">
        <f>SUM('Monthly Potable (Meters)'!P28)+SUM('Monthly Potable (Meters)'!R28)+SUM('Monthly Potable (Meters)'!T28)+SUM('Monthly Potable (Meters)'!V28)+SUM('Monthly Potable (Meters)'!W28)</f>
        <v/>
      </c>
      <c r="D27">
        <f>SUM('Monthly Potable (Meters)'!M28)</f>
        <v/>
      </c>
      <c r="E27">
        <f>SUM(#REF!)</f>
        <v/>
      </c>
      <c r="F27">
        <f>SUM('Monthly Potable (Meters)'!BA28:BE28)+SUM('Monthly Potable (Meters)'!BG28:BH28)+SUM('Monthly Potable (Meters)'!BJ28:BK28)+SUM('Monthly Potable (Meters)'!BM28:BN28)+SUM('Monthly Potable (Meters)'!BP28:BQ28)+SUM('Monthly Potable (Meters)'!BS28:BU28)+SUM('Monthly Potable (Meters)'!BW28:BX28)+SUM('Monthly Potable (Meters)'!BZ28:CB28)+SUM('Monthly Potable (Meters)'!CD28:CF28)</f>
        <v/>
      </c>
      <c r="G27">
        <f>SUM('Monthly Potable (Meters)'!B28)+SUM('Monthly Potable (Meters)'!S28)</f>
        <v/>
      </c>
      <c r="H27">
        <f>SUM('Monthly Potable (Meters)'!G28:H28)+SUM('Monthly Potable (Meters)'!J28:K28)+SUM('Monthly Potable (Meters)'!Y28:Z28)</f>
        <v/>
      </c>
      <c r="I27">
        <f>SUM('Monthly Potable (Meters)'!AE28:AG28)+SUM('Monthly Potable (Meters)'!AI28)+SUM('Monthly Potable (Meters)'!AK28:AZ28)</f>
        <v/>
      </c>
      <c r="J27">
        <f>SUM('Monthly Potable (Meters)'!AH28)+SUM('Monthly Potable (Meters)'!AJ28)</f>
        <v/>
      </c>
      <c r="K27">
        <f>SUM('Monthly Potable (Meters)'!C28)+SUM('Monthly Potable (Meters)'!I28)+SUM('Monthly Potable (Meters)'!L28)+SUM('Monthly Potable (Meters)'!N28)+SUM('Monthly Potable (Meters)'!Q28)+SUM('Monthly Potable (Meters)'!U28)+SUM('Monthly Potable (Meters)'!X28)+SUM('Monthly Potable (Meters)'!AB28:AD28)+SUM('Monthly Potable (Meters)'!BF28)+SUM('Monthly Potable (Meters)'!BI28)+SUM('Monthly Potable (Meters)'!BL28)+SUM('Monthly Potable (Meters)'!BO28)+SUM('Monthly Potable (Meters)'!BR28)+SUM('Monthly Potable (Meters)'!BV28)+SUM('Monthly Potable (Meters)'!BY28)+SUM('Monthly Potable (Meters)'!CC28)+SUM('Monthly Potable (Meters)'!CE28)+SUM('Monthly Potable (Meters)'!CH28:CM28)+SUM('Monthly Potable (Meters)'!CO28:DI28)</f>
        <v/>
      </c>
      <c r="L27">
        <f>SUM('Monthly Potable (Meters)'!E28)</f>
        <v/>
      </c>
      <c r="M27">
        <f>SUM('Monthly Potable (Meters)'!AA28)</f>
        <v/>
      </c>
    </row>
    <row r="28" ht="16" customHeight="1">
      <c r="A28" s="156" t="n">
        <v>44166</v>
      </c>
      <c r="B28">
        <f>SUM('Monthly Potable (Meters)'!D29)</f>
        <v/>
      </c>
      <c r="C28">
        <f>SUM('Monthly Potable (Meters)'!P29)+SUM('Monthly Potable (Meters)'!R29)+SUM('Monthly Potable (Meters)'!T29)+SUM('Monthly Potable (Meters)'!V29)+SUM('Monthly Potable (Meters)'!W29)</f>
        <v/>
      </c>
      <c r="D28">
        <f>SUM('Monthly Potable (Meters)'!M29)</f>
        <v/>
      </c>
      <c r="E28">
        <f>SUM(#REF!)</f>
        <v/>
      </c>
      <c r="F28">
        <f>SUM('Monthly Potable (Meters)'!BA29:BE29)+SUM('Monthly Potable (Meters)'!BG29:BH29)+SUM('Monthly Potable (Meters)'!BJ29:BK29)+SUM('Monthly Potable (Meters)'!BM29:BN29)+SUM('Monthly Potable (Meters)'!BP29:BQ29)+SUM('Monthly Potable (Meters)'!BS29:BU29)+SUM('Monthly Potable (Meters)'!BW29:BX29)+SUM('Monthly Potable (Meters)'!BZ29:CB29)+SUM('Monthly Potable (Meters)'!CD29:CF29)</f>
        <v/>
      </c>
      <c r="G28">
        <f>SUM('Monthly Potable (Meters)'!B29)+SUM('Monthly Potable (Meters)'!S29)</f>
        <v/>
      </c>
      <c r="H28">
        <f>SUM('Monthly Potable (Meters)'!G29:H29)+SUM('Monthly Potable (Meters)'!J29:K29)+SUM('Monthly Potable (Meters)'!Y29:Z29)</f>
        <v/>
      </c>
      <c r="I28">
        <f>SUM('Monthly Potable (Meters)'!AE29:AG29)+SUM('Monthly Potable (Meters)'!AI29)+SUM('Monthly Potable (Meters)'!AK29:AZ29)</f>
        <v/>
      </c>
      <c r="J28">
        <f>SUM('Monthly Potable (Meters)'!AH29)+SUM('Monthly Potable (Meters)'!AJ29)</f>
        <v/>
      </c>
      <c r="K28">
        <f>SUM('Monthly Potable (Meters)'!C29)+SUM('Monthly Potable (Meters)'!I29)+SUM('Monthly Potable (Meters)'!L29)+SUM('Monthly Potable (Meters)'!N29)+SUM('Monthly Potable (Meters)'!Q29)+SUM('Monthly Potable (Meters)'!U29)+SUM('Monthly Potable (Meters)'!X29)+SUM('Monthly Potable (Meters)'!AB29:AD29)+SUM('Monthly Potable (Meters)'!BF29)+SUM('Monthly Potable (Meters)'!BI29)+SUM('Monthly Potable (Meters)'!BL29)+SUM('Monthly Potable (Meters)'!BO29)+SUM('Monthly Potable (Meters)'!BR29)+SUM('Monthly Potable (Meters)'!BV29)+SUM('Monthly Potable (Meters)'!BY29)+SUM('Monthly Potable (Meters)'!CC29)+SUM('Monthly Potable (Meters)'!CE29)+SUM('Monthly Potable (Meters)'!CH29:CM29)+SUM('Monthly Potable (Meters)'!CO29:DI29)</f>
        <v/>
      </c>
      <c r="L28">
        <f>SUM('Monthly Potable (Meters)'!E29)</f>
        <v/>
      </c>
      <c r="M28">
        <f>SUM('Monthly Potable (Meters)'!AA29)</f>
        <v/>
      </c>
    </row>
    <row r="29" ht="16" customHeight="1">
      <c r="A29" s="156" t="n">
        <v>44197</v>
      </c>
      <c r="B29">
        <f>SUM('Monthly Potable (Meters)'!D30)</f>
        <v/>
      </c>
      <c r="C29">
        <f>SUM('Monthly Potable (Meters)'!P30)+SUM('Monthly Potable (Meters)'!R30)+SUM('Monthly Potable (Meters)'!T30)+SUM('Monthly Potable (Meters)'!V30)+SUM('Monthly Potable (Meters)'!W30)</f>
        <v/>
      </c>
      <c r="D29">
        <f>SUM('Monthly Potable (Meters)'!M30)</f>
        <v/>
      </c>
      <c r="E29">
        <f>SUM(#REF!)</f>
        <v/>
      </c>
      <c r="F29">
        <f>SUM('Monthly Potable (Meters)'!BA30:BE30)+SUM('Monthly Potable (Meters)'!BG30:BH30)+SUM('Monthly Potable (Meters)'!BJ30:BK30)+SUM('Monthly Potable (Meters)'!BM30:BN30)+SUM('Monthly Potable (Meters)'!BP30:BQ30)+SUM('Monthly Potable (Meters)'!BS30:BU30)+SUM('Monthly Potable (Meters)'!BW30:BX30)+SUM('Monthly Potable (Meters)'!BZ30:CB30)+SUM('Monthly Potable (Meters)'!CD30:CF30)</f>
        <v/>
      </c>
      <c r="G29">
        <f>SUM('Monthly Potable (Meters)'!B30)+SUM('Monthly Potable (Meters)'!S30)</f>
        <v/>
      </c>
      <c r="H29">
        <f>SUM('Monthly Potable (Meters)'!G30:H30)+SUM('Monthly Potable (Meters)'!J30:K30)+SUM('Monthly Potable (Meters)'!Y30:Z30)</f>
        <v/>
      </c>
      <c r="I29">
        <f>SUM('Monthly Potable (Meters)'!AE30:AG30)+SUM('Monthly Potable (Meters)'!AI30)+SUM('Monthly Potable (Meters)'!AK30:AZ30)</f>
        <v/>
      </c>
      <c r="J29">
        <f>SUM('Monthly Potable (Meters)'!AH30)+SUM('Monthly Potable (Meters)'!AJ30)</f>
        <v/>
      </c>
      <c r="K29">
        <f>SUM('Monthly Potable (Meters)'!C30)+SUM('Monthly Potable (Meters)'!I30)+SUM('Monthly Potable (Meters)'!L30)+SUM('Monthly Potable (Meters)'!N30)+SUM('Monthly Potable (Meters)'!Q30)+SUM('Monthly Potable (Meters)'!U30)+SUM('Monthly Potable (Meters)'!X30)+SUM('Monthly Potable (Meters)'!AB30:AD30)+SUM('Monthly Potable (Meters)'!BF30)+SUM('Monthly Potable (Meters)'!BI30)+SUM('Monthly Potable (Meters)'!BL30)+SUM('Monthly Potable (Meters)'!BO30)+SUM('Monthly Potable (Meters)'!BR30)+SUM('Monthly Potable (Meters)'!BV30)+SUM('Monthly Potable (Meters)'!BY30)+SUM('Monthly Potable (Meters)'!CC30)+SUM('Monthly Potable (Meters)'!CE30)+SUM('Monthly Potable (Meters)'!CH30:CM30)+SUM('Monthly Potable (Meters)'!CO30:DI30)</f>
        <v/>
      </c>
      <c r="L29">
        <f>SUM('Monthly Potable (Meters)'!E30)</f>
        <v/>
      </c>
      <c r="M29">
        <f>SUM('Monthly Potable (Meters)'!AA30)</f>
        <v/>
      </c>
    </row>
    <row r="30" ht="16" customHeight="1">
      <c r="A30" s="156" t="n">
        <v>44228</v>
      </c>
      <c r="B30">
        <f>SUM('Monthly Potable (Meters)'!D31)</f>
        <v/>
      </c>
      <c r="C30">
        <f>SUM('Monthly Potable (Meters)'!P31)+SUM('Monthly Potable (Meters)'!R31)+SUM('Monthly Potable (Meters)'!T31)+SUM('Monthly Potable (Meters)'!V31)+SUM('Monthly Potable (Meters)'!W31)</f>
        <v/>
      </c>
      <c r="D30">
        <f>SUM('Monthly Potable (Meters)'!M31)</f>
        <v/>
      </c>
      <c r="E30">
        <f>SUM(#REF!)</f>
        <v/>
      </c>
      <c r="F30">
        <f>SUM('Monthly Potable (Meters)'!BA31:BE31)+SUM('Monthly Potable (Meters)'!BG31:BH31)+SUM('Monthly Potable (Meters)'!BJ31:BK31)+SUM('Monthly Potable (Meters)'!BM31:BN31)+SUM('Monthly Potable (Meters)'!BP31:BQ31)+SUM('Monthly Potable (Meters)'!BS31:BU31)+SUM('Monthly Potable (Meters)'!BW31:BX31)+SUM('Monthly Potable (Meters)'!BZ31:CB31)+SUM('Monthly Potable (Meters)'!CD31:CF31)</f>
        <v/>
      </c>
      <c r="G30">
        <f>SUM('Monthly Potable (Meters)'!B31)+SUM('Monthly Potable (Meters)'!S31)</f>
        <v/>
      </c>
      <c r="H30">
        <f>SUM('Monthly Potable (Meters)'!G31:H31)+SUM('Monthly Potable (Meters)'!J31:K31)+SUM('Monthly Potable (Meters)'!Y31:Z31)</f>
        <v/>
      </c>
      <c r="I30">
        <f>SUM('Monthly Potable (Meters)'!AE31:AG31)+SUM('Monthly Potable (Meters)'!AI31)+SUM('Monthly Potable (Meters)'!AK31:AZ31)</f>
        <v/>
      </c>
      <c r="J30">
        <f>SUM('Monthly Potable (Meters)'!AH31)+SUM('Monthly Potable (Meters)'!AJ31)</f>
        <v/>
      </c>
      <c r="K30">
        <f>SUM('Monthly Potable (Meters)'!C31)+SUM('Monthly Potable (Meters)'!I31)+SUM('Monthly Potable (Meters)'!L31)+SUM('Monthly Potable (Meters)'!N31)+SUM('Monthly Potable (Meters)'!Q31)+SUM('Monthly Potable (Meters)'!U31)+SUM('Monthly Potable (Meters)'!X31)+SUM('Monthly Potable (Meters)'!AB31:AD31)+SUM('Monthly Potable (Meters)'!BF31)+SUM('Monthly Potable (Meters)'!BI31)+SUM('Monthly Potable (Meters)'!BL31)+SUM('Monthly Potable (Meters)'!BO31)+SUM('Monthly Potable (Meters)'!BR31)+SUM('Monthly Potable (Meters)'!BV31)+SUM('Monthly Potable (Meters)'!BY31)+SUM('Monthly Potable (Meters)'!CC31)+SUM('Monthly Potable (Meters)'!CE31)+SUM('Monthly Potable (Meters)'!CH31:CM31)+SUM('Monthly Potable (Meters)'!CO31:DI31)</f>
        <v/>
      </c>
      <c r="L30">
        <f>SUM('Monthly Potable (Meters)'!E31)</f>
        <v/>
      </c>
      <c r="M30">
        <f>SUM('Monthly Potable (Meters)'!AA31)</f>
        <v/>
      </c>
    </row>
    <row r="31" ht="16" customHeight="1">
      <c r="A31" s="156" t="n">
        <v>44256</v>
      </c>
      <c r="B31">
        <f>SUM('Monthly Potable (Meters)'!D32)</f>
        <v/>
      </c>
      <c r="C31">
        <f>SUM('Monthly Potable (Meters)'!P32)+SUM('Monthly Potable (Meters)'!R32)+SUM('Monthly Potable (Meters)'!T32)+SUM('Monthly Potable (Meters)'!V32)+SUM('Monthly Potable (Meters)'!W32)</f>
        <v/>
      </c>
      <c r="D31">
        <f>SUM('Monthly Potable (Meters)'!M32)</f>
        <v/>
      </c>
      <c r="E31">
        <f>SUM(#REF!)</f>
        <v/>
      </c>
      <c r="F31">
        <f>SUM('Monthly Potable (Meters)'!BA32:BE32)+SUM('Monthly Potable (Meters)'!BG32:BH32)+SUM('Monthly Potable (Meters)'!BJ32:BK32)+SUM('Monthly Potable (Meters)'!BM32:BN32)+SUM('Monthly Potable (Meters)'!BP32:BQ32)+SUM('Monthly Potable (Meters)'!BS32:BU32)+SUM('Monthly Potable (Meters)'!BW32:BX32)+SUM('Monthly Potable (Meters)'!BZ32:CB32)+SUM('Monthly Potable (Meters)'!CD32:CF32)</f>
        <v/>
      </c>
      <c r="G31">
        <f>SUM('Monthly Potable (Meters)'!B32)+SUM('Monthly Potable (Meters)'!S32)</f>
        <v/>
      </c>
      <c r="H31">
        <f>SUM('Monthly Potable (Meters)'!G32:H32)+SUM('Monthly Potable (Meters)'!J32:K32)+SUM('Monthly Potable (Meters)'!Y32:Z32)</f>
        <v/>
      </c>
      <c r="I31">
        <f>SUM('Monthly Potable (Meters)'!AE32:AG32)+SUM('Monthly Potable (Meters)'!AI32)+SUM('Monthly Potable (Meters)'!AK32:AZ32)</f>
        <v/>
      </c>
      <c r="J31">
        <f>SUM('Monthly Potable (Meters)'!AH32)+SUM('Monthly Potable (Meters)'!AJ32)</f>
        <v/>
      </c>
      <c r="K31">
        <f>SUM('Monthly Potable (Meters)'!C32)+SUM('Monthly Potable (Meters)'!I32)+SUM('Monthly Potable (Meters)'!L32)+SUM('Monthly Potable (Meters)'!N32)+SUM('Monthly Potable (Meters)'!Q32)+SUM('Monthly Potable (Meters)'!U32)+SUM('Monthly Potable (Meters)'!X32)+SUM('Monthly Potable (Meters)'!AB32:AD32)+SUM('Monthly Potable (Meters)'!BF32)+SUM('Monthly Potable (Meters)'!BI32)+SUM('Monthly Potable (Meters)'!BL32)+SUM('Monthly Potable (Meters)'!BO32)+SUM('Monthly Potable (Meters)'!BR32)+SUM('Monthly Potable (Meters)'!BV32)+SUM('Monthly Potable (Meters)'!BY32)+SUM('Monthly Potable (Meters)'!CC32)+SUM('Monthly Potable (Meters)'!CE32)+SUM('Monthly Potable (Meters)'!CH32:CM32)+SUM('Monthly Potable (Meters)'!CO32:DI32)</f>
        <v/>
      </c>
      <c r="L31">
        <f>SUM('Monthly Potable (Meters)'!E32)</f>
        <v/>
      </c>
      <c r="M31">
        <f>SUM('Monthly Potable (Meters)'!AA32)</f>
        <v/>
      </c>
    </row>
    <row r="32" ht="16" customHeight="1">
      <c r="A32" s="156" t="n">
        <v>44287</v>
      </c>
      <c r="B32">
        <f>SUM('Monthly Potable (Meters)'!D33)</f>
        <v/>
      </c>
      <c r="C32">
        <f>SUM('Monthly Potable (Meters)'!P33)+SUM('Monthly Potable (Meters)'!R33)+SUM('Monthly Potable (Meters)'!T33)+SUM('Monthly Potable (Meters)'!V33)+SUM('Monthly Potable (Meters)'!W33)</f>
        <v/>
      </c>
      <c r="D32">
        <f>SUM('Monthly Potable (Meters)'!M33)</f>
        <v/>
      </c>
      <c r="E32">
        <f>SUM(#REF!)</f>
        <v/>
      </c>
      <c r="F32">
        <f>SUM('Monthly Potable (Meters)'!BA33:BE33)+SUM('Monthly Potable (Meters)'!BG33:BH33)+SUM('Monthly Potable (Meters)'!BJ33:BK33)+SUM('Monthly Potable (Meters)'!BM33:BN33)+SUM('Monthly Potable (Meters)'!BP33:BQ33)+SUM('Monthly Potable (Meters)'!BS33:BU33)+SUM('Monthly Potable (Meters)'!BW33:BX33)+SUM('Monthly Potable (Meters)'!BZ33:CB33)+SUM('Monthly Potable (Meters)'!CD33:CF33)</f>
        <v/>
      </c>
      <c r="G32">
        <f>SUM('Monthly Potable (Meters)'!B33)+SUM('Monthly Potable (Meters)'!S33)</f>
        <v/>
      </c>
      <c r="H32">
        <f>SUM('Monthly Potable (Meters)'!G33:H33)+SUM('Monthly Potable (Meters)'!J33:K33)+SUM('Monthly Potable (Meters)'!Y33:Z33)</f>
        <v/>
      </c>
      <c r="I32">
        <f>SUM('Monthly Potable (Meters)'!AE33:AG33)+SUM('Monthly Potable (Meters)'!AI33)+SUM('Monthly Potable (Meters)'!AK33:AZ33)</f>
        <v/>
      </c>
      <c r="J32">
        <f>SUM('Monthly Potable (Meters)'!AH33)+SUM('Monthly Potable (Meters)'!AJ33)</f>
        <v/>
      </c>
      <c r="K32">
        <f>SUM('Monthly Potable (Meters)'!C33)+SUM('Monthly Potable (Meters)'!I33)+SUM('Monthly Potable (Meters)'!L33)+SUM('Monthly Potable (Meters)'!N33)+SUM('Monthly Potable (Meters)'!Q33)+SUM('Monthly Potable (Meters)'!U33)+SUM('Monthly Potable (Meters)'!X33)+SUM('Monthly Potable (Meters)'!AB33:AD33)+SUM('Monthly Potable (Meters)'!BF33)+SUM('Monthly Potable (Meters)'!BI33)+SUM('Monthly Potable (Meters)'!BL33)+SUM('Monthly Potable (Meters)'!BO33)+SUM('Monthly Potable (Meters)'!BR33)+SUM('Monthly Potable (Meters)'!BV33)+SUM('Monthly Potable (Meters)'!BY33)+SUM('Monthly Potable (Meters)'!CC33)+SUM('Monthly Potable (Meters)'!CE33)+SUM('Monthly Potable (Meters)'!CH33:CM33)+SUM('Monthly Potable (Meters)'!CO33:DI33)</f>
        <v/>
      </c>
      <c r="L32">
        <f>SUM('Monthly Potable (Meters)'!E33)</f>
        <v/>
      </c>
      <c r="M32">
        <f>SUM('Monthly Potable (Meters)'!AA33)</f>
        <v/>
      </c>
    </row>
    <row r="33" ht="16" customHeight="1">
      <c r="A33" s="156" t="n">
        <v>44317</v>
      </c>
      <c r="B33">
        <f>SUM('Monthly Potable (Meters)'!D34)</f>
        <v/>
      </c>
      <c r="C33">
        <f>SUM('Monthly Potable (Meters)'!P34)+SUM('Monthly Potable (Meters)'!R34)+SUM('Monthly Potable (Meters)'!T34)+SUM('Monthly Potable (Meters)'!V34)+SUM('Monthly Potable (Meters)'!W34)</f>
        <v/>
      </c>
      <c r="D33">
        <f>SUM('Monthly Potable (Meters)'!M34)</f>
        <v/>
      </c>
      <c r="E33">
        <f>SUM(#REF!)</f>
        <v/>
      </c>
      <c r="F33">
        <f>SUM('Monthly Potable (Meters)'!BA34:BE34)+SUM('Monthly Potable (Meters)'!BG34:BH34)+SUM('Monthly Potable (Meters)'!BJ34:BK34)+SUM('Monthly Potable (Meters)'!BM34:BN34)+SUM('Monthly Potable (Meters)'!BP34:BQ34)+SUM('Monthly Potable (Meters)'!BS34:BU34)+SUM('Monthly Potable (Meters)'!BW34:BX34)+SUM('Monthly Potable (Meters)'!BZ34:CB34)+SUM('Monthly Potable (Meters)'!CD34:CF34)</f>
        <v/>
      </c>
      <c r="G33">
        <f>SUM('Monthly Potable (Meters)'!B34)+SUM('Monthly Potable (Meters)'!S34)</f>
        <v/>
      </c>
      <c r="H33">
        <f>SUM('Monthly Potable (Meters)'!G34:H34)+SUM('Monthly Potable (Meters)'!J34:K34)+SUM('Monthly Potable (Meters)'!Y34:Z34)</f>
        <v/>
      </c>
      <c r="I33">
        <f>SUM('Monthly Potable (Meters)'!AE34:AG34)+SUM('Monthly Potable (Meters)'!AI34)+SUM('Monthly Potable (Meters)'!AK34:AZ34)</f>
        <v/>
      </c>
      <c r="J33">
        <f>SUM('Monthly Potable (Meters)'!AH34)+SUM('Monthly Potable (Meters)'!AJ34)</f>
        <v/>
      </c>
      <c r="K33">
        <f>SUM('Monthly Potable (Meters)'!C34)+SUM('Monthly Potable (Meters)'!I34)+SUM('Monthly Potable (Meters)'!L34)+SUM('Monthly Potable (Meters)'!N34)+SUM('Monthly Potable (Meters)'!Q34)+SUM('Monthly Potable (Meters)'!U34)+SUM('Monthly Potable (Meters)'!X34)+SUM('Monthly Potable (Meters)'!AB34:AD34)+SUM('Monthly Potable (Meters)'!BF34)+SUM('Monthly Potable (Meters)'!BI34)+SUM('Monthly Potable (Meters)'!BL34)+SUM('Monthly Potable (Meters)'!BO34)+SUM('Monthly Potable (Meters)'!BR34)+SUM('Monthly Potable (Meters)'!BV34)+SUM('Monthly Potable (Meters)'!BY34)+SUM('Monthly Potable (Meters)'!CC34)+SUM('Monthly Potable (Meters)'!CE34)+SUM('Monthly Potable (Meters)'!CH34:CM34)+SUM('Monthly Potable (Meters)'!CO34:DI34)</f>
        <v/>
      </c>
      <c r="L33">
        <f>SUM('Monthly Potable (Meters)'!E34)</f>
        <v/>
      </c>
      <c r="M33">
        <f>SUM('Monthly Potable (Meters)'!AA34)</f>
        <v/>
      </c>
    </row>
    <row r="34" ht="16" customHeight="1">
      <c r="A34" s="156" t="n">
        <v>44348</v>
      </c>
      <c r="B34">
        <f>SUM('Monthly Potable (Meters)'!D35)</f>
        <v/>
      </c>
      <c r="C34">
        <f>SUM('Monthly Potable (Meters)'!P35)+SUM('Monthly Potable (Meters)'!R35)+SUM('Monthly Potable (Meters)'!T35)+SUM('Monthly Potable (Meters)'!V35)+SUM('Monthly Potable (Meters)'!W35)</f>
        <v/>
      </c>
      <c r="D34">
        <f>SUM('Monthly Potable (Meters)'!M35)</f>
        <v/>
      </c>
      <c r="E34">
        <f>SUM(#REF!)</f>
        <v/>
      </c>
      <c r="F34">
        <f>SUM('Monthly Potable (Meters)'!BA35:BE35)+SUM('Monthly Potable (Meters)'!BG35:BH35)+SUM('Monthly Potable (Meters)'!BJ35:BK35)+SUM('Monthly Potable (Meters)'!BM35:BN35)+SUM('Monthly Potable (Meters)'!BP35:BQ35)+SUM('Monthly Potable (Meters)'!BS35:BU35)+SUM('Monthly Potable (Meters)'!BW35:BX35)+SUM('Monthly Potable (Meters)'!BZ35:CB35)+SUM('Monthly Potable (Meters)'!CD35:CF35)</f>
        <v/>
      </c>
      <c r="G34">
        <f>SUM('Monthly Potable (Meters)'!B35)+SUM('Monthly Potable (Meters)'!S35)</f>
        <v/>
      </c>
      <c r="H34">
        <f>SUM('Monthly Potable (Meters)'!G35:H35)+SUM('Monthly Potable (Meters)'!J35:K35)+SUM('Monthly Potable (Meters)'!Y35:Z35)</f>
        <v/>
      </c>
      <c r="I34">
        <f>SUM('Monthly Potable (Meters)'!AE35:AG35)+SUM('Monthly Potable (Meters)'!AI35)+SUM('Monthly Potable (Meters)'!AK35:AZ35)</f>
        <v/>
      </c>
      <c r="J34">
        <f>SUM('Monthly Potable (Meters)'!AH35)+SUM('Monthly Potable (Meters)'!AJ35)</f>
        <v/>
      </c>
      <c r="K34">
        <f>SUM('Monthly Potable (Meters)'!C35)+SUM('Monthly Potable (Meters)'!I35)+SUM('Monthly Potable (Meters)'!L35)+SUM('Monthly Potable (Meters)'!N35)+SUM('Monthly Potable (Meters)'!Q35)+SUM('Monthly Potable (Meters)'!U35)+SUM('Monthly Potable (Meters)'!X35)+SUM('Monthly Potable (Meters)'!AB35:AD35)+SUM('Monthly Potable (Meters)'!BF35)+SUM('Monthly Potable (Meters)'!BI35)+SUM('Monthly Potable (Meters)'!BL35)+SUM('Monthly Potable (Meters)'!BO35)+SUM('Monthly Potable (Meters)'!BR35)+SUM('Monthly Potable (Meters)'!BV35)+SUM('Monthly Potable (Meters)'!BY35)+SUM('Monthly Potable (Meters)'!CC35)+SUM('Monthly Potable (Meters)'!CE35)+SUM('Monthly Potable (Meters)'!CH35:CM35)+SUM('Monthly Potable (Meters)'!CO35:DI35)</f>
        <v/>
      </c>
      <c r="L34">
        <f>SUM('Monthly Potable (Meters)'!E35)</f>
        <v/>
      </c>
      <c r="M34">
        <f>SUM('Monthly Potable (Meters)'!AA35)</f>
        <v/>
      </c>
    </row>
    <row r="35" ht="16" customHeight="1">
      <c r="A35" s="156" t="n">
        <v>44378</v>
      </c>
      <c r="B35">
        <f>SUM('Monthly Potable (Meters)'!D36)</f>
        <v/>
      </c>
      <c r="C35">
        <f>SUM('Monthly Potable (Meters)'!P36)+SUM('Monthly Potable (Meters)'!R36)+SUM('Monthly Potable (Meters)'!T36)+SUM('Monthly Potable (Meters)'!V36)+SUM('Monthly Potable (Meters)'!W36)</f>
        <v/>
      </c>
      <c r="D35">
        <f>SUM('Monthly Potable (Meters)'!M36)</f>
        <v/>
      </c>
      <c r="E35">
        <f>SUM(#REF!)</f>
        <v/>
      </c>
      <c r="F35">
        <f>SUM('Monthly Potable (Meters)'!BA36:BE36)+SUM('Monthly Potable (Meters)'!BG36:BH36)+SUM('Monthly Potable (Meters)'!BJ36:BK36)+SUM('Monthly Potable (Meters)'!BM36:BN36)+SUM('Monthly Potable (Meters)'!BP36:BQ36)+SUM('Monthly Potable (Meters)'!BS36:BU36)+SUM('Monthly Potable (Meters)'!BW36:BX36)+SUM('Monthly Potable (Meters)'!BZ36:CB36)+SUM('Monthly Potable (Meters)'!CD36:CF36)</f>
        <v/>
      </c>
      <c r="G35">
        <f>SUM('Monthly Potable (Meters)'!B36)+SUM('Monthly Potable (Meters)'!S36)</f>
        <v/>
      </c>
      <c r="H35">
        <f>SUM('Monthly Potable (Meters)'!G36:H36)+SUM('Monthly Potable (Meters)'!J36:K36)+SUM('Monthly Potable (Meters)'!Y36:Z36)</f>
        <v/>
      </c>
      <c r="I35">
        <f>SUM('Monthly Potable (Meters)'!AE36:AG36)+SUM('Monthly Potable (Meters)'!AI36)+SUM('Monthly Potable (Meters)'!AK36:AZ36)</f>
        <v/>
      </c>
      <c r="J35">
        <f>SUM('Monthly Potable (Meters)'!AH36)+SUM('Monthly Potable (Meters)'!AJ36)</f>
        <v/>
      </c>
      <c r="K35">
        <f>SUM('Monthly Potable (Meters)'!C36)+SUM('Monthly Potable (Meters)'!I36)+SUM('Monthly Potable (Meters)'!L36)+SUM('Monthly Potable (Meters)'!N36)+SUM('Monthly Potable (Meters)'!Q36)+SUM('Monthly Potable (Meters)'!U36)+SUM('Monthly Potable (Meters)'!X36)+SUM('Monthly Potable (Meters)'!AB36:AD36)+SUM('Monthly Potable (Meters)'!BF36)+SUM('Monthly Potable (Meters)'!BI36)+SUM('Monthly Potable (Meters)'!BL36)+SUM('Monthly Potable (Meters)'!BO36)+SUM('Monthly Potable (Meters)'!BR36)+SUM('Monthly Potable (Meters)'!BV36)+SUM('Monthly Potable (Meters)'!BY36)+SUM('Monthly Potable (Meters)'!CC36)+SUM('Monthly Potable (Meters)'!CE36)+SUM('Monthly Potable (Meters)'!CH36:CM36)+SUM('Monthly Potable (Meters)'!CO36:DI36)</f>
        <v/>
      </c>
      <c r="L35">
        <f>SUM('Monthly Potable (Meters)'!E36)</f>
        <v/>
      </c>
      <c r="M35">
        <f>SUM('Monthly Potable (Meters)'!AA36)</f>
        <v/>
      </c>
    </row>
    <row r="36" ht="16" customHeight="1">
      <c r="A36" s="156" t="n">
        <v>44409</v>
      </c>
      <c r="B36">
        <f>SUM('Monthly Potable (Meters)'!D37)</f>
        <v/>
      </c>
      <c r="C36">
        <f>SUM('Monthly Potable (Meters)'!P37)+SUM('Monthly Potable (Meters)'!R37)+SUM('Monthly Potable (Meters)'!T37)+SUM('Monthly Potable (Meters)'!V37)+SUM('Monthly Potable (Meters)'!W37)</f>
        <v/>
      </c>
      <c r="D36">
        <f>SUM('Monthly Potable (Meters)'!M37)</f>
        <v/>
      </c>
      <c r="E36">
        <f>SUM(#REF!)</f>
        <v/>
      </c>
      <c r="F36">
        <f>SUM('Monthly Potable (Meters)'!BA37:BE37)+SUM('Monthly Potable (Meters)'!BG37:BH37)+SUM('Monthly Potable (Meters)'!BJ37:BK37)+SUM('Monthly Potable (Meters)'!BM37:BN37)+SUM('Monthly Potable (Meters)'!BP37:BQ37)+SUM('Monthly Potable (Meters)'!BS37:BU37)+SUM('Monthly Potable (Meters)'!BW37:BX37)+SUM('Monthly Potable (Meters)'!BZ37:CB37)+SUM('Monthly Potable (Meters)'!CD37:CF37)</f>
        <v/>
      </c>
      <c r="G36">
        <f>SUM('Monthly Potable (Meters)'!B37)+SUM('Monthly Potable (Meters)'!S37)</f>
        <v/>
      </c>
      <c r="H36">
        <f>SUM('Monthly Potable (Meters)'!G37:H37)+SUM('Monthly Potable (Meters)'!J37:K37)+SUM('Monthly Potable (Meters)'!Y37:Z37)</f>
        <v/>
      </c>
      <c r="I36">
        <f>SUM('Monthly Potable (Meters)'!AE37:AG37)+SUM('Monthly Potable (Meters)'!AI37)+SUM('Monthly Potable (Meters)'!AK37:AZ37)</f>
        <v/>
      </c>
      <c r="J36">
        <f>SUM('Monthly Potable (Meters)'!AH37)+SUM('Monthly Potable (Meters)'!AJ37)</f>
        <v/>
      </c>
      <c r="K36">
        <f>SUM('Monthly Potable (Meters)'!C37)+SUM('Monthly Potable (Meters)'!I37)+SUM('Monthly Potable (Meters)'!L37)+SUM('Monthly Potable (Meters)'!N37)+SUM('Monthly Potable (Meters)'!Q37)+SUM('Monthly Potable (Meters)'!U37)+SUM('Monthly Potable (Meters)'!X37)+SUM('Monthly Potable (Meters)'!AB37:AD37)+SUM('Monthly Potable (Meters)'!BF37)+SUM('Monthly Potable (Meters)'!BI37)+SUM('Monthly Potable (Meters)'!BL37)+SUM('Monthly Potable (Meters)'!BO37)+SUM('Monthly Potable (Meters)'!BR37)+SUM('Monthly Potable (Meters)'!BV37)+SUM('Monthly Potable (Meters)'!BY37)+SUM('Monthly Potable (Meters)'!CC37)+SUM('Monthly Potable (Meters)'!CE37)+SUM('Monthly Potable (Meters)'!CH37:CM37)+SUM('Monthly Potable (Meters)'!CO37:DI37)</f>
        <v/>
      </c>
      <c r="L36">
        <f>SUM('Monthly Potable (Meters)'!E37)</f>
        <v/>
      </c>
      <c r="M36">
        <f>SUM('Monthly Potable (Meters)'!AA37)</f>
        <v/>
      </c>
    </row>
    <row r="37" ht="16" customHeight="1">
      <c r="A37" s="156" t="n">
        <v>44440</v>
      </c>
      <c r="B37">
        <f>SUM('Monthly Potable (Meters)'!D38)</f>
        <v/>
      </c>
      <c r="C37">
        <f>SUM('Monthly Potable (Meters)'!P38)+SUM('Monthly Potable (Meters)'!R38)+SUM('Monthly Potable (Meters)'!T38)+SUM('Monthly Potable (Meters)'!V38)+SUM('Monthly Potable (Meters)'!W38)</f>
        <v/>
      </c>
      <c r="D37">
        <f>SUM('Monthly Potable (Meters)'!M38)</f>
        <v/>
      </c>
      <c r="E37">
        <f>SUM(#REF!)</f>
        <v/>
      </c>
      <c r="F37">
        <f>SUM('Monthly Potable (Meters)'!BA38:BE38)+SUM('Monthly Potable (Meters)'!BG38:BH38)+SUM('Monthly Potable (Meters)'!BJ38:BK38)+SUM('Monthly Potable (Meters)'!BM38:BN38)+SUM('Monthly Potable (Meters)'!BP38:BQ38)+SUM('Monthly Potable (Meters)'!BS38:BU38)+SUM('Monthly Potable (Meters)'!BW38:BX38)+SUM('Monthly Potable (Meters)'!BZ38:CB38)+SUM('Monthly Potable (Meters)'!CD38:CF38)</f>
        <v/>
      </c>
      <c r="G37">
        <f>SUM('Monthly Potable (Meters)'!B38)+SUM('Monthly Potable (Meters)'!S38)</f>
        <v/>
      </c>
      <c r="H37">
        <f>SUM('Monthly Potable (Meters)'!G38:H38)+SUM('Monthly Potable (Meters)'!J38:K38)+SUM('Monthly Potable (Meters)'!Y38:Z38)</f>
        <v/>
      </c>
      <c r="I37">
        <f>SUM('Monthly Potable (Meters)'!AE38:AG38)+SUM('Monthly Potable (Meters)'!AI38)+SUM('Monthly Potable (Meters)'!AK38:AZ38)</f>
        <v/>
      </c>
      <c r="J37">
        <f>SUM('Monthly Potable (Meters)'!AH38)+SUM('Monthly Potable (Meters)'!AJ38)</f>
        <v/>
      </c>
      <c r="K37">
        <f>SUM('Monthly Potable (Meters)'!C38)+SUM('Monthly Potable (Meters)'!I38)+SUM('Monthly Potable (Meters)'!L38)+SUM('Monthly Potable (Meters)'!N38)+SUM('Monthly Potable (Meters)'!Q38)+SUM('Monthly Potable (Meters)'!U38)+SUM('Monthly Potable (Meters)'!X38)+SUM('Monthly Potable (Meters)'!AB38:AD38)+SUM('Monthly Potable (Meters)'!BF38)+SUM('Monthly Potable (Meters)'!BI38)+SUM('Monthly Potable (Meters)'!BL38)+SUM('Monthly Potable (Meters)'!BO38)+SUM('Monthly Potable (Meters)'!BR38)+SUM('Monthly Potable (Meters)'!BV38)+SUM('Monthly Potable (Meters)'!BY38)+SUM('Monthly Potable (Meters)'!CC38)+SUM('Monthly Potable (Meters)'!CE38)+SUM('Monthly Potable (Meters)'!CH38:CM38)+SUM('Monthly Potable (Meters)'!CO38:DI38)</f>
        <v/>
      </c>
      <c r="L37">
        <f>SUM('Monthly Potable (Meters)'!E38)</f>
        <v/>
      </c>
      <c r="M37">
        <f>SUM('Monthly Potable (Meters)'!AA38)</f>
        <v/>
      </c>
    </row>
    <row r="38" ht="16" customHeight="1">
      <c r="A38" s="156" t="n">
        <v>44470</v>
      </c>
      <c r="B38">
        <f>SUM('Monthly Potable (Meters)'!D39)</f>
        <v/>
      </c>
      <c r="C38">
        <f>SUM('Monthly Potable (Meters)'!P39)+SUM('Monthly Potable (Meters)'!R39)+SUM('Monthly Potable (Meters)'!T39)+SUM('Monthly Potable (Meters)'!V39)+SUM('Monthly Potable (Meters)'!W39)</f>
        <v/>
      </c>
      <c r="D38">
        <f>SUM('Monthly Potable (Meters)'!M39)</f>
        <v/>
      </c>
      <c r="E38">
        <f>SUM(#REF!)</f>
        <v/>
      </c>
      <c r="F38">
        <f>SUM('Monthly Potable (Meters)'!BA39:BE39)+SUM('Monthly Potable (Meters)'!BG39:BH39)+SUM('Monthly Potable (Meters)'!BJ39:BK39)+SUM('Monthly Potable (Meters)'!BM39:BN39)+SUM('Monthly Potable (Meters)'!BP39:BQ39)+SUM('Monthly Potable (Meters)'!BS39:BU39)+SUM('Monthly Potable (Meters)'!BW39:BX39)+SUM('Monthly Potable (Meters)'!BZ39:CB39)+SUM('Monthly Potable (Meters)'!CD39:CF39)</f>
        <v/>
      </c>
      <c r="G38">
        <f>SUM('Monthly Potable (Meters)'!B39)+SUM('Monthly Potable (Meters)'!S39)</f>
        <v/>
      </c>
      <c r="H38">
        <f>SUM('Monthly Potable (Meters)'!G39:H39)+SUM('Monthly Potable (Meters)'!J39:K39)+SUM('Monthly Potable (Meters)'!Y39:Z39)</f>
        <v/>
      </c>
      <c r="I38">
        <f>SUM('Monthly Potable (Meters)'!AE39:AG39)+SUM('Monthly Potable (Meters)'!AI39)+SUM('Monthly Potable (Meters)'!AK39:AZ39)</f>
        <v/>
      </c>
      <c r="J38">
        <f>SUM('Monthly Potable (Meters)'!AH39)+SUM('Monthly Potable (Meters)'!AJ39)</f>
        <v/>
      </c>
      <c r="K38">
        <f>SUM('Monthly Potable (Meters)'!C39)+SUM('Monthly Potable (Meters)'!I39)+SUM('Monthly Potable (Meters)'!L39)+SUM('Monthly Potable (Meters)'!N39)+SUM('Monthly Potable (Meters)'!Q39)+SUM('Monthly Potable (Meters)'!U39)+SUM('Monthly Potable (Meters)'!X39)+SUM('Monthly Potable (Meters)'!AB39:AD39)+SUM('Monthly Potable (Meters)'!BF39)+SUM('Monthly Potable (Meters)'!BI39)+SUM('Monthly Potable (Meters)'!BL39)+SUM('Monthly Potable (Meters)'!BO39)+SUM('Monthly Potable (Meters)'!BR39)+SUM('Monthly Potable (Meters)'!BV39)+SUM('Monthly Potable (Meters)'!BY39)+SUM('Monthly Potable (Meters)'!CC39)+SUM('Monthly Potable (Meters)'!CE39)+SUM('Monthly Potable (Meters)'!CH39:CM39)+SUM('Monthly Potable (Meters)'!CO39:DI39)</f>
        <v/>
      </c>
      <c r="L38">
        <f>SUM('Monthly Potable (Meters)'!E39)</f>
        <v/>
      </c>
      <c r="M38">
        <f>SUM('Monthly Potable (Meters)'!AA39)</f>
        <v/>
      </c>
    </row>
    <row r="39" ht="16" customHeight="1">
      <c r="A39" s="156" t="n">
        <v>44501</v>
      </c>
      <c r="B39">
        <f>SUM('Monthly Potable (Meters)'!D40)</f>
        <v/>
      </c>
      <c r="C39">
        <f>SUM('Monthly Potable (Meters)'!P40)+SUM('Monthly Potable (Meters)'!R40)+SUM('Monthly Potable (Meters)'!T40)+SUM('Monthly Potable (Meters)'!V40)+SUM('Monthly Potable (Meters)'!W40)</f>
        <v/>
      </c>
      <c r="D39">
        <f>SUM('Monthly Potable (Meters)'!M40)</f>
        <v/>
      </c>
      <c r="E39">
        <f>SUM(#REF!)</f>
        <v/>
      </c>
      <c r="F39">
        <f>SUM('Monthly Potable (Meters)'!BA40:BE40)+SUM('Monthly Potable (Meters)'!BG40:BH40)+SUM('Monthly Potable (Meters)'!BJ40:BK40)+SUM('Monthly Potable (Meters)'!BM40:BN40)+SUM('Monthly Potable (Meters)'!BP40:BQ40)+SUM('Monthly Potable (Meters)'!BS40:BU40)+SUM('Monthly Potable (Meters)'!BW40:BX40)+SUM('Monthly Potable (Meters)'!BZ40:CB40)+SUM('Monthly Potable (Meters)'!CD40:CF40)</f>
        <v/>
      </c>
      <c r="G39">
        <f>SUM('Monthly Potable (Meters)'!B40)+SUM('Monthly Potable (Meters)'!S40)</f>
        <v/>
      </c>
      <c r="H39">
        <f>SUM('Monthly Potable (Meters)'!G40:H40)+SUM('Monthly Potable (Meters)'!J40:K40)+SUM('Monthly Potable (Meters)'!Y40:Z40)</f>
        <v/>
      </c>
      <c r="I39">
        <f>SUM('Monthly Potable (Meters)'!AE40:AG40)+SUM('Monthly Potable (Meters)'!AI40)+SUM('Monthly Potable (Meters)'!AK40:AZ40)</f>
        <v/>
      </c>
      <c r="J39">
        <f>SUM('Monthly Potable (Meters)'!AH40)+SUM('Monthly Potable (Meters)'!AJ40)</f>
        <v/>
      </c>
      <c r="K39">
        <f>SUM('Monthly Potable (Meters)'!C40)+SUM('Monthly Potable (Meters)'!I40)+SUM('Monthly Potable (Meters)'!L40)+SUM('Monthly Potable (Meters)'!N40)+SUM('Monthly Potable (Meters)'!Q40)+SUM('Monthly Potable (Meters)'!U40)+SUM('Monthly Potable (Meters)'!X40)+SUM('Monthly Potable (Meters)'!AB40:AD40)+SUM('Monthly Potable (Meters)'!BF40)+SUM('Monthly Potable (Meters)'!BI40)+SUM('Monthly Potable (Meters)'!BL40)+SUM('Monthly Potable (Meters)'!BO40)+SUM('Monthly Potable (Meters)'!BR40)+SUM('Monthly Potable (Meters)'!BV40)+SUM('Monthly Potable (Meters)'!BY40)+SUM('Monthly Potable (Meters)'!CC40)+SUM('Monthly Potable (Meters)'!CE40)+SUM('Monthly Potable (Meters)'!CH40:CM40)+SUM('Monthly Potable (Meters)'!CO40:DI40)</f>
        <v/>
      </c>
      <c r="L39">
        <f>SUM('Monthly Potable (Meters)'!E40)</f>
        <v/>
      </c>
      <c r="M39">
        <f>SUM('Monthly Potable (Meters)'!AA40)</f>
        <v/>
      </c>
    </row>
    <row r="40" ht="16" customHeight="1">
      <c r="A40" s="156" t="n">
        <v>44531</v>
      </c>
      <c r="B40">
        <f>SUM('Monthly Potable (Meters)'!D41)</f>
        <v/>
      </c>
      <c r="C40">
        <f>SUM('Monthly Potable (Meters)'!P41)+SUM('Monthly Potable (Meters)'!R41)+SUM('Monthly Potable (Meters)'!T41)+SUM('Monthly Potable (Meters)'!V41)+SUM('Monthly Potable (Meters)'!W41)</f>
        <v/>
      </c>
      <c r="D40">
        <f>SUM('Monthly Potable (Meters)'!M41)</f>
        <v/>
      </c>
      <c r="E40">
        <f>SUM(#REF!)</f>
        <v/>
      </c>
      <c r="F40">
        <f>SUM('Monthly Potable (Meters)'!BA41:BE41)+SUM('Monthly Potable (Meters)'!BG41:BH41)+SUM('Monthly Potable (Meters)'!BJ41:BK41)+SUM('Monthly Potable (Meters)'!BM41:BN41)+SUM('Monthly Potable (Meters)'!BP41:BQ41)+SUM('Monthly Potable (Meters)'!BS41:BU41)+SUM('Monthly Potable (Meters)'!BW41:BX41)+SUM('Monthly Potable (Meters)'!BZ41:CB41)+SUM('Monthly Potable (Meters)'!CD41:CF41)</f>
        <v/>
      </c>
      <c r="G40">
        <f>SUM('Monthly Potable (Meters)'!B41)+SUM('Monthly Potable (Meters)'!S41)</f>
        <v/>
      </c>
      <c r="H40">
        <f>SUM('Monthly Potable (Meters)'!G41:H41)+SUM('Monthly Potable (Meters)'!J41:K41)+SUM('Monthly Potable (Meters)'!Y41:Z41)</f>
        <v/>
      </c>
      <c r="I40">
        <f>SUM('Monthly Potable (Meters)'!AE41:AG41)+SUM('Monthly Potable (Meters)'!AI41)+SUM('Monthly Potable (Meters)'!AK41:AZ41)</f>
        <v/>
      </c>
      <c r="J40">
        <f>SUM('Monthly Potable (Meters)'!AH41)+SUM('Monthly Potable (Meters)'!AJ41)</f>
        <v/>
      </c>
      <c r="K40">
        <f>SUM('Monthly Potable (Meters)'!C41)+SUM('Monthly Potable (Meters)'!I41)+SUM('Monthly Potable (Meters)'!L41)+SUM('Monthly Potable (Meters)'!N41)+SUM('Monthly Potable (Meters)'!Q41)+SUM('Monthly Potable (Meters)'!U41)+SUM('Monthly Potable (Meters)'!X41)+SUM('Monthly Potable (Meters)'!AB41:AD41)+SUM('Monthly Potable (Meters)'!BF41)+SUM('Monthly Potable (Meters)'!BI41)+SUM('Monthly Potable (Meters)'!BL41)+SUM('Monthly Potable (Meters)'!BO41)+SUM('Monthly Potable (Meters)'!BR41)+SUM('Monthly Potable (Meters)'!BV41)+SUM('Monthly Potable (Meters)'!BY41)+SUM('Monthly Potable (Meters)'!CC41)+SUM('Monthly Potable (Meters)'!CE41)+SUM('Monthly Potable (Meters)'!CH41:CM41)+SUM('Monthly Potable (Meters)'!CO41:DI41)</f>
        <v/>
      </c>
      <c r="L40">
        <f>SUM('Monthly Potable (Meters)'!E41)</f>
        <v/>
      </c>
      <c r="M40">
        <f>SUM('Monthly Potable (Meters)'!AA41)</f>
        <v/>
      </c>
    </row>
    <row r="41" ht="16" customHeight="1">
      <c r="A41" s="156" t="n">
        <v>44562</v>
      </c>
      <c r="B41">
        <f>SUM('Monthly Potable (Meters)'!D42)</f>
        <v/>
      </c>
      <c r="C41">
        <f>SUM('Monthly Potable (Meters)'!P42)+SUM('Monthly Potable (Meters)'!R42)+SUM('Monthly Potable (Meters)'!T42)+SUM('Monthly Potable (Meters)'!V42)+SUM('Monthly Potable (Meters)'!W42)</f>
        <v/>
      </c>
      <c r="D41">
        <f>SUM('Monthly Potable (Meters)'!M42)</f>
        <v/>
      </c>
      <c r="E41">
        <f>SUM(#REF!)</f>
        <v/>
      </c>
      <c r="F41">
        <f>SUM('Monthly Potable (Meters)'!BA42:BE42)+SUM('Monthly Potable (Meters)'!BG42:BH42)+SUM('Monthly Potable (Meters)'!BJ42:BK42)+SUM('Monthly Potable (Meters)'!BM42:BN42)+SUM('Monthly Potable (Meters)'!BP42:BQ42)+SUM('Monthly Potable (Meters)'!BS42:BU42)+SUM('Monthly Potable (Meters)'!BW42:BX42)+SUM('Monthly Potable (Meters)'!BZ42:CB42)+SUM('Monthly Potable (Meters)'!CD42:CF42)</f>
        <v/>
      </c>
      <c r="G41">
        <f>SUM('Monthly Potable (Meters)'!B42)+SUM('Monthly Potable (Meters)'!S42)</f>
        <v/>
      </c>
      <c r="H41">
        <f>SUM('Monthly Potable (Meters)'!G42:H42)+SUM('Monthly Potable (Meters)'!J42:K42)+SUM('Monthly Potable (Meters)'!Y42:Z42)</f>
        <v/>
      </c>
      <c r="I41">
        <f>SUM('Monthly Potable (Meters)'!AE42:AG42)+SUM('Monthly Potable (Meters)'!AI42)+SUM('Monthly Potable (Meters)'!AK42:AZ42)</f>
        <v/>
      </c>
      <c r="J41">
        <f>SUM('Monthly Potable (Meters)'!AH42)+SUM('Monthly Potable (Meters)'!AJ42)</f>
        <v/>
      </c>
      <c r="K41">
        <f>SUM('Monthly Potable (Meters)'!C42)+SUM('Monthly Potable (Meters)'!I42)+SUM('Monthly Potable (Meters)'!L42)+SUM('Monthly Potable (Meters)'!N42)+SUM('Monthly Potable (Meters)'!Q42)+SUM('Monthly Potable (Meters)'!U42)+SUM('Monthly Potable (Meters)'!X42)+SUM('Monthly Potable (Meters)'!AB42:AD42)+SUM('Monthly Potable (Meters)'!BF42)+SUM('Monthly Potable (Meters)'!BI42)+SUM('Monthly Potable (Meters)'!BL42)+SUM('Monthly Potable (Meters)'!BO42)+SUM('Monthly Potable (Meters)'!BR42)+SUM('Monthly Potable (Meters)'!BV42)+SUM('Monthly Potable (Meters)'!BY42)+SUM('Monthly Potable (Meters)'!CC42)+SUM('Monthly Potable (Meters)'!CE42)+SUM('Monthly Potable (Meters)'!CH42:CM42)+SUM('Monthly Potable (Meters)'!CO42:DI42)</f>
        <v/>
      </c>
      <c r="L41">
        <f>SUM('Monthly Potable (Meters)'!E42)</f>
        <v/>
      </c>
      <c r="M41">
        <f>SUM('Monthly Potable (Meters)'!AA42)</f>
        <v/>
      </c>
    </row>
    <row r="42" ht="16" customHeight="1">
      <c r="A42" s="156" t="n">
        <v>44593</v>
      </c>
      <c r="B42">
        <f>SUM('Monthly Potable (Meters)'!D43)</f>
        <v/>
      </c>
      <c r="C42">
        <f>SUM('Monthly Potable (Meters)'!P43)+SUM('Monthly Potable (Meters)'!R43)+SUM('Monthly Potable (Meters)'!T43)+SUM('Monthly Potable (Meters)'!V43)+SUM('Monthly Potable (Meters)'!W43)</f>
        <v/>
      </c>
      <c r="D42">
        <f>SUM('Monthly Potable (Meters)'!M43)</f>
        <v/>
      </c>
      <c r="E42">
        <f>SUM(#REF!)</f>
        <v/>
      </c>
      <c r="F42">
        <f>SUM('Monthly Potable (Meters)'!BA43:BE43)+SUM('Monthly Potable (Meters)'!BG43:BH43)+SUM('Monthly Potable (Meters)'!BJ43:BK43)+SUM('Monthly Potable (Meters)'!BM43:BN43)+SUM('Monthly Potable (Meters)'!BP43:BQ43)+SUM('Monthly Potable (Meters)'!BS43:BU43)+SUM('Monthly Potable (Meters)'!BW43:BX43)+SUM('Monthly Potable (Meters)'!BZ43:CB43)+SUM('Monthly Potable (Meters)'!CD43:CF43)</f>
        <v/>
      </c>
      <c r="G42">
        <f>SUM('Monthly Potable (Meters)'!B43)+SUM('Monthly Potable (Meters)'!S43)</f>
        <v/>
      </c>
      <c r="H42">
        <f>SUM('Monthly Potable (Meters)'!G43:H43)+SUM('Monthly Potable (Meters)'!J43:K43)+SUM('Monthly Potable (Meters)'!Y43:Z43)</f>
        <v/>
      </c>
      <c r="I42">
        <f>SUM('Monthly Potable (Meters)'!AE43:AG43)+SUM('Monthly Potable (Meters)'!AI43)+SUM('Monthly Potable (Meters)'!AK43:AZ43)</f>
        <v/>
      </c>
      <c r="J42">
        <f>SUM('Monthly Potable (Meters)'!AH43)+SUM('Monthly Potable (Meters)'!AJ43)</f>
        <v/>
      </c>
      <c r="K42">
        <f>SUM('Monthly Potable (Meters)'!C43)+SUM('Monthly Potable (Meters)'!I43)+SUM('Monthly Potable (Meters)'!L43)+SUM('Monthly Potable (Meters)'!N43)+SUM('Monthly Potable (Meters)'!Q43)+SUM('Monthly Potable (Meters)'!U43)+SUM('Monthly Potable (Meters)'!X43)+SUM('Monthly Potable (Meters)'!AB43:AD43)+SUM('Monthly Potable (Meters)'!BF43)+SUM('Monthly Potable (Meters)'!BI43)+SUM('Monthly Potable (Meters)'!BL43)+SUM('Monthly Potable (Meters)'!BO43)+SUM('Monthly Potable (Meters)'!BR43)+SUM('Monthly Potable (Meters)'!BV43)+SUM('Monthly Potable (Meters)'!BY43)+SUM('Monthly Potable (Meters)'!CC43)+SUM('Monthly Potable (Meters)'!CE43)+SUM('Monthly Potable (Meters)'!CH43:CM43)+SUM('Monthly Potable (Meters)'!CO43:DI43)</f>
        <v/>
      </c>
      <c r="L42">
        <f>SUM('Monthly Potable (Meters)'!E43)</f>
        <v/>
      </c>
      <c r="M42">
        <f>SUM('Monthly Potable (Meters)'!AA43)</f>
        <v/>
      </c>
    </row>
    <row r="43" ht="16" customHeight="1">
      <c r="A43" s="156" t="n">
        <v>44621</v>
      </c>
      <c r="B43">
        <f>SUM('Monthly Potable (Meters)'!D44)</f>
        <v/>
      </c>
      <c r="C43">
        <f>SUM('Monthly Potable (Meters)'!P44)+SUM('Monthly Potable (Meters)'!R44)+SUM('Monthly Potable (Meters)'!T44)+SUM('Monthly Potable (Meters)'!V44)+SUM('Monthly Potable (Meters)'!W44)</f>
        <v/>
      </c>
      <c r="D43">
        <f>SUM('Monthly Potable (Meters)'!M44)</f>
        <v/>
      </c>
      <c r="E43">
        <f>SUM(#REF!)</f>
        <v/>
      </c>
      <c r="F43">
        <f>SUM('Monthly Potable (Meters)'!BA44:BE44)+SUM('Monthly Potable (Meters)'!BG44:BH44)+SUM('Monthly Potable (Meters)'!BJ44:BK44)+SUM('Monthly Potable (Meters)'!BM44:BN44)+SUM('Monthly Potable (Meters)'!BP44:BQ44)+SUM('Monthly Potable (Meters)'!BS44:BU44)+SUM('Monthly Potable (Meters)'!BW44:BX44)+SUM('Monthly Potable (Meters)'!BZ44:CB44)+SUM('Monthly Potable (Meters)'!CD44:CF44)</f>
        <v/>
      </c>
      <c r="G43">
        <f>SUM('Monthly Potable (Meters)'!B44)+SUM('Monthly Potable (Meters)'!S44)</f>
        <v/>
      </c>
      <c r="H43">
        <f>SUM('Monthly Potable (Meters)'!G44:H44)+SUM('Monthly Potable (Meters)'!J44:K44)+SUM('Monthly Potable (Meters)'!Y44:Z44)</f>
        <v/>
      </c>
      <c r="I43">
        <f>SUM('Monthly Potable (Meters)'!AE44:AG44)+SUM('Monthly Potable (Meters)'!AI44)+SUM('Monthly Potable (Meters)'!AK44:AZ44)</f>
        <v/>
      </c>
      <c r="J43">
        <f>SUM('Monthly Potable (Meters)'!AH44)+SUM('Monthly Potable (Meters)'!AJ44)</f>
        <v/>
      </c>
      <c r="K43">
        <f>SUM('Monthly Potable (Meters)'!C44)+SUM('Monthly Potable (Meters)'!I44)+SUM('Monthly Potable (Meters)'!L44)+SUM('Monthly Potable (Meters)'!N44)+SUM('Monthly Potable (Meters)'!Q44)+SUM('Monthly Potable (Meters)'!U44)+SUM('Monthly Potable (Meters)'!X44)+SUM('Monthly Potable (Meters)'!AB44:AD44)+SUM('Monthly Potable (Meters)'!BF44)+SUM('Monthly Potable (Meters)'!BI44)+SUM('Monthly Potable (Meters)'!BL44)+SUM('Monthly Potable (Meters)'!BO44)+SUM('Monthly Potable (Meters)'!BR44)+SUM('Monthly Potable (Meters)'!BV44)+SUM('Monthly Potable (Meters)'!BY44)+SUM('Monthly Potable (Meters)'!CC44)+SUM('Monthly Potable (Meters)'!CE44)+SUM('Monthly Potable (Meters)'!CH44:CM44)+SUM('Monthly Potable (Meters)'!CO44:DI44)</f>
        <v/>
      </c>
      <c r="L43">
        <f>SUM('Monthly Potable (Meters)'!E44)</f>
        <v/>
      </c>
      <c r="M43">
        <f>SUM('Monthly Potable (Meters)'!AA44)</f>
        <v/>
      </c>
    </row>
    <row r="44" ht="16" customHeight="1">
      <c r="A44" s="156" t="n">
        <v>44652</v>
      </c>
      <c r="B44">
        <f>SUM('Monthly Potable (Meters)'!D45)</f>
        <v/>
      </c>
      <c r="C44">
        <f>SUM('Monthly Potable (Meters)'!P45)+SUM('Monthly Potable (Meters)'!R45)+SUM('Monthly Potable (Meters)'!T45)+SUM('Monthly Potable (Meters)'!V45)+SUM('Monthly Potable (Meters)'!W45)</f>
        <v/>
      </c>
      <c r="D44">
        <f>SUM('Monthly Potable (Meters)'!M45)</f>
        <v/>
      </c>
      <c r="E44">
        <f>SUM(#REF!)</f>
        <v/>
      </c>
      <c r="F44">
        <f>SUM('Monthly Potable (Meters)'!BA45:BE45)+SUM('Monthly Potable (Meters)'!BG45:BH45)+SUM('Monthly Potable (Meters)'!BJ45:BK45)+SUM('Monthly Potable (Meters)'!BM45:BN45)+SUM('Monthly Potable (Meters)'!BP45:BQ45)+SUM('Monthly Potable (Meters)'!BS45:BU45)+SUM('Monthly Potable (Meters)'!BW45:BX45)+SUM('Monthly Potable (Meters)'!BZ45:CB45)+SUM('Monthly Potable (Meters)'!CD45:CF45)</f>
        <v/>
      </c>
      <c r="G44">
        <f>SUM('Monthly Potable (Meters)'!B45)+SUM('Monthly Potable (Meters)'!S45)</f>
        <v/>
      </c>
      <c r="H44">
        <f>SUM('Monthly Potable (Meters)'!G45:H45)+SUM('Monthly Potable (Meters)'!J45:K45)+SUM('Monthly Potable (Meters)'!Y45:Z45)</f>
        <v/>
      </c>
      <c r="I44">
        <f>SUM('Monthly Potable (Meters)'!AE45:AG45)+SUM('Monthly Potable (Meters)'!AI45)+SUM('Monthly Potable (Meters)'!AK45:AZ45)</f>
        <v/>
      </c>
      <c r="J44">
        <f>SUM('Monthly Potable (Meters)'!AH45)+SUM('Monthly Potable (Meters)'!AJ45)</f>
        <v/>
      </c>
      <c r="K44">
        <f>SUM('Monthly Potable (Meters)'!C45)+SUM('Monthly Potable (Meters)'!I45)+SUM('Monthly Potable (Meters)'!L45)+SUM('Monthly Potable (Meters)'!N45)+SUM('Monthly Potable (Meters)'!Q45)+SUM('Monthly Potable (Meters)'!U45)+SUM('Monthly Potable (Meters)'!X45)+SUM('Monthly Potable (Meters)'!AB45:AD45)+SUM('Monthly Potable (Meters)'!BF45)+SUM('Monthly Potable (Meters)'!BI45)+SUM('Monthly Potable (Meters)'!BL45)+SUM('Monthly Potable (Meters)'!BO45)+SUM('Monthly Potable (Meters)'!BR45)+SUM('Monthly Potable (Meters)'!BV45)+SUM('Monthly Potable (Meters)'!BY45)+SUM('Monthly Potable (Meters)'!CC45)+SUM('Monthly Potable (Meters)'!CE45)+SUM('Monthly Potable (Meters)'!CH45:CM45)+SUM('Monthly Potable (Meters)'!CO45:DI45)</f>
        <v/>
      </c>
      <c r="L44">
        <f>SUM('Monthly Potable (Meters)'!E45)</f>
        <v/>
      </c>
      <c r="M44">
        <f>SUM('Monthly Potable (Meters)'!AA45)</f>
        <v/>
      </c>
    </row>
    <row r="45" ht="16" customHeight="1">
      <c r="A45" s="156" t="n">
        <v>44682</v>
      </c>
      <c r="B45">
        <f>SUM('Monthly Potable (Meters)'!D46)</f>
        <v/>
      </c>
      <c r="C45">
        <f>SUM('Monthly Potable (Meters)'!P46)+SUM('Monthly Potable (Meters)'!R46)+SUM('Monthly Potable (Meters)'!T46)+SUM('Monthly Potable (Meters)'!V46)+SUM('Monthly Potable (Meters)'!W46)</f>
        <v/>
      </c>
      <c r="D45">
        <f>SUM('Monthly Potable (Meters)'!M46)</f>
        <v/>
      </c>
      <c r="E45">
        <f>SUM(#REF!)</f>
        <v/>
      </c>
      <c r="F45">
        <f>SUM('Monthly Potable (Meters)'!BA46:BE46)+SUM('Monthly Potable (Meters)'!BG46:BH46)+SUM('Monthly Potable (Meters)'!BJ46:BK46)+SUM('Monthly Potable (Meters)'!BM46:BN46)+SUM('Monthly Potable (Meters)'!BP46:BQ46)+SUM('Monthly Potable (Meters)'!BS46:BU46)+SUM('Monthly Potable (Meters)'!BW46:BX46)+SUM('Monthly Potable (Meters)'!BZ46:CB46)+SUM('Monthly Potable (Meters)'!CD46:CF46)</f>
        <v/>
      </c>
      <c r="G45">
        <f>SUM('Monthly Potable (Meters)'!B46)+SUM('Monthly Potable (Meters)'!S46)</f>
        <v/>
      </c>
      <c r="H45">
        <f>SUM('Monthly Potable (Meters)'!G46:H46)+SUM('Monthly Potable (Meters)'!J46:K46)+SUM('Monthly Potable (Meters)'!Y46:Z46)</f>
        <v/>
      </c>
      <c r="I45">
        <f>SUM('Monthly Potable (Meters)'!AE46:AG46)+SUM('Monthly Potable (Meters)'!AI46)+SUM('Monthly Potable (Meters)'!AK46:AZ46)</f>
        <v/>
      </c>
      <c r="J45">
        <f>SUM('Monthly Potable (Meters)'!AH46)+SUM('Monthly Potable (Meters)'!AJ46)</f>
        <v/>
      </c>
      <c r="K45">
        <f>SUM('Monthly Potable (Meters)'!C46)+SUM('Monthly Potable (Meters)'!I46)+SUM('Monthly Potable (Meters)'!L46)+SUM('Monthly Potable (Meters)'!N46)+SUM('Monthly Potable (Meters)'!Q46)+SUM('Monthly Potable (Meters)'!U46)+SUM('Monthly Potable (Meters)'!X46)+SUM('Monthly Potable (Meters)'!AB46:AD46)+SUM('Monthly Potable (Meters)'!BF46)+SUM('Monthly Potable (Meters)'!BI46)+SUM('Monthly Potable (Meters)'!BL46)+SUM('Monthly Potable (Meters)'!BO46)+SUM('Monthly Potable (Meters)'!BR46)+SUM('Monthly Potable (Meters)'!BV46)+SUM('Monthly Potable (Meters)'!BY46)+SUM('Monthly Potable (Meters)'!CC46)+SUM('Monthly Potable (Meters)'!CE46)+SUM('Monthly Potable (Meters)'!CH46:CM46)+SUM('Monthly Potable (Meters)'!CO46:DI46)</f>
        <v/>
      </c>
      <c r="L45">
        <f>SUM('Monthly Potable (Meters)'!E46)</f>
        <v/>
      </c>
      <c r="M45">
        <f>SUM('Monthly Potable (Meters)'!AA46)</f>
        <v/>
      </c>
    </row>
    <row r="46" ht="16" customHeight="1">
      <c r="A46" s="156" t="n">
        <v>44713</v>
      </c>
      <c r="B46">
        <f>SUM('Monthly Potable (Meters)'!D47)</f>
        <v/>
      </c>
      <c r="C46">
        <f>SUM('Monthly Potable (Meters)'!P47)+SUM('Monthly Potable (Meters)'!R47)+SUM('Monthly Potable (Meters)'!T47)+SUM('Monthly Potable (Meters)'!V47)+SUM('Monthly Potable (Meters)'!W47)</f>
        <v/>
      </c>
      <c r="D46">
        <f>SUM('Monthly Potable (Meters)'!M47)</f>
        <v/>
      </c>
      <c r="E46">
        <f>SUM(#REF!)</f>
        <v/>
      </c>
      <c r="F46">
        <f>SUM('Monthly Potable (Meters)'!BA47:BE47)+SUM('Monthly Potable (Meters)'!BG47:BH47)+SUM('Monthly Potable (Meters)'!BJ47:BK47)+SUM('Monthly Potable (Meters)'!BM47:BN47)+SUM('Monthly Potable (Meters)'!BP47:BQ47)+SUM('Monthly Potable (Meters)'!BS47:BU47)+SUM('Monthly Potable (Meters)'!BW47:BX47)+SUM('Monthly Potable (Meters)'!BZ47:CB47)+SUM('Monthly Potable (Meters)'!CD47:CF47)</f>
        <v/>
      </c>
      <c r="G46">
        <f>SUM('Monthly Potable (Meters)'!B47)+SUM('Monthly Potable (Meters)'!S47)</f>
        <v/>
      </c>
      <c r="H46">
        <f>SUM('Monthly Potable (Meters)'!G47:H47)+SUM('Monthly Potable (Meters)'!J47:K47)+SUM('Monthly Potable (Meters)'!Y47:Z47)</f>
        <v/>
      </c>
      <c r="I46">
        <f>SUM('Monthly Potable (Meters)'!AE47:AG47)+SUM('Monthly Potable (Meters)'!AI47)+SUM('Monthly Potable (Meters)'!AK47:AZ47)</f>
        <v/>
      </c>
      <c r="J46">
        <f>SUM('Monthly Potable (Meters)'!AH47)+SUM('Monthly Potable (Meters)'!AJ47)</f>
        <v/>
      </c>
      <c r="K46">
        <f>SUM('Monthly Potable (Meters)'!C47)+SUM('Monthly Potable (Meters)'!I47)+SUM('Monthly Potable (Meters)'!L47)+SUM('Monthly Potable (Meters)'!N47)+SUM('Monthly Potable (Meters)'!Q47)+SUM('Monthly Potable (Meters)'!U47)+SUM('Monthly Potable (Meters)'!X47)+SUM('Monthly Potable (Meters)'!AB47:AD47)+SUM('Monthly Potable (Meters)'!BF47)+SUM('Monthly Potable (Meters)'!BI47)+SUM('Monthly Potable (Meters)'!BL47)+SUM('Monthly Potable (Meters)'!BO47)+SUM('Monthly Potable (Meters)'!BR47)+SUM('Monthly Potable (Meters)'!BV47)+SUM('Monthly Potable (Meters)'!BY47)+SUM('Monthly Potable (Meters)'!CC47)+SUM('Monthly Potable (Meters)'!CE47)+SUM('Monthly Potable (Meters)'!CH47:CM47)+SUM('Monthly Potable (Meters)'!CO47:DI47)</f>
        <v/>
      </c>
      <c r="L46">
        <f>SUM('Monthly Potable (Meters)'!E47)</f>
        <v/>
      </c>
      <c r="M46">
        <f>SUM('Monthly Potable (Meters)'!AA47)</f>
        <v/>
      </c>
    </row>
    <row r="47" ht="16" customHeight="1">
      <c r="A47" s="156" t="n">
        <v>44743</v>
      </c>
      <c r="B47">
        <f>SUM('Monthly Potable (Meters)'!D48)</f>
        <v/>
      </c>
      <c r="C47">
        <f>SUM('Monthly Potable (Meters)'!P48)+SUM('Monthly Potable (Meters)'!R48)+SUM('Monthly Potable (Meters)'!T48)+SUM('Monthly Potable (Meters)'!V48)+SUM('Monthly Potable (Meters)'!W48)</f>
        <v/>
      </c>
      <c r="D47">
        <f>SUM('Monthly Potable (Meters)'!M48)</f>
        <v/>
      </c>
      <c r="E47">
        <f>SUM(#REF!)</f>
        <v/>
      </c>
      <c r="F47">
        <f>SUM('Monthly Potable (Meters)'!BA48:BE48)+SUM('Monthly Potable (Meters)'!BG48:BH48)+SUM('Monthly Potable (Meters)'!BJ48:BK48)+SUM('Monthly Potable (Meters)'!BM48:BN48)+SUM('Monthly Potable (Meters)'!BP48:BQ48)+SUM('Monthly Potable (Meters)'!BS48:BU48)+SUM('Monthly Potable (Meters)'!BW48:BX48)+SUM('Monthly Potable (Meters)'!BZ48:CB48)+SUM('Monthly Potable (Meters)'!CD48:CF48)</f>
        <v/>
      </c>
      <c r="G47">
        <f>SUM('Monthly Potable (Meters)'!B48)+SUM('Monthly Potable (Meters)'!S48)</f>
        <v/>
      </c>
      <c r="H47">
        <f>SUM('Monthly Potable (Meters)'!G48:H48)+SUM('Monthly Potable (Meters)'!J48:K48)+SUM('Monthly Potable (Meters)'!Y48:Z48)</f>
        <v/>
      </c>
      <c r="I47">
        <f>SUM('Monthly Potable (Meters)'!AE48:AG48)+SUM('Monthly Potable (Meters)'!AI48)+SUM('Monthly Potable (Meters)'!AK48:AZ48)</f>
        <v/>
      </c>
      <c r="J47">
        <f>SUM('Monthly Potable (Meters)'!AH48)+SUM('Monthly Potable (Meters)'!AJ48)</f>
        <v/>
      </c>
      <c r="K47">
        <f>SUM('Monthly Potable (Meters)'!C48)+SUM('Monthly Potable (Meters)'!I48)+SUM('Monthly Potable (Meters)'!L48)+SUM('Monthly Potable (Meters)'!N48)+SUM('Monthly Potable (Meters)'!Q48)+SUM('Monthly Potable (Meters)'!U48)+SUM('Monthly Potable (Meters)'!X48)+SUM('Monthly Potable (Meters)'!AB48:AD48)+SUM('Monthly Potable (Meters)'!BF48)+SUM('Monthly Potable (Meters)'!BI48)+SUM('Monthly Potable (Meters)'!BL48)+SUM('Monthly Potable (Meters)'!BO48)+SUM('Monthly Potable (Meters)'!BR48)+SUM('Monthly Potable (Meters)'!BV48)+SUM('Monthly Potable (Meters)'!BY48)+SUM('Monthly Potable (Meters)'!CC48)+SUM('Monthly Potable (Meters)'!CE48)+SUM('Monthly Potable (Meters)'!CH48:CM48)+SUM('Monthly Potable (Meters)'!CO48:DI48)</f>
        <v/>
      </c>
      <c r="L47">
        <f>SUM('Monthly Potable (Meters)'!E48)</f>
        <v/>
      </c>
      <c r="M47">
        <f>SUM('Monthly Potable (Meters)'!AA48)</f>
        <v/>
      </c>
    </row>
    <row r="48" ht="16" customHeight="1">
      <c r="A48" s="156" t="n">
        <v>44774</v>
      </c>
      <c r="B48">
        <f>SUM('Monthly Potable (Meters)'!D49)</f>
        <v/>
      </c>
      <c r="C48">
        <f>SUM('Monthly Potable (Meters)'!P49)+SUM('Monthly Potable (Meters)'!R49)+SUM('Monthly Potable (Meters)'!T49)+SUM('Monthly Potable (Meters)'!V49)+SUM('Monthly Potable (Meters)'!W49)</f>
        <v/>
      </c>
      <c r="D48">
        <f>SUM('Monthly Potable (Meters)'!M49)</f>
        <v/>
      </c>
      <c r="E48">
        <f>SUM(#REF!)</f>
        <v/>
      </c>
      <c r="F48">
        <f>SUM('Monthly Potable (Meters)'!BA49:BE49)+SUM('Monthly Potable (Meters)'!BG49:BH49)+SUM('Monthly Potable (Meters)'!BJ49:BK49)+SUM('Monthly Potable (Meters)'!BM49:BN49)+SUM('Monthly Potable (Meters)'!BP49:BQ49)+SUM('Monthly Potable (Meters)'!BS49:BU49)+SUM('Monthly Potable (Meters)'!BW49:BX49)+SUM('Monthly Potable (Meters)'!BZ49:CB49)+SUM('Monthly Potable (Meters)'!CD49:CF49)</f>
        <v/>
      </c>
      <c r="G48">
        <f>SUM('Monthly Potable (Meters)'!B49)+SUM('Monthly Potable (Meters)'!S49)</f>
        <v/>
      </c>
      <c r="H48">
        <f>SUM('Monthly Potable (Meters)'!G49:H49)+SUM('Monthly Potable (Meters)'!J49:K49)+SUM('Monthly Potable (Meters)'!Y49:Z49)</f>
        <v/>
      </c>
      <c r="I48">
        <f>SUM('Monthly Potable (Meters)'!AE49:AG49)+SUM('Monthly Potable (Meters)'!AI49)+SUM('Monthly Potable (Meters)'!AK49:AZ49)</f>
        <v/>
      </c>
      <c r="J48">
        <f>SUM('Monthly Potable (Meters)'!AH49)+SUM('Monthly Potable (Meters)'!AJ49)</f>
        <v/>
      </c>
      <c r="K48">
        <f>SUM('Monthly Potable (Meters)'!C49)+SUM('Monthly Potable (Meters)'!I49)+SUM('Monthly Potable (Meters)'!L49)+SUM('Monthly Potable (Meters)'!N49)+SUM('Monthly Potable (Meters)'!Q49)+SUM('Monthly Potable (Meters)'!U49)+SUM('Monthly Potable (Meters)'!X49)+SUM('Monthly Potable (Meters)'!AB49:AD49)+SUM('Monthly Potable (Meters)'!BF49)+SUM('Monthly Potable (Meters)'!BI49)+SUM('Monthly Potable (Meters)'!BL49)+SUM('Monthly Potable (Meters)'!BO49)+SUM('Monthly Potable (Meters)'!BR49)+SUM('Monthly Potable (Meters)'!BV49)+SUM('Monthly Potable (Meters)'!BY49)+SUM('Monthly Potable (Meters)'!CC49)+SUM('Monthly Potable (Meters)'!CE49)+SUM('Monthly Potable (Meters)'!CH49:CM49)+SUM('Monthly Potable (Meters)'!CO49:DI49)</f>
        <v/>
      </c>
      <c r="L48">
        <f>SUM('Monthly Potable (Meters)'!E49)</f>
        <v/>
      </c>
      <c r="M48">
        <f>SUM('Monthly Potable (Meters)'!AA49)</f>
        <v/>
      </c>
    </row>
    <row r="49" ht="16" customHeight="1">
      <c r="A49" s="156" t="n">
        <v>44805</v>
      </c>
      <c r="B49">
        <f>SUM('Monthly Potable (Meters)'!D50)</f>
        <v/>
      </c>
      <c r="C49">
        <f>SUM('Monthly Potable (Meters)'!P50)+SUM('Monthly Potable (Meters)'!R50)+SUM('Monthly Potable (Meters)'!T50)+SUM('Monthly Potable (Meters)'!V50)+SUM('Monthly Potable (Meters)'!W50)</f>
        <v/>
      </c>
      <c r="D49">
        <f>SUM('Monthly Potable (Meters)'!M50)</f>
        <v/>
      </c>
      <c r="E49">
        <f>SUM(#REF!)</f>
        <v/>
      </c>
      <c r="F49">
        <f>SUM('Monthly Potable (Meters)'!BA50:BE50)+SUM('Monthly Potable (Meters)'!BG50:BH50)+SUM('Monthly Potable (Meters)'!BJ50:BK50)+SUM('Monthly Potable (Meters)'!BM50:BN50)+SUM('Monthly Potable (Meters)'!BP50:BQ50)+SUM('Monthly Potable (Meters)'!BS50:BU50)+SUM('Monthly Potable (Meters)'!BW50:BX50)+SUM('Monthly Potable (Meters)'!BZ50:CB50)+SUM('Monthly Potable (Meters)'!CD50:CF50)</f>
        <v/>
      </c>
      <c r="G49">
        <f>SUM('Monthly Potable (Meters)'!B50)+SUM('Monthly Potable (Meters)'!S50)</f>
        <v/>
      </c>
      <c r="H49">
        <f>SUM('Monthly Potable (Meters)'!G50:H50)+SUM('Monthly Potable (Meters)'!J50:K50)+SUM('Monthly Potable (Meters)'!Y50:Z50)</f>
        <v/>
      </c>
      <c r="I49">
        <f>SUM('Monthly Potable (Meters)'!AE50:AG50)+SUM('Monthly Potable (Meters)'!AI50)+SUM('Monthly Potable (Meters)'!AK50:AZ50)</f>
        <v/>
      </c>
      <c r="J49">
        <f>SUM('Monthly Potable (Meters)'!AH50)+SUM('Monthly Potable (Meters)'!AJ50)</f>
        <v/>
      </c>
      <c r="K49">
        <f>SUM('Monthly Potable (Meters)'!C50)+SUM('Monthly Potable (Meters)'!I50)+SUM('Monthly Potable (Meters)'!L50)+SUM('Monthly Potable (Meters)'!N50)+SUM('Monthly Potable (Meters)'!Q50)+SUM('Monthly Potable (Meters)'!U50)+SUM('Monthly Potable (Meters)'!X50)+SUM('Monthly Potable (Meters)'!AB50:AD50)+SUM('Monthly Potable (Meters)'!BF50)+SUM('Monthly Potable (Meters)'!BI50)+SUM('Monthly Potable (Meters)'!BL50)+SUM('Monthly Potable (Meters)'!BO50)+SUM('Monthly Potable (Meters)'!BR50)+SUM('Monthly Potable (Meters)'!BV50)+SUM('Monthly Potable (Meters)'!BY50)+SUM('Monthly Potable (Meters)'!CC50)+SUM('Monthly Potable (Meters)'!CE50)+SUM('Monthly Potable (Meters)'!CH50:CM50)+SUM('Monthly Potable (Meters)'!CO50:DI50)</f>
        <v/>
      </c>
      <c r="L49">
        <f>SUM('Monthly Potable (Meters)'!E50)</f>
        <v/>
      </c>
      <c r="M49">
        <f>SUM('Monthly Potable (Meters)'!AA50)</f>
        <v/>
      </c>
    </row>
    <row r="50" ht="16" customHeight="1">
      <c r="A50" s="156" t="n">
        <v>44835</v>
      </c>
      <c r="B50">
        <f>SUM('Monthly Potable (Meters)'!D51)</f>
        <v/>
      </c>
      <c r="C50">
        <f>SUM('Monthly Potable (Meters)'!P51)+SUM('Monthly Potable (Meters)'!R51)+SUM('Monthly Potable (Meters)'!T51)+SUM('Monthly Potable (Meters)'!V51)+SUM('Monthly Potable (Meters)'!W51)</f>
        <v/>
      </c>
      <c r="D50">
        <f>SUM('Monthly Potable (Meters)'!M51)</f>
        <v/>
      </c>
      <c r="E50">
        <f>SUM(#REF!)</f>
        <v/>
      </c>
      <c r="F50">
        <f>SUM('Monthly Potable (Meters)'!BA51:BE51)+SUM('Monthly Potable (Meters)'!BG51:BH51)+SUM('Monthly Potable (Meters)'!BJ51:BK51)+SUM('Monthly Potable (Meters)'!BM51:BN51)+SUM('Monthly Potable (Meters)'!BP51:BQ51)+SUM('Monthly Potable (Meters)'!BS51:BU51)+SUM('Monthly Potable (Meters)'!BW51:BX51)+SUM('Monthly Potable (Meters)'!BZ51:CB51)+SUM('Monthly Potable (Meters)'!CD51:CF51)</f>
        <v/>
      </c>
      <c r="G50">
        <f>SUM('Monthly Potable (Meters)'!B51)+SUM('Monthly Potable (Meters)'!S51)</f>
        <v/>
      </c>
      <c r="H50">
        <f>SUM('Monthly Potable (Meters)'!G51:H51)+SUM('Monthly Potable (Meters)'!J51:K51)+SUM('Monthly Potable (Meters)'!Y51:Z51)</f>
        <v/>
      </c>
      <c r="I50">
        <f>SUM('Monthly Potable (Meters)'!AE51:AG51)+SUM('Monthly Potable (Meters)'!AI51)+SUM('Monthly Potable (Meters)'!AK51:AZ51)</f>
        <v/>
      </c>
      <c r="J50">
        <f>SUM('Monthly Potable (Meters)'!AH51)+SUM('Monthly Potable (Meters)'!AJ51)</f>
        <v/>
      </c>
      <c r="K50">
        <f>SUM('Monthly Potable (Meters)'!C51)+SUM('Monthly Potable (Meters)'!I51)+SUM('Monthly Potable (Meters)'!L51)+SUM('Monthly Potable (Meters)'!N51)+SUM('Monthly Potable (Meters)'!Q51)+SUM('Monthly Potable (Meters)'!U51)+SUM('Monthly Potable (Meters)'!X51)+SUM('Monthly Potable (Meters)'!AB51:AD51)+SUM('Monthly Potable (Meters)'!BF51)+SUM('Monthly Potable (Meters)'!BI51)+SUM('Monthly Potable (Meters)'!BL51)+SUM('Monthly Potable (Meters)'!BO51)+SUM('Monthly Potable (Meters)'!BR51)+SUM('Monthly Potable (Meters)'!BV51)+SUM('Monthly Potable (Meters)'!BY51)+SUM('Monthly Potable (Meters)'!CC51)+SUM('Monthly Potable (Meters)'!CE51)+SUM('Monthly Potable (Meters)'!CH51:CM51)+SUM('Monthly Potable (Meters)'!CO51:DI51)</f>
        <v/>
      </c>
      <c r="L50">
        <f>SUM('Monthly Potable (Meters)'!E51)</f>
        <v/>
      </c>
      <c r="M50">
        <f>SUM('Monthly Potable (Meters)'!AA51)</f>
        <v/>
      </c>
    </row>
    <row r="51" ht="16" customHeight="1">
      <c r="A51" s="156" t="n">
        <v>44866</v>
      </c>
      <c r="B51">
        <f>SUM('Monthly Potable (Meters)'!D52)</f>
        <v/>
      </c>
      <c r="C51">
        <f>SUM('Monthly Potable (Meters)'!P52)+SUM('Monthly Potable (Meters)'!R52)+SUM('Monthly Potable (Meters)'!T52)+SUM('Monthly Potable (Meters)'!V52)+SUM('Monthly Potable (Meters)'!W52)</f>
        <v/>
      </c>
      <c r="D51">
        <f>SUM('Monthly Potable (Meters)'!M52)</f>
        <v/>
      </c>
      <c r="E51">
        <f>SUM(#REF!)</f>
        <v/>
      </c>
      <c r="F51">
        <f>SUM('Monthly Potable (Meters)'!BA52:BE52)+SUM('Monthly Potable (Meters)'!BG52:BH52)+SUM('Monthly Potable (Meters)'!BJ52:BK52)+SUM('Monthly Potable (Meters)'!BM52:BN52)+SUM('Monthly Potable (Meters)'!BP52:BQ52)+SUM('Monthly Potable (Meters)'!BS52:BU52)+SUM('Monthly Potable (Meters)'!BW52:BX52)+SUM('Monthly Potable (Meters)'!BZ52:CB52)+SUM('Monthly Potable (Meters)'!CD52:CF52)</f>
        <v/>
      </c>
      <c r="G51">
        <f>SUM('Monthly Potable (Meters)'!B52)+SUM('Monthly Potable (Meters)'!S52)</f>
        <v/>
      </c>
      <c r="H51">
        <f>SUM('Monthly Potable (Meters)'!G52:H52)+SUM('Monthly Potable (Meters)'!J52:K52)+SUM('Monthly Potable (Meters)'!Y52:Z52)</f>
        <v/>
      </c>
      <c r="I51">
        <f>SUM('Monthly Potable (Meters)'!AE52:AG52)+SUM('Monthly Potable (Meters)'!AI52)+SUM('Monthly Potable (Meters)'!AK52:AZ52)</f>
        <v/>
      </c>
      <c r="J51">
        <f>SUM('Monthly Potable (Meters)'!AH52)+SUM('Monthly Potable (Meters)'!AJ52)</f>
        <v/>
      </c>
      <c r="K51">
        <f>SUM('Monthly Potable (Meters)'!C52)+SUM('Monthly Potable (Meters)'!I52)+SUM('Monthly Potable (Meters)'!L52)+SUM('Monthly Potable (Meters)'!N52)+SUM('Monthly Potable (Meters)'!Q52)+SUM('Monthly Potable (Meters)'!U52)+SUM('Monthly Potable (Meters)'!X52)+SUM('Monthly Potable (Meters)'!AB52:AD52)+SUM('Monthly Potable (Meters)'!BF52)+SUM('Monthly Potable (Meters)'!BI52)+SUM('Monthly Potable (Meters)'!BL52)+SUM('Monthly Potable (Meters)'!BO52)+SUM('Monthly Potable (Meters)'!BR52)+SUM('Monthly Potable (Meters)'!BV52)+SUM('Monthly Potable (Meters)'!BY52)+SUM('Monthly Potable (Meters)'!CC52)+SUM('Monthly Potable (Meters)'!CE52)+SUM('Monthly Potable (Meters)'!CH52:CM52)+SUM('Monthly Potable (Meters)'!CO52:DI52)</f>
        <v/>
      </c>
      <c r="L51">
        <f>SUM('Monthly Potable (Meters)'!E52)</f>
        <v/>
      </c>
      <c r="M51">
        <f>SUM('Monthly Potable (Meters)'!AA52)</f>
        <v/>
      </c>
    </row>
    <row r="52" ht="16" customHeight="1">
      <c r="A52" s="156" t="n">
        <v>44896</v>
      </c>
      <c r="B52">
        <f>SUM('Monthly Potable (Meters)'!D53)</f>
        <v/>
      </c>
      <c r="C52">
        <f>SUM('Monthly Potable (Meters)'!P53)+SUM('Monthly Potable (Meters)'!R53)+SUM('Monthly Potable (Meters)'!T53)+SUM('Monthly Potable (Meters)'!V53)+SUM('Monthly Potable (Meters)'!W53)</f>
        <v/>
      </c>
      <c r="D52">
        <f>SUM('Monthly Potable (Meters)'!M53)</f>
        <v/>
      </c>
      <c r="E52">
        <f>SUM(#REF!)</f>
        <v/>
      </c>
      <c r="F52">
        <f>SUM('Monthly Potable (Meters)'!BA53:BE53)+SUM('Monthly Potable (Meters)'!BG53:BH53)+SUM('Monthly Potable (Meters)'!BJ53:BK53)+SUM('Monthly Potable (Meters)'!BM53:BN53)+SUM('Monthly Potable (Meters)'!BP53:BQ53)+SUM('Monthly Potable (Meters)'!BS53:BU53)+SUM('Monthly Potable (Meters)'!BW53:BX53)+SUM('Monthly Potable (Meters)'!BZ53:CB53)+SUM('Monthly Potable (Meters)'!CD53:CF53)</f>
        <v/>
      </c>
      <c r="G52">
        <f>SUM('Monthly Potable (Meters)'!B53)+SUM('Monthly Potable (Meters)'!S53)</f>
        <v/>
      </c>
      <c r="H52">
        <f>SUM('Monthly Potable (Meters)'!G53:H53)+SUM('Monthly Potable (Meters)'!J53:K53)+SUM('Monthly Potable (Meters)'!Y53:Z53)</f>
        <v/>
      </c>
      <c r="I52">
        <f>SUM('Monthly Potable (Meters)'!AE53:AG53)+SUM('Monthly Potable (Meters)'!AI53)+SUM('Monthly Potable (Meters)'!AK53:AZ53)</f>
        <v/>
      </c>
      <c r="J52">
        <f>SUM('Monthly Potable (Meters)'!AH53)+SUM('Monthly Potable (Meters)'!AJ53)</f>
        <v/>
      </c>
      <c r="K52">
        <f>SUM('Monthly Potable (Meters)'!C53)+SUM('Monthly Potable (Meters)'!I53)+SUM('Monthly Potable (Meters)'!L53)+SUM('Monthly Potable (Meters)'!N53)+SUM('Monthly Potable (Meters)'!Q53)+SUM('Monthly Potable (Meters)'!U53)+SUM('Monthly Potable (Meters)'!X53)+SUM('Monthly Potable (Meters)'!AB53:AD53)+SUM('Monthly Potable (Meters)'!BF53)+SUM('Monthly Potable (Meters)'!BI53)+SUM('Monthly Potable (Meters)'!BL53)+SUM('Monthly Potable (Meters)'!BO53)+SUM('Monthly Potable (Meters)'!BR53)+SUM('Monthly Potable (Meters)'!BV53)+SUM('Monthly Potable (Meters)'!BY53)+SUM('Monthly Potable (Meters)'!CC53)+SUM('Monthly Potable (Meters)'!CE53)+SUM('Monthly Potable (Meters)'!CH53:CM53)+SUM('Monthly Potable (Meters)'!CO53:DI53)</f>
        <v/>
      </c>
      <c r="L52">
        <f>SUM('Monthly Potable (Meters)'!E53)</f>
        <v/>
      </c>
      <c r="M52">
        <f>SUM('Monthly Potable (Meters)'!AA53)</f>
        <v/>
      </c>
    </row>
    <row r="53" ht="16" customHeight="1">
      <c r="A53" s="156" t="n">
        <v>44927</v>
      </c>
      <c r="B53">
        <f>SUM('Monthly Potable (Meters)'!D54)</f>
        <v/>
      </c>
      <c r="C53">
        <f>SUM('Monthly Potable (Meters)'!P54)+SUM('Monthly Potable (Meters)'!R54)+SUM('Monthly Potable (Meters)'!T54)+SUM('Monthly Potable (Meters)'!V54)+SUM('Monthly Potable (Meters)'!W54)</f>
        <v/>
      </c>
      <c r="D53">
        <f>SUM('Monthly Potable (Meters)'!M54)</f>
        <v/>
      </c>
      <c r="E53">
        <f>SUM(#REF!)</f>
        <v/>
      </c>
      <c r="F53">
        <f>SUM('Monthly Potable (Meters)'!BA54:BE54)+SUM('Monthly Potable (Meters)'!BG54:BH54)+SUM('Monthly Potable (Meters)'!BJ54:BK54)+SUM('Monthly Potable (Meters)'!BM54:BN54)+SUM('Monthly Potable (Meters)'!BP54:BQ54)+SUM('Monthly Potable (Meters)'!BS54:BU54)+SUM('Monthly Potable (Meters)'!BW54:BX54)+SUM('Monthly Potable (Meters)'!BZ54:CB54)+SUM('Monthly Potable (Meters)'!CD54:CF54)</f>
        <v/>
      </c>
      <c r="G53">
        <f>SUM('Monthly Potable (Meters)'!B54)+SUM('Monthly Potable (Meters)'!S54)</f>
        <v/>
      </c>
      <c r="H53">
        <f>SUM('Monthly Potable (Meters)'!G54:H54)+SUM('Monthly Potable (Meters)'!J54:K54)+SUM('Monthly Potable (Meters)'!Y54:Z54)</f>
        <v/>
      </c>
      <c r="I53">
        <f>SUM('Monthly Potable (Meters)'!AE54:AG54)+SUM('Monthly Potable (Meters)'!AI54)+SUM('Monthly Potable (Meters)'!AK54:AZ54)</f>
        <v/>
      </c>
      <c r="J53">
        <f>SUM('Monthly Potable (Meters)'!AH54)+SUM('Monthly Potable (Meters)'!AJ54)</f>
        <v/>
      </c>
      <c r="K53">
        <f>SUM('Monthly Potable (Meters)'!C54)+SUM('Monthly Potable (Meters)'!I54)+SUM('Monthly Potable (Meters)'!L54)+SUM('Monthly Potable (Meters)'!N54)+SUM('Monthly Potable (Meters)'!Q54)+SUM('Monthly Potable (Meters)'!U54)+SUM('Monthly Potable (Meters)'!X54)+SUM('Monthly Potable (Meters)'!AB54:AD54)+SUM('Monthly Potable (Meters)'!BF54)+SUM('Monthly Potable (Meters)'!BI54)+SUM('Monthly Potable (Meters)'!BL54)+SUM('Monthly Potable (Meters)'!BO54)+SUM('Monthly Potable (Meters)'!BR54)+SUM('Monthly Potable (Meters)'!BV54)+SUM('Monthly Potable (Meters)'!BY54)+SUM('Monthly Potable (Meters)'!CC54)+SUM('Monthly Potable (Meters)'!CE54)+SUM('Monthly Potable (Meters)'!CH54:CM54)+SUM('Monthly Potable (Meters)'!CO54:DI54)</f>
        <v/>
      </c>
      <c r="L53">
        <f>SUM('Monthly Potable (Meters)'!E54)</f>
        <v/>
      </c>
      <c r="M53">
        <f>SUM('Monthly Potable (Meters)'!AA54)</f>
        <v/>
      </c>
    </row>
    <row r="54" ht="16" customHeight="1">
      <c r="A54" s="156" t="n">
        <v>44958</v>
      </c>
      <c r="B54">
        <f>SUM('Monthly Potable (Meters)'!D55)</f>
        <v/>
      </c>
      <c r="C54">
        <f>SUM('Monthly Potable (Meters)'!P55)+SUM('Monthly Potable (Meters)'!R55)+SUM('Monthly Potable (Meters)'!T55)+SUM('Monthly Potable (Meters)'!V55)+SUM('Monthly Potable (Meters)'!W55)</f>
        <v/>
      </c>
      <c r="D54">
        <f>SUM('Monthly Potable (Meters)'!M55)</f>
        <v/>
      </c>
      <c r="E54">
        <f>SUM(#REF!)</f>
        <v/>
      </c>
      <c r="F54">
        <f>SUM('Monthly Potable (Meters)'!BA55:BE55)+SUM('Monthly Potable (Meters)'!BG55:BH55)+SUM('Monthly Potable (Meters)'!BJ55:BK55)+SUM('Monthly Potable (Meters)'!BM55:BN55)+SUM('Monthly Potable (Meters)'!BP55:BQ55)+SUM('Monthly Potable (Meters)'!BS55:BU55)+SUM('Monthly Potable (Meters)'!BW55:BX55)+SUM('Monthly Potable (Meters)'!BZ55:CB55)+SUM('Monthly Potable (Meters)'!CD55:CF55)</f>
        <v/>
      </c>
      <c r="G54">
        <f>SUM('Monthly Potable (Meters)'!B55)+SUM('Monthly Potable (Meters)'!S55)</f>
        <v/>
      </c>
      <c r="H54">
        <f>SUM('Monthly Potable (Meters)'!G55:H55)+SUM('Monthly Potable (Meters)'!J55:K55)+SUM('Monthly Potable (Meters)'!Y55:Z55)</f>
        <v/>
      </c>
      <c r="I54">
        <f>SUM('Monthly Potable (Meters)'!AE55:AG55)+SUM('Monthly Potable (Meters)'!AI55)+SUM('Monthly Potable (Meters)'!AK55:AZ55)</f>
        <v/>
      </c>
      <c r="J54">
        <f>SUM('Monthly Potable (Meters)'!AH55)+SUM('Monthly Potable (Meters)'!AJ55)</f>
        <v/>
      </c>
      <c r="K54">
        <f>SUM('Monthly Potable (Meters)'!C55)+SUM('Monthly Potable (Meters)'!I55)+SUM('Monthly Potable (Meters)'!L55)+SUM('Monthly Potable (Meters)'!N55)+SUM('Monthly Potable (Meters)'!Q55)+SUM('Monthly Potable (Meters)'!U55)+SUM('Monthly Potable (Meters)'!X55)+SUM('Monthly Potable (Meters)'!AB55:AD55)+SUM('Monthly Potable (Meters)'!BF55)+SUM('Monthly Potable (Meters)'!BI55)+SUM('Monthly Potable (Meters)'!BL55)+SUM('Monthly Potable (Meters)'!BO55)+SUM('Monthly Potable (Meters)'!BR55)+SUM('Monthly Potable (Meters)'!BV55)+SUM('Monthly Potable (Meters)'!BY55)+SUM('Monthly Potable (Meters)'!CC55)+SUM('Monthly Potable (Meters)'!CE55)+SUM('Monthly Potable (Meters)'!CH55:CM55)+SUM('Monthly Potable (Meters)'!CO55:DI55)</f>
        <v/>
      </c>
      <c r="L54">
        <f>SUM('Monthly Potable (Meters)'!E55)</f>
        <v/>
      </c>
      <c r="M54">
        <f>SUM('Monthly Potable (Meters)'!AA55)</f>
        <v/>
      </c>
    </row>
    <row r="55" ht="16" customHeight="1">
      <c r="A55" s="156" t="n">
        <v>44986</v>
      </c>
      <c r="B55">
        <f>SUM('Monthly Potable (Meters)'!D56)</f>
        <v/>
      </c>
      <c r="C55">
        <f>SUM('Monthly Potable (Meters)'!P56)+SUM('Monthly Potable (Meters)'!R56)+SUM('Monthly Potable (Meters)'!T56)+SUM('Monthly Potable (Meters)'!V56)+SUM('Monthly Potable (Meters)'!W56)</f>
        <v/>
      </c>
      <c r="D55">
        <f>SUM('Monthly Potable (Meters)'!M56)</f>
        <v/>
      </c>
      <c r="E55">
        <f>SUM(#REF!)</f>
        <v/>
      </c>
      <c r="F55">
        <f>SUM('Monthly Potable (Meters)'!BA56:BE56)+SUM('Monthly Potable (Meters)'!BG56:BH56)+SUM('Monthly Potable (Meters)'!BJ56:BK56)+SUM('Monthly Potable (Meters)'!BM56:BN56)+SUM('Monthly Potable (Meters)'!BP56:BQ56)+SUM('Monthly Potable (Meters)'!BS56:BU56)+SUM('Monthly Potable (Meters)'!BW56:BX56)+SUM('Monthly Potable (Meters)'!BZ56:CB56)+SUM('Monthly Potable (Meters)'!CD56:CF56)</f>
        <v/>
      </c>
      <c r="G55">
        <f>SUM('Monthly Potable (Meters)'!B56)+SUM('Monthly Potable (Meters)'!S56)</f>
        <v/>
      </c>
      <c r="H55">
        <f>SUM('Monthly Potable (Meters)'!G56:H56)+SUM('Monthly Potable (Meters)'!J56:K56)+SUM('Monthly Potable (Meters)'!Y56:Z56)</f>
        <v/>
      </c>
      <c r="I55">
        <f>SUM('Monthly Potable (Meters)'!AE56:AG56)+SUM('Monthly Potable (Meters)'!AI56)+SUM('Monthly Potable (Meters)'!AK56:AZ56)</f>
        <v/>
      </c>
      <c r="J55">
        <f>SUM('Monthly Potable (Meters)'!AH56)+SUM('Monthly Potable (Meters)'!AJ56)</f>
        <v/>
      </c>
      <c r="K55">
        <f>SUM('Monthly Potable (Meters)'!C56)+SUM('Monthly Potable (Meters)'!I56)+SUM('Monthly Potable (Meters)'!L56)+SUM('Monthly Potable (Meters)'!N56)+SUM('Monthly Potable (Meters)'!Q56)+SUM('Monthly Potable (Meters)'!U56)+SUM('Monthly Potable (Meters)'!X56)+SUM('Monthly Potable (Meters)'!AB56:AD56)+SUM('Monthly Potable (Meters)'!BF56)+SUM('Monthly Potable (Meters)'!BI56)+SUM('Monthly Potable (Meters)'!BL56)+SUM('Monthly Potable (Meters)'!BO56)+SUM('Monthly Potable (Meters)'!BR56)+SUM('Monthly Potable (Meters)'!BV56)+SUM('Monthly Potable (Meters)'!BY56)+SUM('Monthly Potable (Meters)'!CC56)+SUM('Monthly Potable (Meters)'!CE56)+SUM('Monthly Potable (Meters)'!CH56:CM56)+SUM('Monthly Potable (Meters)'!CO56:DI56)</f>
        <v/>
      </c>
      <c r="L55">
        <f>SUM('Monthly Potable (Meters)'!E56)</f>
        <v/>
      </c>
      <c r="M55">
        <f>SUM('Monthly Potable (Meters)'!AA56)</f>
        <v/>
      </c>
    </row>
    <row r="56" ht="16" customHeight="1">
      <c r="A56" s="156" t="n">
        <v>45017</v>
      </c>
      <c r="B56">
        <f>SUM('Monthly Potable (Meters)'!D57)</f>
        <v/>
      </c>
      <c r="C56">
        <f>SUM('Monthly Potable (Meters)'!P57)+SUM('Monthly Potable (Meters)'!R57)+SUM('Monthly Potable (Meters)'!T57)+SUM('Monthly Potable (Meters)'!V57)+SUM('Monthly Potable (Meters)'!W57)</f>
        <v/>
      </c>
      <c r="D56">
        <f>SUM('Monthly Potable (Meters)'!M57)</f>
        <v/>
      </c>
      <c r="E56">
        <f>SUM(#REF!)</f>
        <v/>
      </c>
      <c r="F56">
        <f>SUM('Monthly Potable (Meters)'!BA57:BE57)+SUM('Monthly Potable (Meters)'!BG57:BH57)+SUM('Monthly Potable (Meters)'!BJ57:BK57)+SUM('Monthly Potable (Meters)'!BM57:BN57)+SUM('Monthly Potable (Meters)'!BP57:BQ57)+SUM('Monthly Potable (Meters)'!BS57:BU57)+SUM('Monthly Potable (Meters)'!BW57:BX57)+SUM('Monthly Potable (Meters)'!BZ57:CB57)+SUM('Monthly Potable (Meters)'!CD57:CF57)</f>
        <v/>
      </c>
      <c r="G56">
        <f>SUM('Monthly Potable (Meters)'!B57)+SUM('Monthly Potable (Meters)'!S57)</f>
        <v/>
      </c>
      <c r="H56">
        <f>SUM('Monthly Potable (Meters)'!G57:H57)+SUM('Monthly Potable (Meters)'!J57:K57)+SUM('Monthly Potable (Meters)'!Y57:Z57)</f>
        <v/>
      </c>
      <c r="I56">
        <f>SUM('Monthly Potable (Meters)'!AE57:AG57)+SUM('Monthly Potable (Meters)'!AI57)+SUM('Monthly Potable (Meters)'!AK57:AZ57)</f>
        <v/>
      </c>
      <c r="J56">
        <f>SUM('Monthly Potable (Meters)'!AH57)+SUM('Monthly Potable (Meters)'!AJ57)</f>
        <v/>
      </c>
      <c r="K56">
        <f>SUM('Monthly Potable (Meters)'!C57)+SUM('Monthly Potable (Meters)'!I57)+SUM('Monthly Potable (Meters)'!L57)+SUM('Monthly Potable (Meters)'!N57)+SUM('Monthly Potable (Meters)'!Q57)+SUM('Monthly Potable (Meters)'!U57)+SUM('Monthly Potable (Meters)'!X57)+SUM('Monthly Potable (Meters)'!AB57:AD57)+SUM('Monthly Potable (Meters)'!BF57)+SUM('Monthly Potable (Meters)'!BI57)+SUM('Monthly Potable (Meters)'!BL57)+SUM('Monthly Potable (Meters)'!BO57)+SUM('Monthly Potable (Meters)'!BR57)+SUM('Monthly Potable (Meters)'!BV57)+SUM('Monthly Potable (Meters)'!BY57)+SUM('Monthly Potable (Meters)'!CC57)+SUM('Monthly Potable (Meters)'!CE57)+SUM('Monthly Potable (Meters)'!CH57:CM57)+SUM('Monthly Potable (Meters)'!CO57:DI57)</f>
        <v/>
      </c>
      <c r="L56">
        <f>SUM('Monthly Potable (Meters)'!E57)</f>
        <v/>
      </c>
      <c r="M56">
        <f>SUM('Monthly Potable (Meters)'!AA57)</f>
        <v/>
      </c>
    </row>
    <row r="57" ht="16" customHeight="1">
      <c r="A57" s="156" t="n">
        <v>45047</v>
      </c>
      <c r="B57">
        <f>SUM('Monthly Potable (Meters)'!D58)</f>
        <v/>
      </c>
      <c r="C57">
        <f>SUM('Monthly Potable (Meters)'!P58)+SUM('Monthly Potable (Meters)'!R58)+SUM('Monthly Potable (Meters)'!T58)+SUM('Monthly Potable (Meters)'!V58)+SUM('Monthly Potable (Meters)'!W58)</f>
        <v/>
      </c>
      <c r="D57">
        <f>SUM('Monthly Potable (Meters)'!M58)</f>
        <v/>
      </c>
      <c r="E57">
        <f>SUM(#REF!)</f>
        <v/>
      </c>
      <c r="F57">
        <f>SUM('Monthly Potable (Meters)'!BA58:BE58)+SUM('Monthly Potable (Meters)'!BG58:BH58)+SUM('Monthly Potable (Meters)'!BJ58:BK58)+SUM('Monthly Potable (Meters)'!BM58:BN58)+SUM('Monthly Potable (Meters)'!BP58:BQ58)+SUM('Monthly Potable (Meters)'!BS58:BU58)+SUM('Monthly Potable (Meters)'!BW58:BX58)+SUM('Monthly Potable (Meters)'!BZ58:CB58)+SUM('Monthly Potable (Meters)'!CD58:CF58)</f>
        <v/>
      </c>
      <c r="G57">
        <f>SUM('Monthly Potable (Meters)'!B58)+SUM('Monthly Potable (Meters)'!S58)</f>
        <v/>
      </c>
      <c r="H57">
        <f>SUM('Monthly Potable (Meters)'!G58:H58)+SUM('Monthly Potable (Meters)'!J58:K58)+SUM('Monthly Potable (Meters)'!Y58:Z58)</f>
        <v/>
      </c>
      <c r="I57">
        <f>SUM('Monthly Potable (Meters)'!AE58:AG58)+SUM('Monthly Potable (Meters)'!AI58)+SUM('Monthly Potable (Meters)'!AK58:AZ58)</f>
        <v/>
      </c>
      <c r="J57">
        <f>SUM('Monthly Potable (Meters)'!AH58)+SUM('Monthly Potable (Meters)'!AJ58)</f>
        <v/>
      </c>
      <c r="K57">
        <f>SUM('Monthly Potable (Meters)'!C58)+SUM('Monthly Potable (Meters)'!I58)+SUM('Monthly Potable (Meters)'!L58)+SUM('Monthly Potable (Meters)'!N58)+SUM('Monthly Potable (Meters)'!Q58)+SUM('Monthly Potable (Meters)'!U58)+SUM('Monthly Potable (Meters)'!X58)+SUM('Monthly Potable (Meters)'!AB58:AD58)+SUM('Monthly Potable (Meters)'!BF58)+SUM('Monthly Potable (Meters)'!BI58)+SUM('Monthly Potable (Meters)'!BL58)+SUM('Monthly Potable (Meters)'!BO58)+SUM('Monthly Potable (Meters)'!BR58)+SUM('Monthly Potable (Meters)'!BV58)+SUM('Monthly Potable (Meters)'!BY58)+SUM('Monthly Potable (Meters)'!CC58)+SUM('Monthly Potable (Meters)'!CE58)+SUM('Monthly Potable (Meters)'!CH58:CM58)+SUM('Monthly Potable (Meters)'!CO58:DI58)</f>
        <v/>
      </c>
      <c r="L57">
        <f>SUM('Monthly Potable (Meters)'!E58)</f>
        <v/>
      </c>
      <c r="M57">
        <f>SUM('Monthly Potable (Meters)'!AA58)</f>
        <v/>
      </c>
    </row>
    <row r="58" ht="16" customHeight="1">
      <c r="A58" s="156" t="n">
        <v>45078</v>
      </c>
      <c r="B58">
        <f>SUM('Monthly Potable (Meters)'!D59)</f>
        <v/>
      </c>
      <c r="C58">
        <f>SUM('Monthly Potable (Meters)'!P59)+SUM('Monthly Potable (Meters)'!R59)+SUM('Monthly Potable (Meters)'!T59)+SUM('Monthly Potable (Meters)'!V59)+SUM('Monthly Potable (Meters)'!W59)</f>
        <v/>
      </c>
      <c r="D58">
        <f>SUM('Monthly Potable (Meters)'!M59)</f>
        <v/>
      </c>
      <c r="E58">
        <f>SUM(#REF!)</f>
        <v/>
      </c>
      <c r="F58">
        <f>SUM('Monthly Potable (Meters)'!BA59:BE59)+SUM('Monthly Potable (Meters)'!BG59:BH59)+SUM('Monthly Potable (Meters)'!BJ59:BK59)+SUM('Monthly Potable (Meters)'!BM59:BN59)+SUM('Monthly Potable (Meters)'!BP59:BQ59)+SUM('Monthly Potable (Meters)'!BS59:BU59)+SUM('Monthly Potable (Meters)'!BW59:BX59)+SUM('Monthly Potable (Meters)'!BZ59:CB59)+SUM('Monthly Potable (Meters)'!CD59:CF59)</f>
        <v/>
      </c>
      <c r="G58">
        <f>SUM('Monthly Potable (Meters)'!B59)+SUM('Monthly Potable (Meters)'!S59)</f>
        <v/>
      </c>
      <c r="H58">
        <f>SUM('Monthly Potable (Meters)'!G59:H59)+SUM('Monthly Potable (Meters)'!J59:K59)+SUM('Monthly Potable (Meters)'!Y59:Z59)</f>
        <v/>
      </c>
      <c r="I58">
        <f>SUM('Monthly Potable (Meters)'!AE59:AG59)+SUM('Monthly Potable (Meters)'!AI59)+SUM('Monthly Potable (Meters)'!AK59:AZ59)</f>
        <v/>
      </c>
      <c r="J58">
        <f>SUM('Monthly Potable (Meters)'!AH59)+SUM('Monthly Potable (Meters)'!AJ59)</f>
        <v/>
      </c>
      <c r="K58">
        <f>SUM('Monthly Potable (Meters)'!C59)+SUM('Monthly Potable (Meters)'!I59)+SUM('Monthly Potable (Meters)'!L59)+SUM('Monthly Potable (Meters)'!N59)+SUM('Monthly Potable (Meters)'!Q59)+SUM('Monthly Potable (Meters)'!U59)+SUM('Monthly Potable (Meters)'!X59)+SUM('Monthly Potable (Meters)'!AB59:AD59)+SUM('Monthly Potable (Meters)'!BF59)+SUM('Monthly Potable (Meters)'!BI59)+SUM('Monthly Potable (Meters)'!BL59)+SUM('Monthly Potable (Meters)'!BO59)+SUM('Monthly Potable (Meters)'!BR59)+SUM('Monthly Potable (Meters)'!BV59)+SUM('Monthly Potable (Meters)'!BY59)+SUM('Monthly Potable (Meters)'!CC59)+SUM('Monthly Potable (Meters)'!CE59)+SUM('Monthly Potable (Meters)'!CH59:CM59)+SUM('Monthly Potable (Meters)'!CO59:DI59)</f>
        <v/>
      </c>
      <c r="L58">
        <f>SUM('Monthly Potable (Meters)'!E59)</f>
        <v/>
      </c>
      <c r="M58">
        <f>SUM('Monthly Potable (Meters)'!AA59)</f>
        <v/>
      </c>
    </row>
    <row r="59" ht="16" customHeight="1">
      <c r="A59" s="156" t="n">
        <v>45108</v>
      </c>
      <c r="B59">
        <f>SUM('Monthly Potable (Meters)'!D60)</f>
        <v/>
      </c>
      <c r="C59">
        <f>SUM('Monthly Potable (Meters)'!P60)+SUM('Monthly Potable (Meters)'!R60)+SUM('Monthly Potable (Meters)'!T60)+SUM('Monthly Potable (Meters)'!V60)+SUM('Monthly Potable (Meters)'!W60)</f>
        <v/>
      </c>
      <c r="D59">
        <f>SUM('Monthly Potable (Meters)'!M60)</f>
        <v/>
      </c>
      <c r="E59">
        <f>SUM(#REF!)</f>
        <v/>
      </c>
      <c r="F59">
        <f>SUM('Monthly Potable (Meters)'!BA60:BE60)+SUM('Monthly Potable (Meters)'!BG60:BH60)+SUM('Monthly Potable (Meters)'!BJ60:BK60)+SUM('Monthly Potable (Meters)'!BM60:BN60)+SUM('Monthly Potable (Meters)'!BP60:BQ60)+SUM('Monthly Potable (Meters)'!BS60:BU60)+SUM('Monthly Potable (Meters)'!BW60:BX60)+SUM('Monthly Potable (Meters)'!BZ60:CB60)+SUM('Monthly Potable (Meters)'!CD60:CF60)</f>
        <v/>
      </c>
      <c r="G59">
        <f>SUM('Monthly Potable (Meters)'!B60)+SUM('Monthly Potable (Meters)'!S60)</f>
        <v/>
      </c>
      <c r="H59">
        <f>SUM('Monthly Potable (Meters)'!G60:H60)+SUM('Monthly Potable (Meters)'!J60:K60)+SUM('Monthly Potable (Meters)'!Y60:Z60)</f>
        <v/>
      </c>
      <c r="I59">
        <f>SUM('Monthly Potable (Meters)'!AE60:AG60)+SUM('Monthly Potable (Meters)'!AI60)+SUM('Monthly Potable (Meters)'!AK60:AZ60)</f>
        <v/>
      </c>
      <c r="J59">
        <f>SUM('Monthly Potable (Meters)'!AH60)+SUM('Monthly Potable (Meters)'!AJ60)</f>
        <v/>
      </c>
      <c r="K59">
        <f>SUM('Monthly Potable (Meters)'!C60)+SUM('Monthly Potable (Meters)'!I60)+SUM('Monthly Potable (Meters)'!L60)+SUM('Monthly Potable (Meters)'!N60)+SUM('Monthly Potable (Meters)'!Q60)+SUM('Monthly Potable (Meters)'!U60)+SUM('Monthly Potable (Meters)'!X60)+SUM('Monthly Potable (Meters)'!AB60:AD60)+SUM('Monthly Potable (Meters)'!BF60)+SUM('Monthly Potable (Meters)'!BI60)+SUM('Monthly Potable (Meters)'!BL60)+SUM('Monthly Potable (Meters)'!BO60)+SUM('Monthly Potable (Meters)'!BR60)+SUM('Monthly Potable (Meters)'!BV60)+SUM('Monthly Potable (Meters)'!BY60)+SUM('Monthly Potable (Meters)'!CC60)+SUM('Monthly Potable (Meters)'!CE60)+SUM('Monthly Potable (Meters)'!CH60:CM60)+SUM('Monthly Potable (Meters)'!CO60:DI60)</f>
        <v/>
      </c>
      <c r="L59">
        <f>SUM('Monthly Potable (Meters)'!E60)</f>
        <v/>
      </c>
      <c r="M59">
        <f>SUM('Monthly Potable (Meters)'!AA60)</f>
        <v/>
      </c>
    </row>
    <row r="60" ht="16" customHeight="1">
      <c r="A60" s="156" t="n">
        <v>45139</v>
      </c>
      <c r="B60">
        <f>SUM('Monthly Potable (Meters)'!D61)</f>
        <v/>
      </c>
      <c r="C60">
        <f>SUM('Monthly Potable (Meters)'!P61)+SUM('Monthly Potable (Meters)'!R61)+SUM('Monthly Potable (Meters)'!T61)+SUM('Monthly Potable (Meters)'!V61)+SUM('Monthly Potable (Meters)'!W61)</f>
        <v/>
      </c>
      <c r="D60">
        <f>SUM('Monthly Potable (Meters)'!M61)</f>
        <v/>
      </c>
      <c r="E60">
        <f>SUM(#REF!)</f>
        <v/>
      </c>
      <c r="F60">
        <f>SUM('Monthly Potable (Meters)'!BA61:BE61)+SUM('Monthly Potable (Meters)'!BG61:BH61)+SUM('Monthly Potable (Meters)'!BJ61:BK61)+SUM('Monthly Potable (Meters)'!BM61:BN61)+SUM('Monthly Potable (Meters)'!BP61:BQ61)+SUM('Monthly Potable (Meters)'!BS61:BU61)+SUM('Monthly Potable (Meters)'!BW61:BX61)+SUM('Monthly Potable (Meters)'!BZ61:CB61)+SUM('Monthly Potable (Meters)'!CD61:CF61)</f>
        <v/>
      </c>
      <c r="G60">
        <f>SUM('Monthly Potable (Meters)'!B61)+SUM('Monthly Potable (Meters)'!S61)</f>
        <v/>
      </c>
      <c r="H60">
        <f>SUM('Monthly Potable (Meters)'!G61:H61)+SUM('Monthly Potable (Meters)'!J61:K61)+SUM('Monthly Potable (Meters)'!Y61:Z61)</f>
        <v/>
      </c>
      <c r="I60">
        <f>SUM('Monthly Potable (Meters)'!AE61:AG61)+SUM('Monthly Potable (Meters)'!AI61)+SUM('Monthly Potable (Meters)'!AK61:AZ61)</f>
        <v/>
      </c>
      <c r="J60">
        <f>SUM('Monthly Potable (Meters)'!AH61)+SUM('Monthly Potable (Meters)'!AJ61)</f>
        <v/>
      </c>
      <c r="K60">
        <f>SUM('Monthly Potable (Meters)'!C61)+SUM('Monthly Potable (Meters)'!I61)+SUM('Monthly Potable (Meters)'!L61)+SUM('Monthly Potable (Meters)'!N61)+SUM('Monthly Potable (Meters)'!Q61)+SUM('Monthly Potable (Meters)'!U61)+SUM('Monthly Potable (Meters)'!X61)+SUM('Monthly Potable (Meters)'!AB61:AD61)+SUM('Monthly Potable (Meters)'!BF61)+SUM('Monthly Potable (Meters)'!BI61)+SUM('Monthly Potable (Meters)'!BL61)+SUM('Monthly Potable (Meters)'!BO61)+SUM('Monthly Potable (Meters)'!BR61)+SUM('Monthly Potable (Meters)'!BV61)+SUM('Monthly Potable (Meters)'!BY61)+SUM('Monthly Potable (Meters)'!CC61)+SUM('Monthly Potable (Meters)'!CE61)+SUM('Monthly Potable (Meters)'!CH61:CM61)+SUM('Monthly Potable (Meters)'!CO61:DI61)</f>
        <v/>
      </c>
      <c r="L60">
        <f>SUM('Monthly Potable (Meters)'!E61)</f>
        <v/>
      </c>
      <c r="M60">
        <f>SUM('Monthly Potable (Meters)'!AA61)</f>
        <v/>
      </c>
    </row>
    <row r="61" ht="16" customHeight="1">
      <c r="A61" s="156" t="n">
        <v>45170</v>
      </c>
      <c r="B61">
        <f>SUM('Monthly Potable (Meters)'!D62)</f>
        <v/>
      </c>
      <c r="C61">
        <f>SUM('Monthly Potable (Meters)'!P62)+SUM('Monthly Potable (Meters)'!R62)+SUM('Monthly Potable (Meters)'!T62)+SUM('Monthly Potable (Meters)'!V62)+SUM('Monthly Potable (Meters)'!W62)</f>
        <v/>
      </c>
      <c r="D61">
        <f>SUM('Monthly Potable (Meters)'!M62)</f>
        <v/>
      </c>
      <c r="E61">
        <f>SUM(#REF!)</f>
        <v/>
      </c>
      <c r="F61">
        <f>SUM('Monthly Potable (Meters)'!BA62:BE62)+SUM('Monthly Potable (Meters)'!BG62:BH62)+SUM('Monthly Potable (Meters)'!BJ62:BK62)+SUM('Monthly Potable (Meters)'!BM62:BN62)+SUM('Monthly Potable (Meters)'!BP62:BQ62)+SUM('Monthly Potable (Meters)'!BS62:BU62)+SUM('Monthly Potable (Meters)'!BW62:BX62)+SUM('Monthly Potable (Meters)'!BZ62:CB62)+SUM('Monthly Potable (Meters)'!CD62:CF62)</f>
        <v/>
      </c>
      <c r="G61">
        <f>SUM('Monthly Potable (Meters)'!B62)+SUM('Monthly Potable (Meters)'!S62)</f>
        <v/>
      </c>
      <c r="H61">
        <f>SUM('Monthly Potable (Meters)'!G62:H62)+SUM('Monthly Potable (Meters)'!J62:K62)+SUM('Monthly Potable (Meters)'!Y62:Z62)</f>
        <v/>
      </c>
      <c r="I61">
        <f>SUM('Monthly Potable (Meters)'!AE62:AG62)+SUM('Monthly Potable (Meters)'!AI62)+SUM('Monthly Potable (Meters)'!AK62:AZ62)</f>
        <v/>
      </c>
      <c r="J61">
        <f>SUM('Monthly Potable (Meters)'!AH62)+SUM('Monthly Potable (Meters)'!AJ62)</f>
        <v/>
      </c>
      <c r="K61">
        <f>SUM('Monthly Potable (Meters)'!C62)+SUM('Monthly Potable (Meters)'!I62)+SUM('Monthly Potable (Meters)'!L62)+SUM('Monthly Potable (Meters)'!N62)+SUM('Monthly Potable (Meters)'!Q62)+SUM('Monthly Potable (Meters)'!U62)+SUM('Monthly Potable (Meters)'!X62)+SUM('Monthly Potable (Meters)'!AB62:AD62)+SUM('Monthly Potable (Meters)'!BF62)+SUM('Monthly Potable (Meters)'!BI62)+SUM('Monthly Potable (Meters)'!BL62)+SUM('Monthly Potable (Meters)'!BO62)+SUM('Monthly Potable (Meters)'!BR62)+SUM('Monthly Potable (Meters)'!BV62)+SUM('Monthly Potable (Meters)'!BY62)+SUM('Monthly Potable (Meters)'!CC62)+SUM('Monthly Potable (Meters)'!CE62)+SUM('Monthly Potable (Meters)'!CH62:CM62)+SUM('Monthly Potable (Meters)'!CO62:DI62)</f>
        <v/>
      </c>
      <c r="L61">
        <f>SUM('Monthly Potable (Meters)'!E62)</f>
        <v/>
      </c>
      <c r="M61">
        <f>SUM('Monthly Potable (Meters)'!AA62)</f>
        <v/>
      </c>
    </row>
    <row r="62" ht="16" customHeight="1">
      <c r="A62" s="156" t="n">
        <v>45200</v>
      </c>
      <c r="B62">
        <f>SUM('Monthly Potable (Meters)'!D63)</f>
        <v/>
      </c>
      <c r="C62">
        <f>SUM('Monthly Potable (Meters)'!P63)+SUM('Monthly Potable (Meters)'!R63)+SUM('Monthly Potable (Meters)'!T63)+SUM('Monthly Potable (Meters)'!V63)+SUM('Monthly Potable (Meters)'!W63)</f>
        <v/>
      </c>
      <c r="D62">
        <f>SUM('Monthly Potable (Meters)'!M63)</f>
        <v/>
      </c>
      <c r="E62">
        <f>SUM(#REF!)</f>
        <v/>
      </c>
      <c r="F62">
        <f>SUM('Monthly Potable (Meters)'!BA63:BE63)+SUM('Monthly Potable (Meters)'!BG63:BH63)+SUM('Monthly Potable (Meters)'!BJ63:BK63)+SUM('Monthly Potable (Meters)'!BM63:BN63)+SUM('Monthly Potable (Meters)'!BP63:BQ63)+SUM('Monthly Potable (Meters)'!BS63:BU63)+SUM('Monthly Potable (Meters)'!BW63:BX63)+SUM('Monthly Potable (Meters)'!BZ63:CB63)+SUM('Monthly Potable (Meters)'!CD63:CF63)</f>
        <v/>
      </c>
      <c r="G62">
        <f>SUM('Monthly Potable (Meters)'!B63)+SUM('Monthly Potable (Meters)'!S63)</f>
        <v/>
      </c>
      <c r="H62">
        <f>SUM('Monthly Potable (Meters)'!G63:H63)+SUM('Monthly Potable (Meters)'!J63:K63)+SUM('Monthly Potable (Meters)'!Y63:Z63)</f>
        <v/>
      </c>
      <c r="I62">
        <f>SUM('Monthly Potable (Meters)'!AE63:AG63)+SUM('Monthly Potable (Meters)'!AI63)+SUM('Monthly Potable (Meters)'!AK63:AZ63)</f>
        <v/>
      </c>
      <c r="J62">
        <f>SUM('Monthly Potable (Meters)'!AH63)+SUM('Monthly Potable (Meters)'!AJ63)</f>
        <v/>
      </c>
      <c r="K62">
        <f>SUM('Monthly Potable (Meters)'!C63)+SUM('Monthly Potable (Meters)'!I63)+SUM('Monthly Potable (Meters)'!L63)+SUM('Monthly Potable (Meters)'!N63)+SUM('Monthly Potable (Meters)'!Q63)+SUM('Monthly Potable (Meters)'!U63)+SUM('Monthly Potable (Meters)'!X63)+SUM('Monthly Potable (Meters)'!AB63:AD63)+SUM('Monthly Potable (Meters)'!BF63)+SUM('Monthly Potable (Meters)'!BI63)+SUM('Monthly Potable (Meters)'!BL63)+SUM('Monthly Potable (Meters)'!BO63)+SUM('Monthly Potable (Meters)'!BR63)+SUM('Monthly Potable (Meters)'!BV63)+SUM('Monthly Potable (Meters)'!BY63)+SUM('Monthly Potable (Meters)'!CC63)+SUM('Monthly Potable (Meters)'!CE63)+SUM('Monthly Potable (Meters)'!CH63:CM63)+SUM('Monthly Potable (Meters)'!CO63:DI63)</f>
        <v/>
      </c>
      <c r="L62">
        <f>SUM('Monthly Potable (Meters)'!E63)</f>
        <v/>
      </c>
      <c r="M62">
        <f>SUM('Monthly Potable (Meters)'!AA63)</f>
        <v/>
      </c>
    </row>
    <row r="63" ht="16" customHeight="1">
      <c r="A63" s="156" t="n">
        <v>45231</v>
      </c>
      <c r="B63">
        <f>SUM('Monthly Potable (Meters)'!D64)</f>
        <v/>
      </c>
      <c r="C63">
        <f>SUM('Monthly Potable (Meters)'!P64)+SUM('Monthly Potable (Meters)'!R64)+SUM('Monthly Potable (Meters)'!T64)+SUM('Monthly Potable (Meters)'!V64)+SUM('Monthly Potable (Meters)'!W64)</f>
        <v/>
      </c>
      <c r="D63">
        <f>SUM('Monthly Potable (Meters)'!M64)</f>
        <v/>
      </c>
      <c r="E63">
        <f>SUM(#REF!)</f>
        <v/>
      </c>
      <c r="F63">
        <f>SUM('Monthly Potable (Meters)'!BA64:BE64)+SUM('Monthly Potable (Meters)'!BG64:BH64)+SUM('Monthly Potable (Meters)'!BJ64:BK64)+SUM('Monthly Potable (Meters)'!BM64:BN64)+SUM('Monthly Potable (Meters)'!BP64:BQ64)+SUM('Monthly Potable (Meters)'!BS64:BU64)+SUM('Monthly Potable (Meters)'!BW64:BX64)+SUM('Monthly Potable (Meters)'!BZ64:CB64)+SUM('Monthly Potable (Meters)'!CD64:CF64)</f>
        <v/>
      </c>
      <c r="G63">
        <f>SUM('Monthly Potable (Meters)'!B64)+SUM('Monthly Potable (Meters)'!S64)</f>
        <v/>
      </c>
      <c r="H63">
        <f>SUM('Monthly Potable (Meters)'!G64:H64)+SUM('Monthly Potable (Meters)'!J64:K64)+SUM('Monthly Potable (Meters)'!Y64:Z64)</f>
        <v/>
      </c>
      <c r="I63">
        <f>SUM('Monthly Potable (Meters)'!AE64:AG64)+SUM('Monthly Potable (Meters)'!AI64)+SUM('Monthly Potable (Meters)'!AK64:AZ64)</f>
        <v/>
      </c>
      <c r="J63">
        <f>SUM('Monthly Potable (Meters)'!AH64)+SUM('Monthly Potable (Meters)'!AJ64)</f>
        <v/>
      </c>
      <c r="K63">
        <f>SUM('Monthly Potable (Meters)'!C64)+SUM('Monthly Potable (Meters)'!I64)+SUM('Monthly Potable (Meters)'!L64)+SUM('Monthly Potable (Meters)'!N64)+SUM('Monthly Potable (Meters)'!Q64)+SUM('Monthly Potable (Meters)'!U64)+SUM('Monthly Potable (Meters)'!X64)+SUM('Monthly Potable (Meters)'!AB64:AD64)+SUM('Monthly Potable (Meters)'!BF64)+SUM('Monthly Potable (Meters)'!BI64)+SUM('Monthly Potable (Meters)'!BL64)+SUM('Monthly Potable (Meters)'!BO64)+SUM('Monthly Potable (Meters)'!BR64)+SUM('Monthly Potable (Meters)'!BV64)+SUM('Monthly Potable (Meters)'!BY64)+SUM('Monthly Potable (Meters)'!CC64)+SUM('Monthly Potable (Meters)'!CE64)+SUM('Monthly Potable (Meters)'!CH64:CM64)+SUM('Monthly Potable (Meters)'!CO64:DI64)</f>
        <v/>
      </c>
      <c r="L63">
        <f>SUM('Monthly Potable (Meters)'!E64)</f>
        <v/>
      </c>
      <c r="M63">
        <f>SUM('Monthly Potable (Meters)'!AA64)</f>
        <v/>
      </c>
    </row>
    <row r="64" ht="16" customHeight="1">
      <c r="A64" s="156" t="n">
        <v>45261</v>
      </c>
      <c r="B64">
        <f>SUM('Monthly Potable (Meters)'!D65)</f>
        <v/>
      </c>
      <c r="C64">
        <f>SUM('Monthly Potable (Meters)'!P65)+SUM('Monthly Potable (Meters)'!R65)+SUM('Monthly Potable (Meters)'!T65)+SUM('Monthly Potable (Meters)'!V65)+SUM('Monthly Potable (Meters)'!W65)</f>
        <v/>
      </c>
      <c r="D64">
        <f>SUM('Monthly Potable (Meters)'!M65)</f>
        <v/>
      </c>
      <c r="E64">
        <f>SUM(#REF!)</f>
        <v/>
      </c>
      <c r="F64">
        <f>SUM('Monthly Potable (Meters)'!BA65:BE65)+SUM('Monthly Potable (Meters)'!BG65:BH65)+SUM('Monthly Potable (Meters)'!BJ65:BK65)+SUM('Monthly Potable (Meters)'!BM65:BN65)+SUM('Monthly Potable (Meters)'!BP65:BQ65)+SUM('Monthly Potable (Meters)'!BS65:BU65)+SUM('Monthly Potable (Meters)'!BW65:BX65)+SUM('Monthly Potable (Meters)'!BZ65:CB65)+SUM('Monthly Potable (Meters)'!CD65:CF65)</f>
        <v/>
      </c>
      <c r="G64">
        <f>SUM('Monthly Potable (Meters)'!B65)+SUM('Monthly Potable (Meters)'!S65)</f>
        <v/>
      </c>
      <c r="H64">
        <f>SUM('Monthly Potable (Meters)'!G65:H65)+SUM('Monthly Potable (Meters)'!J65:K65)+SUM('Monthly Potable (Meters)'!Y65:Z65)</f>
        <v/>
      </c>
      <c r="I64">
        <f>SUM('Monthly Potable (Meters)'!AE65:AG65)+SUM('Monthly Potable (Meters)'!AI65)+SUM('Monthly Potable (Meters)'!AK65:AZ65)</f>
        <v/>
      </c>
      <c r="J64">
        <f>SUM('Monthly Potable (Meters)'!AH65)+SUM('Monthly Potable (Meters)'!AJ65)</f>
        <v/>
      </c>
      <c r="K64">
        <f>SUM('Monthly Potable (Meters)'!C65)+SUM('Monthly Potable (Meters)'!I65)+SUM('Monthly Potable (Meters)'!L65)+SUM('Monthly Potable (Meters)'!N65)+SUM('Monthly Potable (Meters)'!Q65)+SUM('Monthly Potable (Meters)'!U65)+SUM('Monthly Potable (Meters)'!X65)+SUM('Monthly Potable (Meters)'!AB65:AD65)+SUM('Monthly Potable (Meters)'!BF65)+SUM('Monthly Potable (Meters)'!BI65)+SUM('Monthly Potable (Meters)'!BL65)+SUM('Monthly Potable (Meters)'!BO65)+SUM('Monthly Potable (Meters)'!BR65)+SUM('Monthly Potable (Meters)'!BV65)+SUM('Monthly Potable (Meters)'!BY65)+SUM('Monthly Potable (Meters)'!CC65)+SUM('Monthly Potable (Meters)'!CE65)+SUM('Monthly Potable (Meters)'!CH65:CM65)+SUM('Monthly Potable (Meters)'!CO65:DI65)</f>
        <v/>
      </c>
      <c r="L64">
        <f>SUM('Monthly Potable (Meters)'!E65)</f>
        <v/>
      </c>
      <c r="M64">
        <f>SUM('Monthly Potable (Meters)'!AA65)</f>
        <v/>
      </c>
    </row>
    <row r="65" ht="16" customHeight="1">
      <c r="A65" s="156" t="n">
        <v>45292</v>
      </c>
      <c r="B65">
        <f>SUM('Monthly Potable (Meters)'!D66)</f>
        <v/>
      </c>
      <c r="C65">
        <f>SUM('Monthly Potable (Meters)'!P66)+SUM('Monthly Potable (Meters)'!R66)+SUM('Monthly Potable (Meters)'!T66)+SUM('Monthly Potable (Meters)'!V66)+SUM('Monthly Potable (Meters)'!W66)</f>
        <v/>
      </c>
      <c r="D65">
        <f>SUM('Monthly Potable (Meters)'!M66)</f>
        <v/>
      </c>
      <c r="E65">
        <f>SUM(#REF!)</f>
        <v/>
      </c>
      <c r="F65">
        <f>SUM('Monthly Potable (Meters)'!BA66:BE66)+SUM('Monthly Potable (Meters)'!BG66:BH66)+SUM('Monthly Potable (Meters)'!BJ66:BK66)+SUM('Monthly Potable (Meters)'!BM66:BN66)+SUM('Monthly Potable (Meters)'!BP66:BQ66)+SUM('Monthly Potable (Meters)'!BS66:BU66)+SUM('Monthly Potable (Meters)'!BW66:BX66)+SUM('Monthly Potable (Meters)'!BZ66:CB66)+SUM('Monthly Potable (Meters)'!CD66:CF66)</f>
        <v/>
      </c>
      <c r="G65">
        <f>SUM('Monthly Potable (Meters)'!B66)+SUM('Monthly Potable (Meters)'!S66)</f>
        <v/>
      </c>
      <c r="H65">
        <f>SUM('Monthly Potable (Meters)'!G66:H66)+SUM('Monthly Potable (Meters)'!J66:K66)+SUM('Monthly Potable (Meters)'!Y66:Z66)</f>
        <v/>
      </c>
      <c r="I65">
        <f>SUM('Monthly Potable (Meters)'!AE66:AG66)+SUM('Monthly Potable (Meters)'!AI66)+SUM('Monthly Potable (Meters)'!AK66:AZ66)</f>
        <v/>
      </c>
      <c r="J65">
        <f>SUM('Monthly Potable (Meters)'!AH66)+SUM('Monthly Potable (Meters)'!AJ66)</f>
        <v/>
      </c>
      <c r="K65">
        <f>SUM('Monthly Potable (Meters)'!C66)+SUM('Monthly Potable (Meters)'!I66)+SUM('Monthly Potable (Meters)'!L66)+SUM('Monthly Potable (Meters)'!N66)+SUM('Monthly Potable (Meters)'!Q66)+SUM('Monthly Potable (Meters)'!U66)+SUM('Monthly Potable (Meters)'!X66)+SUM('Monthly Potable (Meters)'!AB66:AD66)+SUM('Monthly Potable (Meters)'!BF66)+SUM('Monthly Potable (Meters)'!BI66)+SUM('Monthly Potable (Meters)'!BL66)+SUM('Monthly Potable (Meters)'!BO66)+SUM('Monthly Potable (Meters)'!BR66)+SUM('Monthly Potable (Meters)'!BV66)+SUM('Monthly Potable (Meters)'!BY66)+SUM('Monthly Potable (Meters)'!CC66)+SUM('Monthly Potable (Meters)'!CE66)+SUM('Monthly Potable (Meters)'!CH66:CM66)+SUM('Monthly Potable (Meters)'!CO66:DI66)</f>
        <v/>
      </c>
      <c r="L65">
        <f>SUM('Monthly Potable (Meters)'!E66)</f>
        <v/>
      </c>
      <c r="M65">
        <f>SUM('Monthly Potable (Meters)'!AA66)</f>
        <v/>
      </c>
    </row>
    <row r="66" ht="16" customHeight="1">
      <c r="A66" s="156" t="n">
        <v>45323</v>
      </c>
      <c r="B66">
        <f>SUM('Monthly Potable (Meters)'!D67)</f>
        <v/>
      </c>
      <c r="C66">
        <f>SUM('Monthly Potable (Meters)'!P67)+SUM('Monthly Potable (Meters)'!R67)+SUM('Monthly Potable (Meters)'!T67)+SUM('Monthly Potable (Meters)'!V67)+SUM('Monthly Potable (Meters)'!W67)</f>
        <v/>
      </c>
      <c r="D66">
        <f>SUM('Monthly Potable (Meters)'!M67)</f>
        <v/>
      </c>
      <c r="E66">
        <f>SUM('Monthly Potable (Meters)'!O67)</f>
        <v/>
      </c>
      <c r="F66">
        <f>SUM('Monthly Potable (Meters)'!BA67:BE67)+SUM('Monthly Potable (Meters)'!BG67:BH67)+SUM('Monthly Potable (Meters)'!BJ67:BK67)+SUM('Monthly Potable (Meters)'!BM67:BN67)+SUM('Monthly Potable (Meters)'!BP67:BQ67)+SUM('Monthly Potable (Meters)'!BS67:BU67)+SUM('Monthly Potable (Meters)'!BW67:BX67)+SUM('Monthly Potable (Meters)'!BZ67:CB67)+SUM('Monthly Potable (Meters)'!CD67:CF67)</f>
        <v/>
      </c>
      <c r="G66">
        <f>SUM('Monthly Potable (Meters)'!B67)+SUM('Monthly Potable (Meters)'!S67)</f>
        <v/>
      </c>
      <c r="H66">
        <f>SUM('Monthly Potable (Meters)'!G67:H67)+SUM('Monthly Potable (Meters)'!J67:K67)+SUM('Monthly Potable (Meters)'!Y67:Z67)</f>
        <v/>
      </c>
      <c r="I66">
        <f>SUM('Monthly Potable (Meters)'!AE67:AG67)+SUM('Monthly Potable (Meters)'!AI67)+SUM('Monthly Potable (Meters)'!AK67:AZ67)</f>
        <v/>
      </c>
      <c r="J66">
        <f>SUM('Monthly Potable (Meters)'!AH67)+SUM('Monthly Potable (Meters)'!AJ67)</f>
        <v/>
      </c>
      <c r="K66">
        <f>SUM('Monthly Potable (Meters)'!C67)+SUM('Monthly Potable (Meters)'!I67)+SUM('Monthly Potable (Meters)'!L67)+SUM('Monthly Potable (Meters)'!N67)+SUM('Monthly Potable (Meters)'!Q67)+SUM('Monthly Potable (Meters)'!U67)+SUM('Monthly Potable (Meters)'!X67)+SUM('Monthly Potable (Meters)'!AB67:AD67)+SUM('Monthly Potable (Meters)'!BF67)+SUM('Monthly Potable (Meters)'!BI67)+SUM('Monthly Potable (Meters)'!BL67)+SUM('Monthly Potable (Meters)'!BO67)+SUM('Monthly Potable (Meters)'!BR67)+SUM('Monthly Potable (Meters)'!BV67)+SUM('Monthly Potable (Meters)'!BY67)+SUM('Monthly Potable (Meters)'!CC67)+SUM('Monthly Potable (Meters)'!CE67)+SUM('Monthly Potable (Meters)'!CH67:CM67)+SUM('Monthly Potable (Meters)'!CO67:DI67)</f>
        <v/>
      </c>
      <c r="L66">
        <f>SUM('Monthly Potable (Meters)'!E67)</f>
        <v/>
      </c>
      <c r="M66">
        <f>SUM('Monthly Potable (Meters)'!AA67)</f>
        <v/>
      </c>
    </row>
    <row r="67" ht="16" customHeight="1">
      <c r="A67" s="156" t="n">
        <v>45352</v>
      </c>
      <c r="B67">
        <f>SUM('Monthly Potable (Meters)'!D68)</f>
        <v/>
      </c>
      <c r="C67">
        <f>SUM('Monthly Potable (Meters)'!P68)+SUM('Monthly Potable (Meters)'!R68)+SUM('Monthly Potable (Meters)'!T68)+SUM('Monthly Potable (Meters)'!V68)+SUM('Monthly Potable (Meters)'!W68)</f>
        <v/>
      </c>
      <c r="D67">
        <f>SUM('Monthly Potable (Meters)'!M68)</f>
        <v/>
      </c>
      <c r="E67">
        <f>SUM('Monthly Potable (Meters)'!O68)</f>
        <v/>
      </c>
      <c r="F67">
        <f>SUM('Monthly Potable (Meters)'!BA68:BE68)+SUM('Monthly Potable (Meters)'!BG68:BH68)+SUM('Monthly Potable (Meters)'!BJ68:BK68)+SUM('Monthly Potable (Meters)'!BM68:BN68)+SUM('Monthly Potable (Meters)'!BP68:BQ68)+SUM('Monthly Potable (Meters)'!BS68:BU68)+SUM('Monthly Potable (Meters)'!BW68:BX68)+SUM('Monthly Potable (Meters)'!BZ68:CB68)+SUM('Monthly Potable (Meters)'!CD68:CF68)</f>
        <v/>
      </c>
      <c r="G67">
        <f>SUM('Monthly Potable (Meters)'!B68)+SUM('Monthly Potable (Meters)'!S68)</f>
        <v/>
      </c>
      <c r="H67">
        <f>SUM('Monthly Potable (Meters)'!G68:H68)+SUM('Monthly Potable (Meters)'!J68:K68)+SUM('Monthly Potable (Meters)'!Y68:Z68)</f>
        <v/>
      </c>
      <c r="I67">
        <f>SUM('Monthly Potable (Meters)'!AE68:AG68)+SUM('Monthly Potable (Meters)'!AI68)+SUM('Monthly Potable (Meters)'!AK68:AZ68)</f>
        <v/>
      </c>
      <c r="J67">
        <f>SUM('Monthly Potable (Meters)'!AH68)+SUM('Monthly Potable (Meters)'!AJ68)</f>
        <v/>
      </c>
      <c r="K67">
        <f>SUM('Monthly Potable (Meters)'!C68)+SUM('Monthly Potable (Meters)'!I68)+SUM('Monthly Potable (Meters)'!L68)+SUM('Monthly Potable (Meters)'!N68)+SUM('Monthly Potable (Meters)'!Q68)+SUM('Monthly Potable (Meters)'!U68)+SUM('Monthly Potable (Meters)'!X68)+SUM('Monthly Potable (Meters)'!AB68:AD68)+SUM('Monthly Potable (Meters)'!BF68)+SUM('Monthly Potable (Meters)'!BI68)+SUM('Monthly Potable (Meters)'!BL68)+SUM('Monthly Potable (Meters)'!BO68)+SUM('Monthly Potable (Meters)'!BR68)+SUM('Monthly Potable (Meters)'!BV68)+SUM('Monthly Potable (Meters)'!BY68)+SUM('Monthly Potable (Meters)'!CC68)+SUM('Monthly Potable (Meters)'!CE68)+SUM('Monthly Potable (Meters)'!CH68:CM68)+SUM('Monthly Potable (Meters)'!CO68:DI68)</f>
        <v/>
      </c>
      <c r="L67">
        <f>SUM('Monthly Potable (Meters)'!E68)</f>
        <v/>
      </c>
      <c r="M67">
        <f>SUM('Monthly Potable (Meters)'!AA68)</f>
        <v/>
      </c>
    </row>
    <row r="68" ht="16" customHeight="1">
      <c r="A68" s="156" t="n">
        <v>45383</v>
      </c>
      <c r="B68">
        <f>SUM('Monthly Potable (Meters)'!D69)</f>
        <v/>
      </c>
      <c r="C68">
        <f>SUM('Monthly Potable (Meters)'!P69)+SUM('Monthly Potable (Meters)'!R69)+SUM('Monthly Potable (Meters)'!T69)+SUM('Monthly Potable (Meters)'!V69)+SUM('Monthly Potable (Meters)'!W69)</f>
        <v/>
      </c>
      <c r="D68">
        <f>SUM('Monthly Potable (Meters)'!M69)</f>
        <v/>
      </c>
      <c r="E68">
        <f>SUM('Monthly Potable (Meters)'!O69)</f>
        <v/>
      </c>
      <c r="F68">
        <f>SUM('Monthly Potable (Meters)'!BA69:BE69)+SUM('Monthly Potable (Meters)'!BG69:BH69)+SUM('Monthly Potable (Meters)'!BJ69:BK69)+SUM('Monthly Potable (Meters)'!BM69:BN69)+SUM('Monthly Potable (Meters)'!BP69:BQ69)+SUM('Monthly Potable (Meters)'!BS69:BU69)+SUM('Monthly Potable (Meters)'!BW69:BX69)+SUM('Monthly Potable (Meters)'!BZ69:CB69)+SUM('Monthly Potable (Meters)'!CD69:CF69)</f>
        <v/>
      </c>
      <c r="G68">
        <f>SUM('Monthly Potable (Meters)'!B69)+SUM('Monthly Potable (Meters)'!S69)</f>
        <v/>
      </c>
      <c r="H68">
        <f>SUM('Monthly Potable (Meters)'!G69:H69)+SUM('Monthly Potable (Meters)'!J69:K69)+SUM('Monthly Potable (Meters)'!Y69:Z69)</f>
        <v/>
      </c>
      <c r="I68">
        <f>SUM('Monthly Potable (Meters)'!AE69:AG69)+SUM('Monthly Potable (Meters)'!AI69)+SUM('Monthly Potable (Meters)'!AK69:AZ69)</f>
        <v/>
      </c>
      <c r="J68">
        <f>SUM('Monthly Potable (Meters)'!AH69)+SUM('Monthly Potable (Meters)'!AJ69)</f>
        <v/>
      </c>
      <c r="K68">
        <f>SUM('Monthly Potable (Meters)'!C69)+SUM('Monthly Potable (Meters)'!I69)+SUM('Monthly Potable (Meters)'!L69)+SUM('Monthly Potable (Meters)'!N69)+SUM('Monthly Potable (Meters)'!Q69)+SUM('Monthly Potable (Meters)'!U69)+SUM('Monthly Potable (Meters)'!X69)+SUM('Monthly Potable (Meters)'!AB69:AD69)+SUM('Monthly Potable (Meters)'!BF69)+SUM('Monthly Potable (Meters)'!BI69)+SUM('Monthly Potable (Meters)'!BL69)+SUM('Monthly Potable (Meters)'!BO69)+SUM('Monthly Potable (Meters)'!BR69)+SUM('Monthly Potable (Meters)'!BV69)+SUM('Monthly Potable (Meters)'!BY69)+SUM('Monthly Potable (Meters)'!CC69)+SUM('Monthly Potable (Meters)'!CE69)+SUM('Monthly Potable (Meters)'!CH69:CM69)+SUM('Monthly Potable (Meters)'!CO69:DI69)</f>
        <v/>
      </c>
      <c r="L68">
        <f>SUM('Monthly Potable (Meters)'!E69)</f>
        <v/>
      </c>
      <c r="M68">
        <f>SUM('Monthly Potable (Meters)'!AA69)</f>
        <v/>
      </c>
    </row>
    <row r="69" ht="16" customHeight="1">
      <c r="A69" s="156" t="n">
        <v>45413</v>
      </c>
      <c r="B69">
        <f>SUM('Monthly Potable (Meters)'!D70)</f>
        <v/>
      </c>
      <c r="C69">
        <f>SUM('Monthly Potable (Meters)'!P70)+SUM('Monthly Potable (Meters)'!R70)+SUM('Monthly Potable (Meters)'!T70)+SUM('Monthly Potable (Meters)'!V70)+SUM('Monthly Potable (Meters)'!W70)</f>
        <v/>
      </c>
      <c r="D69">
        <f>SUM('Monthly Potable (Meters)'!M70)</f>
        <v/>
      </c>
      <c r="E69">
        <f>SUM('Monthly Potable (Meters)'!O70)</f>
        <v/>
      </c>
      <c r="F69">
        <f>SUM('Monthly Potable (Meters)'!BA70:BE70)+SUM('Monthly Potable (Meters)'!BG70:BH70)+SUM('Monthly Potable (Meters)'!BJ70:BK70)+SUM('Monthly Potable (Meters)'!BM70:BN70)+SUM('Monthly Potable (Meters)'!BP70:BQ70)+SUM('Monthly Potable (Meters)'!BS70:BU70)+SUM('Monthly Potable (Meters)'!BW70:BX70)+SUM('Monthly Potable (Meters)'!BZ70:CB70)+SUM('Monthly Potable (Meters)'!CD70:CF70)</f>
        <v/>
      </c>
      <c r="G69">
        <f>SUM('Monthly Potable (Meters)'!B70)+SUM('Monthly Potable (Meters)'!S70)</f>
        <v/>
      </c>
      <c r="H69">
        <f>SUM('Monthly Potable (Meters)'!G70:H70)+SUM('Monthly Potable (Meters)'!J70:K70)+SUM('Monthly Potable (Meters)'!Y70:Z70)</f>
        <v/>
      </c>
      <c r="I69">
        <f>SUM('Monthly Potable (Meters)'!AE70:AG70)+SUM('Monthly Potable (Meters)'!AI70)+SUM('Monthly Potable (Meters)'!AK70:AZ70)</f>
        <v/>
      </c>
      <c r="J69">
        <f>SUM('Monthly Potable (Meters)'!AH70)+SUM('Monthly Potable (Meters)'!AJ70)</f>
        <v/>
      </c>
      <c r="K69">
        <f>SUM('Monthly Potable (Meters)'!C70)+SUM('Monthly Potable (Meters)'!I70)+SUM('Monthly Potable (Meters)'!L70)+SUM('Monthly Potable (Meters)'!N70)+SUM('Monthly Potable (Meters)'!Q70)+SUM('Monthly Potable (Meters)'!U70)+SUM('Monthly Potable (Meters)'!X70)+SUM('Monthly Potable (Meters)'!AB70:AD70)+SUM('Monthly Potable (Meters)'!BF70)+SUM('Monthly Potable (Meters)'!BI70)+SUM('Monthly Potable (Meters)'!BL70)+SUM('Monthly Potable (Meters)'!BO70)+SUM('Monthly Potable (Meters)'!BR70)+SUM('Monthly Potable (Meters)'!BV70)+SUM('Monthly Potable (Meters)'!BY70)+SUM('Monthly Potable (Meters)'!CC70)+SUM('Monthly Potable (Meters)'!CE70)+SUM('Monthly Potable (Meters)'!CH70:CM70)+SUM('Monthly Potable (Meters)'!CO70:DI70)</f>
        <v/>
      </c>
      <c r="L69">
        <f>SUM('Monthly Potable (Meters)'!E70)</f>
        <v/>
      </c>
      <c r="M69">
        <f>SUM('Monthly Potable (Meters)'!AA70)</f>
        <v/>
      </c>
    </row>
    <row r="70" ht="16" customHeight="1">
      <c r="A70" s="156" t="n">
        <v>45444</v>
      </c>
      <c r="B70">
        <f>SUM('Monthly Potable (Meters)'!D71)</f>
        <v/>
      </c>
      <c r="C70">
        <f>SUM('Monthly Potable (Meters)'!P71)+SUM('Monthly Potable (Meters)'!R71)+SUM('Monthly Potable (Meters)'!T71)+SUM('Monthly Potable (Meters)'!V71)+SUM('Monthly Potable (Meters)'!W71)</f>
        <v/>
      </c>
      <c r="D70">
        <f>SUM('Monthly Potable (Meters)'!M71)</f>
        <v/>
      </c>
      <c r="E70">
        <f>SUM('Monthly Potable (Meters)'!O71)</f>
        <v/>
      </c>
      <c r="F70">
        <f>SUM('Monthly Potable (Meters)'!BA71:BE71)+SUM('Monthly Potable (Meters)'!BG71:BH71)+SUM('Monthly Potable (Meters)'!BJ71:BK71)+SUM('Monthly Potable (Meters)'!BM71:BN71)+SUM('Monthly Potable (Meters)'!BP71:BQ71)+SUM('Monthly Potable (Meters)'!BS71:BU71)+SUM('Monthly Potable (Meters)'!BW71:BX71)+SUM('Monthly Potable (Meters)'!BZ71:CB71)+SUM('Monthly Potable (Meters)'!CD71:CF71)</f>
        <v/>
      </c>
      <c r="G70">
        <f>SUM('Monthly Potable (Meters)'!B71)+SUM('Monthly Potable (Meters)'!S71)</f>
        <v/>
      </c>
      <c r="H70">
        <f>SUM('Monthly Potable (Meters)'!G71:H71)+SUM('Monthly Potable (Meters)'!J71:K71)+SUM('Monthly Potable (Meters)'!Y71:Z71)</f>
        <v/>
      </c>
      <c r="I70">
        <f>SUM('Monthly Potable (Meters)'!AE71:AG71)+SUM('Monthly Potable (Meters)'!AI71)+SUM('Monthly Potable (Meters)'!AK71:AZ71)</f>
        <v/>
      </c>
      <c r="J70">
        <f>SUM('Monthly Potable (Meters)'!AH71)+SUM('Monthly Potable (Meters)'!AJ71)</f>
        <v/>
      </c>
      <c r="K70">
        <f>SUM('Monthly Potable (Meters)'!C71)+SUM('Monthly Potable (Meters)'!I71)+SUM('Monthly Potable (Meters)'!L71)+SUM('Monthly Potable (Meters)'!N71)+SUM('Monthly Potable (Meters)'!Q71)+SUM('Monthly Potable (Meters)'!U71)+SUM('Monthly Potable (Meters)'!X71)+SUM('Monthly Potable (Meters)'!AB71:AD71)+SUM('Monthly Potable (Meters)'!BF71)+SUM('Monthly Potable (Meters)'!BI71)+SUM('Monthly Potable (Meters)'!BL71)+SUM('Monthly Potable (Meters)'!BO71)+SUM('Monthly Potable (Meters)'!BR71)+SUM('Monthly Potable (Meters)'!BV71)+SUM('Monthly Potable (Meters)'!BY71)+SUM('Monthly Potable (Meters)'!CC71)+SUM('Monthly Potable (Meters)'!CE71)+SUM('Monthly Potable (Meters)'!CH71:CM71)+SUM('Monthly Potable (Meters)'!CO71:DI71)</f>
        <v/>
      </c>
      <c r="L70">
        <f>SUM('Monthly Potable (Meters)'!E71)</f>
        <v/>
      </c>
      <c r="M70">
        <f>SUM('Monthly Potable (Meters)'!AA71)</f>
        <v/>
      </c>
    </row>
    <row r="71" ht="16" customHeight="1">
      <c r="A71" s="156" t="n">
        <v>45474</v>
      </c>
      <c r="B71">
        <f>SUM('Monthly Potable (Meters)'!D72)</f>
        <v/>
      </c>
      <c r="C71">
        <f>SUM('Monthly Potable (Meters)'!P72)+SUM('Monthly Potable (Meters)'!R72)+SUM('Monthly Potable (Meters)'!T72)+SUM('Monthly Potable (Meters)'!V72)+SUM('Monthly Potable (Meters)'!W72)</f>
        <v/>
      </c>
      <c r="D71">
        <f>SUM('Monthly Potable (Meters)'!M72)</f>
        <v/>
      </c>
      <c r="E71">
        <f>SUM('Monthly Potable (Meters)'!O72)</f>
        <v/>
      </c>
      <c r="F71">
        <f>SUM('Monthly Potable (Meters)'!BA72:BE72)+SUM('Monthly Potable (Meters)'!BG72:BH72)+SUM('Monthly Potable (Meters)'!BJ72:BK72)+SUM('Monthly Potable (Meters)'!BM72:BN72)+SUM('Monthly Potable (Meters)'!BP72:BQ72)+SUM('Monthly Potable (Meters)'!BS72:BU72)+SUM('Monthly Potable (Meters)'!BW72:BX72)+SUM('Monthly Potable (Meters)'!BZ72:CB72)+SUM('Monthly Potable (Meters)'!CD72:CF72)</f>
        <v/>
      </c>
      <c r="G71">
        <f>SUM('Monthly Potable (Meters)'!B72)+SUM('Monthly Potable (Meters)'!S72)</f>
        <v/>
      </c>
      <c r="H71">
        <f>SUM('Monthly Potable (Meters)'!G72:H72)+SUM('Monthly Potable (Meters)'!J72:K72)+SUM('Monthly Potable (Meters)'!Y72:Z72)</f>
        <v/>
      </c>
      <c r="I71">
        <f>SUM('Monthly Potable (Meters)'!AE72:AG72)+SUM('Monthly Potable (Meters)'!AI72)+SUM('Monthly Potable (Meters)'!AK72:AZ72)</f>
        <v/>
      </c>
      <c r="J71">
        <f>SUM('Monthly Potable (Meters)'!AH72)+SUM('Monthly Potable (Meters)'!AJ72)</f>
        <v/>
      </c>
      <c r="K71">
        <f>SUM('Monthly Potable (Meters)'!C72)+SUM('Monthly Potable (Meters)'!I72)+SUM('Monthly Potable (Meters)'!L72)+SUM('Monthly Potable (Meters)'!N72)+SUM('Monthly Potable (Meters)'!Q72)+SUM('Monthly Potable (Meters)'!U72)+SUM('Monthly Potable (Meters)'!X72)+SUM('Monthly Potable (Meters)'!AB72:AD72)+SUM('Monthly Potable (Meters)'!BF72)+SUM('Monthly Potable (Meters)'!BI72)+SUM('Monthly Potable (Meters)'!BL72)+SUM('Monthly Potable (Meters)'!BO72)+SUM('Monthly Potable (Meters)'!BR72)+SUM('Monthly Potable (Meters)'!BV72)+SUM('Monthly Potable (Meters)'!BY72)+SUM('Monthly Potable (Meters)'!CC72)+SUM('Monthly Potable (Meters)'!CE72)+SUM('Monthly Potable (Meters)'!CH72:CM72)+SUM('Monthly Potable (Meters)'!CO72:DI72)</f>
        <v/>
      </c>
      <c r="L71">
        <f>SUM('Monthly Potable (Meters)'!E72)</f>
        <v/>
      </c>
      <c r="M71">
        <f>SUM('Monthly Potable (Meters)'!AA72)</f>
        <v/>
      </c>
    </row>
    <row r="72" ht="16" customHeight="1">
      <c r="A72" s="156" t="n">
        <v>45505</v>
      </c>
      <c r="B72">
        <f>SUM('Monthly Potable (Meters)'!D73)</f>
        <v/>
      </c>
      <c r="C72">
        <f>SUM('Monthly Potable (Meters)'!P73)+SUM('Monthly Potable (Meters)'!R73)+SUM('Monthly Potable (Meters)'!T73)+SUM('Monthly Potable (Meters)'!V73)+SUM('Monthly Potable (Meters)'!W73)</f>
        <v/>
      </c>
      <c r="D72">
        <f>SUM('Monthly Potable (Meters)'!M73)</f>
        <v/>
      </c>
      <c r="E72">
        <f>SUM('Monthly Potable (Meters)'!O73)</f>
        <v/>
      </c>
      <c r="F72">
        <f>SUM('Monthly Potable (Meters)'!BA73:BE73)+SUM('Monthly Potable (Meters)'!BG73:BH73)+SUM('Monthly Potable (Meters)'!BJ73:BK73)+SUM('Monthly Potable (Meters)'!BM73:BN73)+SUM('Monthly Potable (Meters)'!BP73:BQ73)+SUM('Monthly Potable (Meters)'!BS73:BU73)+SUM('Monthly Potable (Meters)'!BW73:BX73)+SUM('Monthly Potable (Meters)'!BZ73:CB73)+SUM('Monthly Potable (Meters)'!CD73:CF73)</f>
        <v/>
      </c>
      <c r="G72">
        <f>SUM('Monthly Potable (Meters)'!B73)+SUM('Monthly Potable (Meters)'!S73)</f>
        <v/>
      </c>
      <c r="H72">
        <f>SUM('Monthly Potable (Meters)'!G73:H73)+SUM('Monthly Potable (Meters)'!J73:K73)+SUM('Monthly Potable (Meters)'!Y73:Z73)</f>
        <v/>
      </c>
      <c r="I72">
        <f>SUM('Monthly Potable (Meters)'!AE73:AG73)+SUM('Monthly Potable (Meters)'!AI73)+SUM('Monthly Potable (Meters)'!AK73:AZ73)</f>
        <v/>
      </c>
      <c r="J72">
        <f>SUM('Monthly Potable (Meters)'!AH73)+SUM('Monthly Potable (Meters)'!AJ73)</f>
        <v/>
      </c>
      <c r="K72">
        <f>SUM('Monthly Potable (Meters)'!C73)+SUM('Monthly Potable (Meters)'!I73)+SUM('Monthly Potable (Meters)'!L73)+SUM('Monthly Potable (Meters)'!N73)+SUM('Monthly Potable (Meters)'!Q73)+SUM('Monthly Potable (Meters)'!U73)+SUM('Monthly Potable (Meters)'!X73)+SUM('Monthly Potable (Meters)'!AB73:AD73)+SUM('Monthly Potable (Meters)'!BF73)+SUM('Monthly Potable (Meters)'!BI73)+SUM('Monthly Potable (Meters)'!BL73)+SUM('Monthly Potable (Meters)'!BO73)+SUM('Monthly Potable (Meters)'!BR73)+SUM('Monthly Potable (Meters)'!BV73)+SUM('Monthly Potable (Meters)'!BY73)+SUM('Monthly Potable (Meters)'!CC73)+SUM('Monthly Potable (Meters)'!CE73)+SUM('Monthly Potable (Meters)'!CH73:CM73)+SUM('Monthly Potable (Meters)'!CO73:DI73)</f>
        <v/>
      </c>
      <c r="L72">
        <f>SUM('Monthly Potable (Meters)'!E73)</f>
        <v/>
      </c>
      <c r="M72">
        <f>SUM('Monthly Potable (Meters)'!AA73)</f>
        <v/>
      </c>
    </row>
    <row r="73" ht="16" customHeight="1">
      <c r="A73" s="156" t="n">
        <v>45536</v>
      </c>
      <c r="B73">
        <f>SUM('Monthly Potable (Meters)'!D74)</f>
        <v/>
      </c>
      <c r="C73">
        <f>SUM('Monthly Potable (Meters)'!P74)+SUM('Monthly Potable (Meters)'!R74)+SUM('Monthly Potable (Meters)'!T74)+SUM('Monthly Potable (Meters)'!V74)+SUM('Monthly Potable (Meters)'!W74)</f>
        <v/>
      </c>
      <c r="D73">
        <f>SUM('Monthly Potable (Meters)'!M74)</f>
        <v/>
      </c>
      <c r="E73">
        <f>SUM('Monthly Potable (Meters)'!O74)</f>
        <v/>
      </c>
      <c r="F73">
        <f>SUM('Monthly Potable (Meters)'!BA74:BE74)+SUM('Monthly Potable (Meters)'!BG74:BH74)+SUM('Monthly Potable (Meters)'!BJ74:BK74)+SUM('Monthly Potable (Meters)'!BM74:BN74)+SUM('Monthly Potable (Meters)'!BP74:BQ74)+SUM('Monthly Potable (Meters)'!BS74:BU74)+SUM('Monthly Potable (Meters)'!BW74:BX74)+SUM('Monthly Potable (Meters)'!BZ74:CB74)+SUM('Monthly Potable (Meters)'!CD74:CF74)</f>
        <v/>
      </c>
      <c r="G73">
        <f>SUM('Monthly Potable (Meters)'!B74)+SUM('Monthly Potable (Meters)'!S74)</f>
        <v/>
      </c>
      <c r="H73">
        <f>SUM('Monthly Potable (Meters)'!G74:H74)+SUM('Monthly Potable (Meters)'!J74:K74)+SUM('Monthly Potable (Meters)'!Y74:Z74)</f>
        <v/>
      </c>
      <c r="I73">
        <f>SUM('Monthly Potable (Meters)'!AE74:AG74)+SUM('Monthly Potable (Meters)'!AI74)+SUM('Monthly Potable (Meters)'!AK74:AZ74)</f>
        <v/>
      </c>
      <c r="J73">
        <f>SUM('Monthly Potable (Meters)'!AH74)+SUM('Monthly Potable (Meters)'!AJ74)</f>
        <v/>
      </c>
      <c r="K73">
        <f>SUM('Monthly Potable (Meters)'!C74)+SUM('Monthly Potable (Meters)'!I74)+SUM('Monthly Potable (Meters)'!L74)+SUM('Monthly Potable (Meters)'!N74)+SUM('Monthly Potable (Meters)'!Q74)+SUM('Monthly Potable (Meters)'!U74)+SUM('Monthly Potable (Meters)'!X74)+SUM('Monthly Potable (Meters)'!AB74:AD74)+SUM('Monthly Potable (Meters)'!BF74)+SUM('Monthly Potable (Meters)'!BI74)+SUM('Monthly Potable (Meters)'!BL74)+SUM('Monthly Potable (Meters)'!BO74)+SUM('Monthly Potable (Meters)'!BR74)+SUM('Monthly Potable (Meters)'!BV74)+SUM('Monthly Potable (Meters)'!BY74)+SUM('Monthly Potable (Meters)'!CC74)+SUM('Monthly Potable (Meters)'!CE74)+SUM('Monthly Potable (Meters)'!CH74:CM74)+SUM('Monthly Potable (Meters)'!CO74:DI74)</f>
        <v/>
      </c>
      <c r="L73">
        <f>SUM('Monthly Potable (Meters)'!E74)</f>
        <v/>
      </c>
      <c r="M73">
        <f>SUM('Monthly Potable (Meters)'!AA74)</f>
        <v/>
      </c>
    </row>
    <row r="74">
      <c r="A74" t="inlineStr">
        <is>
          <t>2023/24</t>
        </is>
      </c>
      <c r="B74">
        <f>SUM(B59:B61)</f>
        <v/>
      </c>
      <c r="C74">
        <f>SUM(C59:C61)</f>
        <v/>
      </c>
      <c r="D74">
        <f>SUM(D59:D61)</f>
        <v/>
      </c>
      <c r="E74">
        <f>SUM(E59:E61)</f>
        <v/>
      </c>
      <c r="F74">
        <f>SUM(F59:F61)</f>
        <v/>
      </c>
      <c r="G74">
        <f>SUM(G59:G61)</f>
        <v/>
      </c>
      <c r="H74">
        <f>SUM(H59:H61)</f>
        <v/>
      </c>
      <c r="I74">
        <f>SUM(I59:I61)</f>
        <v/>
      </c>
      <c r="J74">
        <f>SUM(J59:J61)</f>
        <v/>
      </c>
      <c r="K74">
        <f>SUM(K59:K61)</f>
        <v/>
      </c>
      <c r="L74">
        <f>SUM(L59:L61)</f>
        <v/>
      </c>
      <c r="M74">
        <f>SUM(M59:M61)</f>
        <v/>
      </c>
    </row>
    <row r="75">
      <c r="A75" t="inlineStr">
        <is>
          <t>2024/25</t>
        </is>
      </c>
      <c r="B75">
        <f>SUM(B71:B73)</f>
        <v/>
      </c>
      <c r="C75">
        <f>SUM(C71:C73)</f>
        <v/>
      </c>
      <c r="D75">
        <f>SUM(D71:D73)</f>
        <v/>
      </c>
      <c r="E75">
        <f>SUM(E71:E73)</f>
        <v/>
      </c>
      <c r="F75">
        <f>SUM(F71:F73)</f>
        <v/>
      </c>
      <c r="G75">
        <f>SUM(G71:G73)</f>
        <v/>
      </c>
      <c r="H75">
        <f>SUM(H71:H73)</f>
        <v/>
      </c>
      <c r="I75">
        <f>SUM(I71:I73)</f>
        <v/>
      </c>
      <c r="J75">
        <f>SUM(J71:J73)</f>
        <v/>
      </c>
      <c r="K75">
        <f>SUM(K71:K73)</f>
        <v/>
      </c>
      <c r="L75">
        <f>SUM(L71:L73)</f>
        <v/>
      </c>
      <c r="M75">
        <f>SUM(M71:M73)</f>
        <v/>
      </c>
    </row>
    <row r="76">
      <c r="B76" s="336">
        <f>(B75-B74)/B74</f>
        <v/>
      </c>
      <c r="C76" s="336">
        <f>(C75-C74)/C74</f>
        <v/>
      </c>
      <c r="D76" s="336">
        <f>(D75-D74)/D74</f>
        <v/>
      </c>
      <c r="E76" s="336">
        <f>(E75-E74)/E74</f>
        <v/>
      </c>
      <c r="F76" s="336">
        <f>(F75-F74)/F74</f>
        <v/>
      </c>
      <c r="G76" s="336">
        <f>(G75-G74)/G74</f>
        <v/>
      </c>
      <c r="H76" s="336">
        <f>(H75-H74)/H74</f>
        <v/>
      </c>
      <c r="I76" s="336">
        <f>(I75-I74)/I74</f>
        <v/>
      </c>
      <c r="J76" s="336">
        <f>(J75-J74)/J74</f>
        <v/>
      </c>
      <c r="K76" s="336">
        <f>(K75-K74)/K74</f>
        <v/>
      </c>
      <c r="L76" s="336">
        <f>(L75-L74)/L74</f>
        <v/>
      </c>
      <c r="M76" s="336">
        <f>(M75-M74)/M74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I1" zoomScale="86" workbookViewId="0">
      <selection activeCell="N10" sqref="N10"/>
    </sheetView>
  </sheetViews>
  <sheetFormatPr baseColWidth="10" defaultColWidth="8.6640625" defaultRowHeight="16"/>
  <cols>
    <col width="10.6640625" customWidth="1" style="120" min="1" max="1"/>
    <col width="13.33203125" customWidth="1" style="1" min="2" max="6"/>
    <col width="15" bestFit="1" customWidth="1" style="1" min="7" max="7"/>
    <col width="13.33203125" customWidth="1" style="1" min="8" max="9"/>
    <col width="14.1640625" bestFit="1" customWidth="1" style="1" min="10" max="10"/>
    <col width="17.6640625" bestFit="1" customWidth="1" style="1" min="11" max="11"/>
    <col width="15.6640625" customWidth="1" style="1" min="12" max="13"/>
    <col width="11.1640625" bestFit="1" customWidth="1" style="1" min="14" max="14"/>
    <col width="11.1640625" customWidth="1" style="1" min="15" max="15"/>
    <col width="14.6640625" customWidth="1" style="1" min="16" max="16"/>
    <col width="10.1640625" customWidth="1" style="1" min="17" max="17"/>
    <col width="11.1640625" bestFit="1" customWidth="1" style="1" min="18" max="18"/>
    <col width="15.6640625" bestFit="1" customWidth="1" style="1" min="19" max="19"/>
    <col width="8.6640625" customWidth="1" style="1" min="20" max="16384"/>
  </cols>
  <sheetData>
    <row r="1" ht="34" customHeight="1">
      <c r="A1" s="118" t="n"/>
      <c r="B1" s="116" t="inlineStr">
        <is>
          <t>Paper</t>
        </is>
      </c>
      <c r="C1" s="116" t="inlineStr">
        <is>
          <t>Metal</t>
        </is>
      </c>
      <c r="D1" s="116" t="inlineStr">
        <is>
          <t>Plastic</t>
        </is>
      </c>
      <c r="E1" s="116" t="inlineStr">
        <is>
          <t>Glass</t>
        </is>
      </c>
      <c r="F1" s="116" t="inlineStr">
        <is>
          <t>Food Waste</t>
        </is>
      </c>
      <c r="G1" s="116" t="inlineStr">
        <is>
          <t>Animal Bedding</t>
        </is>
      </c>
      <c r="H1" s="116" t="inlineStr">
        <is>
          <t>Landscape</t>
        </is>
      </c>
      <c r="I1" s="116" t="inlineStr">
        <is>
          <t>Wood</t>
        </is>
      </c>
      <c r="J1" s="116" t="inlineStr">
        <is>
          <t>Electrical Appliances</t>
        </is>
      </c>
      <c r="K1" s="116" t="inlineStr">
        <is>
          <t>Other</t>
        </is>
      </c>
      <c r="L1" s="357" t="inlineStr">
        <is>
          <t xml:space="preserve">Landfill </t>
        </is>
      </c>
      <c r="M1" s="540" t="inlineStr">
        <is>
          <t>Total Reycling</t>
        </is>
      </c>
      <c r="N1" s="116" t="inlineStr">
        <is>
          <t>Capita Number</t>
        </is>
      </c>
      <c r="O1" s="116" t="inlineStr">
        <is>
          <t>Recycling per capita</t>
        </is>
      </c>
      <c r="P1" s="540" t="inlineStr">
        <is>
          <t>Landfill per capita</t>
        </is>
      </c>
      <c r="Q1" s="116" t="inlineStr">
        <is>
          <t>Diversion rate</t>
        </is>
      </c>
    </row>
    <row r="2" ht="17" customHeight="1">
      <c r="A2" s="119" t="inlineStr">
        <is>
          <t>2014/15</t>
        </is>
      </c>
      <c r="B2" s="117" t="n">
        <v>76830</v>
      </c>
      <c r="C2" s="14">
        <f>'Yearly Recycling'!C6</f>
        <v/>
      </c>
      <c r="D2" s="15">
        <f>'Yearly Recycling'!D6</f>
        <v/>
      </c>
      <c r="E2" s="14">
        <f>'Yearly Recycling'!E6</f>
        <v/>
      </c>
      <c r="F2" s="681">
        <f>'Yearly Recycling'!F6</f>
        <v/>
      </c>
      <c r="G2" s="14">
        <f>'Yearly Recycling'!G6</f>
        <v/>
      </c>
      <c r="H2" s="14">
        <f>'Yearly Recycling'!H6</f>
        <v/>
      </c>
      <c r="I2" s="14">
        <f>'Yearly Recycling'!I6</f>
        <v/>
      </c>
      <c r="J2" s="14">
        <f>'Yearly Recycling'!J6</f>
        <v/>
      </c>
      <c r="K2" s="15">
        <f>'Yearly Recycling'!K6</f>
        <v/>
      </c>
      <c r="L2" s="541">
        <f>'Yearly Recycling'!L6</f>
        <v/>
      </c>
      <c r="M2" s="542">
        <f>SUM(B2:K2)</f>
        <v/>
      </c>
      <c r="N2" s="14">
        <f>'Yearly GHG (mCO2)'!G6</f>
        <v/>
      </c>
      <c r="O2" s="14">
        <f>M2/N2</f>
        <v/>
      </c>
      <c r="P2" s="542">
        <f>L2/N2</f>
        <v/>
      </c>
      <c r="Q2" s="153">
        <f>M2/(L2+M2)</f>
        <v/>
      </c>
    </row>
    <row r="3" ht="17" customHeight="1">
      <c r="A3" s="119" t="inlineStr">
        <is>
          <t>2015/16</t>
        </is>
      </c>
      <c r="B3" s="62" t="n">
        <v>73386.84999800001</v>
      </c>
      <c r="C3" s="14">
        <f>'Yearly Recycling'!C7</f>
        <v/>
      </c>
      <c r="D3" s="15">
        <f>'Yearly Recycling'!D7</f>
        <v/>
      </c>
      <c r="E3" s="14">
        <f>'Yearly Recycling'!E7</f>
        <v/>
      </c>
      <c r="F3" s="681">
        <f>'Yearly Recycling'!F7</f>
        <v/>
      </c>
      <c r="G3" s="14">
        <f>'Yearly Recycling'!G7</f>
        <v/>
      </c>
      <c r="H3" s="14">
        <f>'Yearly Recycling'!H7</f>
        <v/>
      </c>
      <c r="I3" s="14">
        <f>'Yearly Recycling'!I7</f>
        <v/>
      </c>
      <c r="J3" s="14">
        <f>'Yearly Recycling'!J7</f>
        <v/>
      </c>
      <c r="K3" s="15">
        <f>'Yearly Recycling'!K7</f>
        <v/>
      </c>
      <c r="L3" s="541">
        <f>'Yearly Recycling'!L7</f>
        <v/>
      </c>
      <c r="M3" s="542">
        <f>SUM(B3:K3)</f>
        <v/>
      </c>
      <c r="N3" s="14">
        <f>'Yearly GHG (mCO2)'!G7</f>
        <v/>
      </c>
      <c r="O3" s="14">
        <f>M3/N3</f>
        <v/>
      </c>
      <c r="P3" s="542">
        <f>L3/N3</f>
        <v/>
      </c>
      <c r="Q3" s="153">
        <f>M3/(L3+M3)</f>
        <v/>
      </c>
    </row>
    <row r="4" ht="17" customHeight="1">
      <c r="A4" s="119" t="inlineStr">
        <is>
          <t>2016/17</t>
        </is>
      </c>
      <c r="B4" s="62" t="n">
        <v>126070.099999</v>
      </c>
      <c r="C4" s="14">
        <f>'Yearly Recycling'!C8</f>
        <v/>
      </c>
      <c r="D4" s="15">
        <f>'Yearly Recycling'!D8</f>
        <v/>
      </c>
      <c r="E4" s="14">
        <f>'Yearly Recycling'!E8</f>
        <v/>
      </c>
      <c r="F4" s="681">
        <f>'Yearly Recycling'!F8</f>
        <v/>
      </c>
      <c r="G4" s="14">
        <f>'Yearly Recycling'!G8</f>
        <v/>
      </c>
      <c r="H4" s="14">
        <f>'Yearly Recycling'!H8</f>
        <v/>
      </c>
      <c r="I4" s="14">
        <f>'Yearly Recycling'!I8</f>
        <v/>
      </c>
      <c r="J4" s="14">
        <f>'Yearly Recycling'!J8</f>
        <v/>
      </c>
      <c r="K4" s="15">
        <f>'Yearly Recycling'!K8</f>
        <v/>
      </c>
      <c r="L4" s="541">
        <f>'Yearly Recycling'!L8</f>
        <v/>
      </c>
      <c r="M4" s="542">
        <f>SUM(B4:K4)</f>
        <v/>
      </c>
      <c r="N4" s="14">
        <f>'Yearly GHG (mCO2)'!G8</f>
        <v/>
      </c>
      <c r="O4" s="14">
        <f>M4/N4</f>
        <v/>
      </c>
      <c r="P4" s="542">
        <f>L4/N4</f>
        <v/>
      </c>
      <c r="Q4" s="153">
        <f>M4/(L4+M4)</f>
        <v/>
      </c>
    </row>
    <row r="5" ht="17" customHeight="1">
      <c r="A5" s="119" t="inlineStr">
        <is>
          <t>2017/18</t>
        </is>
      </c>
      <c r="B5" s="62" t="n">
        <v>128138.75</v>
      </c>
      <c r="C5" s="14">
        <f>'Yearly Recycling'!C9</f>
        <v/>
      </c>
      <c r="D5" s="15">
        <f>'Yearly Recycling'!D9</f>
        <v/>
      </c>
      <c r="E5" s="14">
        <f>'Yearly Recycling'!E9</f>
        <v/>
      </c>
      <c r="F5" s="681">
        <f>'Yearly Recycling'!F9</f>
        <v/>
      </c>
      <c r="G5" s="14">
        <f>'Yearly Recycling'!G9</f>
        <v/>
      </c>
      <c r="H5" s="14">
        <f>'Yearly Recycling'!H9</f>
        <v/>
      </c>
      <c r="I5" s="14">
        <f>'Yearly Recycling'!I9</f>
        <v/>
      </c>
      <c r="J5" s="14">
        <f>'Yearly Recycling'!J9</f>
        <v/>
      </c>
      <c r="K5" s="15">
        <f>'Yearly Recycling'!K9</f>
        <v/>
      </c>
      <c r="L5" s="541">
        <f>'Yearly Recycling'!L9</f>
        <v/>
      </c>
      <c r="M5" s="542">
        <f>SUM(B5:K5)</f>
        <v/>
      </c>
      <c r="N5" s="14">
        <f>'Yearly GHG (mCO2)'!G9</f>
        <v/>
      </c>
      <c r="O5" s="14">
        <f>M5/N5</f>
        <v/>
      </c>
      <c r="P5" s="542">
        <f>L5/N5</f>
        <v/>
      </c>
      <c r="Q5" s="153">
        <f>M5/(L5+M5)</f>
        <v/>
      </c>
    </row>
    <row r="6" ht="17" customHeight="1">
      <c r="A6" s="119" t="inlineStr">
        <is>
          <t>2018/19</t>
        </is>
      </c>
      <c r="B6" s="62" t="n">
        <v>116432</v>
      </c>
      <c r="C6" s="14">
        <f>'Yearly Recycling'!C10</f>
        <v/>
      </c>
      <c r="D6" s="15">
        <f>'Yearly Recycling'!D10</f>
        <v/>
      </c>
      <c r="E6" s="14">
        <f>'Yearly Recycling'!E10</f>
        <v/>
      </c>
      <c r="F6" s="681">
        <f>'Yearly Recycling'!F10</f>
        <v/>
      </c>
      <c r="G6" s="14">
        <f>'Yearly Recycling'!G10</f>
        <v/>
      </c>
      <c r="H6" s="14">
        <f>'Yearly Recycling'!H10</f>
        <v/>
      </c>
      <c r="I6" s="14">
        <f>'Yearly Recycling'!I10</f>
        <v/>
      </c>
      <c r="J6" s="14">
        <f>'Yearly Recycling'!J10</f>
        <v/>
      </c>
      <c r="K6" s="15">
        <f>'Yearly Recycling'!K10</f>
        <v/>
      </c>
      <c r="L6" s="541">
        <f>'Yearly Recycling'!L10</f>
        <v/>
      </c>
      <c r="M6" s="542">
        <f>SUM(B6:K6)</f>
        <v/>
      </c>
      <c r="N6" s="14">
        <f>'Yearly GHG (mCO2)'!G10</f>
        <v/>
      </c>
      <c r="O6" s="14">
        <f>M6/N6</f>
        <v/>
      </c>
      <c r="P6" s="542">
        <f>L6/N6</f>
        <v/>
      </c>
      <c r="Q6" s="153">
        <f>M6/(L6+M6)</f>
        <v/>
      </c>
    </row>
    <row r="7" ht="17" customHeight="1">
      <c r="A7" s="119" t="inlineStr">
        <is>
          <t>2019/20</t>
        </is>
      </c>
      <c r="B7" s="62" t="n">
        <v>152149.6</v>
      </c>
      <c r="C7" s="14">
        <f>'Yearly Recycling'!C11</f>
        <v/>
      </c>
      <c r="D7" s="15">
        <f>'Yearly Recycling'!D11</f>
        <v/>
      </c>
      <c r="E7" s="14">
        <f>'Yearly Recycling'!E11</f>
        <v/>
      </c>
      <c r="F7" s="681">
        <f>'Yearly Recycling'!F11</f>
        <v/>
      </c>
      <c r="G7" s="14">
        <f>'Yearly Recycling'!G11</f>
        <v/>
      </c>
      <c r="H7" s="14">
        <f>'Yearly Recycling'!H11</f>
        <v/>
      </c>
      <c r="I7" s="14">
        <f>'Yearly Recycling'!I11</f>
        <v/>
      </c>
      <c r="J7" s="14">
        <f>'Yearly Recycling'!J11</f>
        <v/>
      </c>
      <c r="K7" s="15">
        <f>'Yearly Recycling'!K11</f>
        <v/>
      </c>
      <c r="L7" s="541">
        <f>'Yearly Recycling'!L11</f>
        <v/>
      </c>
      <c r="M7" s="542">
        <f>SUM(B7:K7)</f>
        <v/>
      </c>
      <c r="N7" s="14">
        <f>'Yearly GHG (mCO2)'!G11</f>
        <v/>
      </c>
      <c r="O7" s="14">
        <f>M7/N7</f>
        <v/>
      </c>
      <c r="P7" s="542">
        <f>L7/N7</f>
        <v/>
      </c>
      <c r="Q7" s="153">
        <f>M7/(L7+M7)</f>
        <v/>
      </c>
    </row>
    <row r="8" ht="17" customHeight="1">
      <c r="A8" s="119" t="inlineStr">
        <is>
          <t>2020/21</t>
        </is>
      </c>
      <c r="B8" s="62" t="n">
        <v>158697</v>
      </c>
      <c r="C8" s="14">
        <f>'Yearly Recycling'!C12</f>
        <v/>
      </c>
      <c r="D8" s="15">
        <f>'Yearly Recycling'!D12</f>
        <v/>
      </c>
      <c r="E8" s="14">
        <f>'Yearly Recycling'!E12</f>
        <v/>
      </c>
      <c r="F8" s="681">
        <f>'Yearly Recycling'!F12</f>
        <v/>
      </c>
      <c r="G8" s="14">
        <f>'Yearly Recycling'!G12</f>
        <v/>
      </c>
      <c r="H8" s="14">
        <f>'Yearly Recycling'!H12</f>
        <v/>
      </c>
      <c r="I8" s="14">
        <f>'Yearly Recycling'!I12</f>
        <v/>
      </c>
      <c r="J8" s="14">
        <f>'Yearly Recycling'!J12</f>
        <v/>
      </c>
      <c r="K8" s="15">
        <f>'Yearly Recycling'!K12</f>
        <v/>
      </c>
      <c r="L8" s="541">
        <f>'Yearly Recycling'!L12</f>
        <v/>
      </c>
      <c r="M8" s="542">
        <f>SUM(B8:K8)</f>
        <v/>
      </c>
      <c r="N8" s="14">
        <f>'Yearly GHG (mCO2)'!G12</f>
        <v/>
      </c>
      <c r="O8" s="14">
        <f>M8/N8</f>
        <v/>
      </c>
      <c r="P8" s="542">
        <f>L8/N8</f>
        <v/>
      </c>
      <c r="Q8" s="153">
        <f>M8/(L8+M8)</f>
        <v/>
      </c>
    </row>
    <row r="9" ht="17" customHeight="1">
      <c r="A9" s="119" t="inlineStr">
        <is>
          <t>2021/22</t>
        </is>
      </c>
      <c r="B9" s="62" t="n">
        <v>153272</v>
      </c>
      <c r="C9" s="14">
        <f>'Yearly Recycling'!C13</f>
        <v/>
      </c>
      <c r="D9" s="15">
        <f>'Yearly Recycling'!D13</f>
        <v/>
      </c>
      <c r="E9" s="14">
        <f>'Yearly Recycling'!E13</f>
        <v/>
      </c>
      <c r="F9" s="681">
        <f>'Yearly Recycling'!F13</f>
        <v/>
      </c>
      <c r="G9" s="14">
        <f>'Yearly Recycling'!G13</f>
        <v/>
      </c>
      <c r="H9" s="14">
        <f>'Yearly Recycling'!H13</f>
        <v/>
      </c>
      <c r="I9" s="14">
        <f>'Yearly Recycling'!I13</f>
        <v/>
      </c>
      <c r="J9" s="14">
        <f>'Yearly Recycling'!J13</f>
        <v/>
      </c>
      <c r="K9" s="15">
        <f>'Yearly Recycling'!K13</f>
        <v/>
      </c>
      <c r="L9" s="541">
        <f>'Yearly Recycling'!L13</f>
        <v/>
      </c>
      <c r="M9" s="542">
        <f>SUM(B9:K9)</f>
        <v/>
      </c>
      <c r="N9" s="14">
        <f>'Yearly GHG (mCO2)'!G13</f>
        <v/>
      </c>
      <c r="O9" s="14">
        <f>M9/N9</f>
        <v/>
      </c>
      <c r="P9" s="542">
        <f>L9/N9</f>
        <v/>
      </c>
      <c r="Q9" s="153">
        <f>M9/(L9+M9)</f>
        <v/>
      </c>
    </row>
    <row r="10" ht="17" customHeight="1">
      <c r="A10" s="119" t="inlineStr">
        <is>
          <t>2022/23</t>
        </is>
      </c>
      <c r="B10" s="62" t="n">
        <v>134937</v>
      </c>
      <c r="C10" s="14">
        <f>'Yearly Recycling'!C14</f>
        <v/>
      </c>
      <c r="D10" s="15">
        <f>'Yearly Recycling'!D14</f>
        <v/>
      </c>
      <c r="E10" s="14">
        <f>'Yearly Recycling'!E14</f>
        <v/>
      </c>
      <c r="F10" s="681">
        <f>'Yearly Recycling'!F14</f>
        <v/>
      </c>
      <c r="G10" s="14">
        <f>'Yearly Recycling'!G14</f>
        <v/>
      </c>
      <c r="H10" s="14">
        <f>'Yearly Recycling'!H14</f>
        <v/>
      </c>
      <c r="I10" s="14">
        <f>'Yearly Recycling'!I14</f>
        <v/>
      </c>
      <c r="J10" s="14">
        <f>'Yearly Recycling'!J14</f>
        <v/>
      </c>
      <c r="K10" s="15">
        <f>'Yearly Recycling'!K14</f>
        <v/>
      </c>
      <c r="L10" s="541">
        <f>'Yearly Recycling'!L14</f>
        <v/>
      </c>
      <c r="M10" s="542">
        <f>SUM(B10:K10)</f>
        <v/>
      </c>
      <c r="N10" s="14">
        <f>'Yearly GHG (mCO2)'!G14</f>
        <v/>
      </c>
      <c r="O10" s="14">
        <f>M10/N10</f>
        <v/>
      </c>
      <c r="P10" s="542">
        <f>L10/N10</f>
        <v/>
      </c>
      <c r="Q10" s="153">
        <f>M10/(L10+M10)</f>
        <v/>
      </c>
    </row>
    <row r="11">
      <c r="A11" s="120" t="inlineStr">
        <is>
          <t>2023/24</t>
        </is>
      </c>
      <c r="B11" s="62">
        <f>'Yearly Recycling'!B15</f>
        <v/>
      </c>
      <c r="C11" s="14">
        <f>'Yearly Recycling'!C15</f>
        <v/>
      </c>
      <c r="D11" s="15">
        <f>'Yearly Recycling'!D15</f>
        <v/>
      </c>
      <c r="E11" s="14">
        <f>'Yearly Recycling'!E15</f>
        <v/>
      </c>
      <c r="F11" s="681">
        <f>'Yearly Recycling'!F15</f>
        <v/>
      </c>
      <c r="G11" s="14">
        <f>'Yearly Recycling'!G15</f>
        <v/>
      </c>
      <c r="H11" s="14">
        <f>'Yearly Recycling'!H15</f>
        <v/>
      </c>
      <c r="I11" s="14">
        <f>'Yearly Recycling'!I15</f>
        <v/>
      </c>
      <c r="J11" s="14">
        <f>'Yearly Recycling'!J15</f>
        <v/>
      </c>
      <c r="K11" s="15">
        <f>'Yearly Recycling'!K15</f>
        <v/>
      </c>
      <c r="L11" s="541">
        <f>'Yearly Recycling'!L15</f>
        <v/>
      </c>
      <c r="M11" s="542">
        <f>SUM(B11:K11)</f>
        <v/>
      </c>
      <c r="N11" s="14">
        <f>'Yearly GHG (mCO2)'!G15</f>
        <v/>
      </c>
      <c r="O11" s="14">
        <f>M11/N11</f>
        <v/>
      </c>
      <c r="P11" s="542">
        <f>L11/N11</f>
        <v/>
      </c>
      <c r="Q11" s="153">
        <f>M11/(L11+M11)</f>
        <v/>
      </c>
      <c r="R11" s="163" t="n"/>
    </row>
    <row r="12">
      <c r="A12" s="120" t="inlineStr">
        <is>
          <t>2024/25</t>
        </is>
      </c>
      <c r="B12" s="62">
        <f>'Yearly Recycling'!B16</f>
        <v/>
      </c>
      <c r="C12" s="14">
        <f>'Yearly Recycling'!C16</f>
        <v/>
      </c>
      <c r="D12" s="62">
        <f>'Yearly Recycling'!D16</f>
        <v/>
      </c>
      <c r="E12" s="14">
        <f>'Yearly Recycling'!E16</f>
        <v/>
      </c>
      <c r="F12" s="681">
        <f>'Yearly Recycling'!F16</f>
        <v/>
      </c>
      <c r="G12" s="14">
        <f>'Yearly Recycling'!G16</f>
        <v/>
      </c>
      <c r="H12" s="14">
        <f>'Yearly Recycling'!H16</f>
        <v/>
      </c>
      <c r="I12" s="14">
        <f>'Yearly Recycling'!I16</f>
        <v/>
      </c>
      <c r="J12" s="14">
        <f>'Yearly Recycling'!J16</f>
        <v/>
      </c>
      <c r="K12" s="62">
        <f>'Yearly Recycling'!K16</f>
        <v/>
      </c>
      <c r="L12" s="541">
        <f>'Yearly Recycling'!L16</f>
        <v/>
      </c>
      <c r="M12" s="543">
        <f>SUM(B12:K12)</f>
        <v/>
      </c>
      <c r="N12" s="14">
        <f>4593+19284</f>
        <v/>
      </c>
      <c r="O12" s="14">
        <f>M12/N12</f>
        <v/>
      </c>
      <c r="P12" s="542">
        <f>L12/N12</f>
        <v/>
      </c>
      <c r="Q12" s="153">
        <f>M12/(L12+M12)</f>
        <v/>
      </c>
      <c r="R12" s="163">
        <f>(L2-L12)/L2</f>
        <v/>
      </c>
      <c r="S12" s="732">
        <f>25*L2</f>
        <v/>
      </c>
    </row>
    <row r="13">
      <c r="A13" s="120" t="inlineStr">
        <is>
          <t>2025/26</t>
        </is>
      </c>
      <c r="B13" s="62">
        <f>'Yearly Recycling'!B17</f>
        <v/>
      </c>
      <c r="C13" s="14">
        <f>'Yearly Recycling'!C17</f>
        <v/>
      </c>
      <c r="D13" s="15">
        <f>'Yearly Recycling'!D17</f>
        <v/>
      </c>
      <c r="E13" s="14">
        <f>'Yearly Recycling'!E17</f>
        <v/>
      </c>
      <c r="F13" s="681">
        <f>'Yearly Recycling'!F17</f>
        <v/>
      </c>
      <c r="G13" s="14">
        <f>'Yearly Recycling'!G17</f>
        <v/>
      </c>
      <c r="H13" s="14">
        <f>'Yearly Recycling'!H17</f>
        <v/>
      </c>
      <c r="I13" s="14">
        <f>'Yearly Recycling'!I17</f>
        <v/>
      </c>
      <c r="J13" s="14">
        <f>'Yearly Recycling'!J17</f>
        <v/>
      </c>
      <c r="K13" s="15">
        <f>'Yearly Recycling'!K17</f>
        <v/>
      </c>
      <c r="L13" s="541">
        <f>'Yearly Recycling'!L17</f>
        <v/>
      </c>
      <c r="M13" s="542">
        <f>SUM(B13:K13)</f>
        <v/>
      </c>
      <c r="N13" s="14">
        <f>'Yearly GHG (mCO2)'!G17</f>
        <v/>
      </c>
      <c r="O13" s="14">
        <f>M13/N13</f>
        <v/>
      </c>
      <c r="P13" s="542">
        <f>L13/N13</f>
        <v/>
      </c>
      <c r="Q13" s="153">
        <f>M13/(L13+M13)</f>
        <v/>
      </c>
      <c r="R13" s="163" t="n"/>
      <c r="S13" s="732" t="n"/>
    </row>
    <row r="14">
      <c r="B14" s="153">
        <f>(B12-B2)/B2</f>
        <v/>
      </c>
      <c r="C14" s="153">
        <f>(C12-C2)/C2</f>
        <v/>
      </c>
      <c r="D14" s="153" t="n"/>
      <c r="E14" s="153" t="n"/>
      <c r="F14" s="153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S14" s="14">
        <f>L2*0.25</f>
        <v/>
      </c>
    </row>
    <row r="15">
      <c r="D15" s="15" t="n"/>
      <c r="F15" s="153" t="n"/>
      <c r="G15" s="14" t="n"/>
      <c r="J15" s="15" t="n"/>
      <c r="K15" s="15" t="n"/>
      <c r="L15" s="500" t="n"/>
      <c r="M15" s="153" t="n"/>
      <c r="N15" s="153" t="n"/>
      <c r="O15" s="153" t="n"/>
      <c r="P15" s="500" t="n"/>
      <c r="S15" s="15">
        <f>S14/12</f>
        <v/>
      </c>
    </row>
    <row r="16">
      <c r="B16" s="153" t="n"/>
      <c r="C16" s="153" t="n"/>
      <c r="D16" s="153" t="n"/>
      <c r="E16" s="153" t="n"/>
      <c r="F16" s="153" t="n"/>
      <c r="G16" s="153" t="n"/>
      <c r="H16" s="153" t="n"/>
      <c r="I16" s="153" t="n"/>
      <c r="J16" s="153" t="n"/>
      <c r="K16" s="153" t="n"/>
      <c r="L16" s="153" t="n"/>
    </row>
    <row r="17">
      <c r="D17" s="15" t="n"/>
      <c r="F17" s="681" t="n"/>
      <c r="G17" s="14" t="n"/>
    </row>
    <row r="18">
      <c r="D18" s="15" t="n"/>
      <c r="G18" s="14" t="n"/>
    </row>
    <row r="19">
      <c r="D19" s="15" t="n"/>
      <c r="G19" s="14" t="n"/>
      <c r="O19" s="163">
        <f>F12/L12</f>
        <v/>
      </c>
      <c r="P19" s="163">
        <f>F12/M12</f>
        <v/>
      </c>
    </row>
    <row r="20">
      <c r="D20" s="15" t="n"/>
      <c r="G20" s="14" t="n"/>
    </row>
    <row r="21">
      <c r="D21" s="15" t="n"/>
      <c r="G21" s="14" t="n"/>
    </row>
    <row r="22">
      <c r="G22" s="14" t="n"/>
    </row>
    <row r="23">
      <c r="G23" s="14" t="n"/>
    </row>
    <row r="24">
      <c r="G24" s="14" t="n"/>
    </row>
    <row r="25">
      <c r="G25" s="14" t="n"/>
    </row>
    <row r="26">
      <c r="G26" s="14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M133"/>
  <sheetViews>
    <sheetView topLeftCell="A115" workbookViewId="0">
      <selection activeCell="A1" sqref="A1"/>
    </sheetView>
  </sheetViews>
  <sheetFormatPr baseColWidth="10" defaultColWidth="10.6640625" defaultRowHeight="16"/>
  <cols>
    <col width="11.6640625" bestFit="1" customWidth="1" style="87" min="1" max="1"/>
    <col width="13.33203125" customWidth="1" style="8" min="2" max="4"/>
    <col width="15.6640625" customWidth="1" style="8" min="5" max="5"/>
    <col width="18.33203125" customWidth="1" style="8" min="6" max="6"/>
    <col width="15.5" customWidth="1" style="8" min="7" max="7"/>
    <col width="18.33203125" customWidth="1" style="8" min="8" max="8"/>
    <col width="10.6640625" customWidth="1" style="8" min="9" max="9"/>
    <col width="18.33203125" customWidth="1" style="8" min="10" max="10"/>
    <col width="15.5" customWidth="1" style="8" min="11" max="12"/>
    <col width="3.33203125" customWidth="1" style="142" min="13" max="13"/>
    <col width="10.6640625" customWidth="1" style="8" min="14" max="14"/>
    <col width="15.6640625" customWidth="1" style="8" min="15" max="21"/>
    <col width="13.33203125" customWidth="1" style="8" min="22" max="22"/>
    <col width="15.6640625" customWidth="1" style="8" min="23" max="28"/>
    <col width="10.6640625" customWidth="1" style="8" min="29" max="29"/>
    <col width="15.6640625" customWidth="1" style="8" min="30" max="31"/>
    <col width="3.33203125" customWidth="1" style="142" min="32" max="32"/>
    <col width="10.6640625" customWidth="1" style="8" min="33" max="33"/>
    <col width="13.33203125" customWidth="1" style="8" min="34" max="38"/>
    <col width="15.6640625" customWidth="1" style="8" min="39" max="39"/>
    <col width="13.33203125" customWidth="1" style="8" min="40" max="41"/>
    <col width="20.6640625" customWidth="1" style="8" min="42" max="42"/>
    <col width="13.33203125" customWidth="1" style="8" min="43" max="43"/>
    <col width="10.6640625" customWidth="1" style="8" min="44" max="44"/>
    <col width="15.6640625" customWidth="1" style="8" min="45" max="45"/>
    <col width="11.6640625" customWidth="1" style="8" min="46" max="46"/>
    <col width="10.6640625" customWidth="1" style="8" min="47" max="49"/>
    <col width="3.33203125" customWidth="1" style="142" min="50" max="50"/>
    <col width="10.6640625" customWidth="1" style="8" min="51" max="51"/>
    <col width="18.33203125" customWidth="1" style="8" min="52" max="52"/>
    <col width="15.6640625" customWidth="1" style="8" min="53" max="53"/>
    <col width="13.33203125" customWidth="1" style="8" min="54" max="57"/>
    <col width="20.6640625" customWidth="1" style="8" min="58" max="58"/>
    <col width="13.33203125" customWidth="1" style="8" min="59" max="59"/>
    <col width="18.6640625" customWidth="1" style="8" min="60" max="60"/>
    <col width="15.6640625" customWidth="1" style="8" min="61" max="61"/>
    <col width="10.6640625" customWidth="1" style="8" min="62" max="67"/>
    <col width="3.33203125" customWidth="1" style="142" min="68" max="68"/>
    <col width="15.6640625" customWidth="1" style="8" min="69" max="69"/>
    <col width="10.6640625" customWidth="1" style="8" min="70" max="73"/>
    <col width="13.33203125" customWidth="1" style="8" min="74" max="74"/>
    <col width="15.6640625" customWidth="1" style="8" min="75" max="75"/>
    <col width="13.33203125" customWidth="1" style="8" min="76" max="76"/>
    <col width="10.6640625" customWidth="1" style="8" min="77" max="77"/>
    <col width="13.33203125" customWidth="1" style="8" min="78" max="78"/>
    <col width="10.6640625" customWidth="1" style="8" min="79" max="80"/>
    <col width="3.33203125" customWidth="1" style="8" min="81" max="81"/>
    <col width="18.33203125" customWidth="1" style="8" min="82" max="82"/>
    <col width="10.6640625" customWidth="1" style="8" min="83" max="86"/>
    <col width="13.33203125" customWidth="1" style="8" min="87" max="87"/>
    <col width="15.6640625" customWidth="1" style="8" min="88" max="88"/>
    <col width="13.33203125" customWidth="1" style="8" min="89" max="89"/>
    <col width="10.6640625" customWidth="1" style="8" min="90" max="90"/>
    <col width="13.33203125" customWidth="1" style="8" min="91" max="91"/>
    <col width="10.6640625" customWidth="1" style="8" min="92" max="93"/>
    <col width="3.33203125" customWidth="1" style="142" min="94" max="94"/>
    <col width="15.6640625" customWidth="1" style="8" min="95" max="95"/>
    <col width="18.33203125" customWidth="1" style="8" min="96" max="96"/>
    <col width="15.6640625" customWidth="1" style="8" min="97" max="97"/>
    <col width="13.33203125" customWidth="1" style="8" min="98" max="101"/>
    <col width="18.33203125" customWidth="1" style="8" min="102" max="102"/>
    <col width="13.33203125" customWidth="1" style="8" min="103" max="103"/>
    <col width="15.6640625" customWidth="1" style="8" min="104" max="104"/>
    <col width="10.6640625" customWidth="1" style="8" min="105" max="105"/>
    <col width="3.33203125" customWidth="1" style="8" min="106" max="106"/>
    <col width="18.33203125" customWidth="1" style="8" min="107" max="108"/>
    <col width="15.6640625" customWidth="1" style="8" min="109" max="109"/>
    <col width="13.33203125" customWidth="1" style="8" min="110" max="113"/>
    <col width="18.33203125" customWidth="1" style="8" min="114" max="114"/>
    <col width="13.33203125" customWidth="1" style="8" min="115" max="115"/>
    <col width="15.6640625" customWidth="1" style="8" min="116" max="116"/>
    <col width="10.6640625" customWidth="1" style="8" min="117" max="16384"/>
  </cols>
  <sheetData>
    <row r="1" ht="51" customFormat="1" customHeight="1" s="619">
      <c r="A1" s="65" t="inlineStr">
        <is>
          <t>Date</t>
        </is>
      </c>
      <c r="B1" s="89" t="inlineStr">
        <is>
          <t>Trash</t>
        </is>
      </c>
      <c r="C1" s="89" t="inlineStr">
        <is>
          <t>Yellow Skip</t>
        </is>
      </c>
      <c r="D1" s="89" t="inlineStr">
        <is>
          <t>Total</t>
        </is>
      </c>
      <c r="E1" s="89" t="inlineStr">
        <is>
          <t>12-Month Rolling Sum</t>
        </is>
      </c>
      <c r="F1" s="89" t="inlineStr">
        <is>
          <t>12-Month Rolling Average</t>
        </is>
      </c>
      <c r="G1" s="141" t="n"/>
      <c r="H1" s="141" t="n"/>
      <c r="J1" s="141" t="n"/>
      <c r="K1" s="141" t="n"/>
      <c r="L1" s="141" t="n"/>
      <c r="M1" s="143" t="n"/>
      <c r="N1" s="89" t="inlineStr">
        <is>
          <t>Date</t>
        </is>
      </c>
      <c r="O1" s="89" t="inlineStr">
        <is>
          <t>Trash</t>
        </is>
      </c>
      <c r="P1" s="89" t="inlineStr">
        <is>
          <t>Office</t>
        </is>
      </c>
      <c r="Q1" s="89" t="inlineStr">
        <is>
          <t>Operations</t>
        </is>
      </c>
      <c r="R1" s="89" t="inlineStr">
        <is>
          <t>Household</t>
        </is>
      </c>
      <c r="S1" s="89" t="inlineStr">
        <is>
          <t>Food Waste</t>
        </is>
      </c>
      <c r="T1" s="65" t="inlineStr">
        <is>
          <t>Compostables</t>
        </is>
      </c>
      <c r="V1" s="89" t="inlineStr">
        <is>
          <t>Date</t>
        </is>
      </c>
      <c r="W1" s="89" t="inlineStr">
        <is>
          <t>Trash</t>
        </is>
      </c>
      <c r="X1" s="89" t="inlineStr">
        <is>
          <t>Office</t>
        </is>
      </c>
      <c r="Y1" s="89" t="inlineStr">
        <is>
          <t>Operations</t>
        </is>
      </c>
      <c r="Z1" s="89" t="inlineStr">
        <is>
          <t>Household</t>
        </is>
      </c>
      <c r="AA1" s="89" t="inlineStr">
        <is>
          <t>Food Waste</t>
        </is>
      </c>
      <c r="AB1" s="65" t="inlineStr">
        <is>
          <t>Compostables</t>
        </is>
      </c>
      <c r="AC1" s="141" t="n"/>
      <c r="AD1" s="141" t="inlineStr">
        <is>
          <t>Trash</t>
        </is>
      </c>
      <c r="AE1" s="141" t="inlineStr">
        <is>
          <t>Recyclables</t>
        </is>
      </c>
      <c r="AF1" s="143" t="n"/>
      <c r="AG1" s="65" t="inlineStr">
        <is>
          <t>Date</t>
        </is>
      </c>
      <c r="AH1" s="65" t="inlineStr">
        <is>
          <t>Paper</t>
        </is>
      </c>
      <c r="AI1" s="65" t="inlineStr">
        <is>
          <t>Metal</t>
        </is>
      </c>
      <c r="AJ1" s="65" t="inlineStr">
        <is>
          <t xml:space="preserve">Plastic </t>
        </is>
      </c>
      <c r="AK1" s="65" t="inlineStr">
        <is>
          <t>Glass</t>
        </is>
      </c>
      <c r="AL1" s="65" t="inlineStr">
        <is>
          <t>Food Waste</t>
        </is>
      </c>
      <c r="AM1" s="65" t="inlineStr">
        <is>
          <t>Animal Bedding</t>
        </is>
      </c>
      <c r="AN1" s="65" t="inlineStr">
        <is>
          <t>Landscape</t>
        </is>
      </c>
      <c r="AO1" s="65" t="inlineStr">
        <is>
          <t>Wood</t>
        </is>
      </c>
      <c r="AP1" s="65" t="inlineStr">
        <is>
          <t>Electrical Appliance</t>
        </is>
      </c>
      <c r="AQ1" s="733" t="inlineStr">
        <is>
          <t xml:space="preserve">Other </t>
        </is>
      </c>
      <c r="AS1" s="65" t="inlineStr">
        <is>
          <t>Date</t>
        </is>
      </c>
      <c r="AT1" s="65" t="inlineStr">
        <is>
          <t>Landscape</t>
        </is>
      </c>
      <c r="AU1" s="65" t="inlineStr">
        <is>
          <t>Wood</t>
        </is>
      </c>
      <c r="AV1" s="65" t="inlineStr">
        <is>
          <t>Food</t>
        </is>
      </c>
      <c r="AW1" s="65" t="inlineStr">
        <is>
          <t>Paper</t>
        </is>
      </c>
      <c r="AX1" s="192" t="n"/>
      <c r="AY1" s="193" t="inlineStr">
        <is>
          <t>Date</t>
        </is>
      </c>
      <c r="AZ1" s="734" t="inlineStr">
        <is>
          <t>LG1 Canteen and China Garden</t>
        </is>
      </c>
      <c r="BA1" s="734" t="inlineStr">
        <is>
          <t>LG7 Canteen + McDonald's</t>
        </is>
      </c>
      <c r="BB1" s="734" t="inlineStr">
        <is>
          <t>LG7 Fusion</t>
        </is>
      </c>
      <c r="BC1" s="734" t="inlineStr">
        <is>
          <t>Courtyard (Lift 25)</t>
        </is>
      </c>
      <c r="BD1" s="734" t="inlineStr">
        <is>
          <t>UC Bistro (Tower C)</t>
        </is>
      </c>
      <c r="BE1" s="734" t="inlineStr">
        <is>
          <t>LSK Campus</t>
        </is>
      </c>
      <c r="BF1" s="734" t="inlineStr">
        <is>
          <t xml:space="preserve">UG Halls + Seafront Cafeteria </t>
        </is>
      </c>
      <c r="BG1" s="734" t="inlineStr">
        <is>
          <t>Conference Lodge</t>
        </is>
      </c>
      <c r="BH1" s="734" t="inlineStr">
        <is>
          <t>Staff Quarters (All)</t>
        </is>
      </c>
      <c r="BI1" s="735" t="n"/>
      <c r="BP1" s="192" t="n"/>
      <c r="BQ1" s="198" t="inlineStr">
        <is>
          <t>Change across 6-month period</t>
        </is>
      </c>
      <c r="BR1" s="196" t="inlineStr">
        <is>
          <t>Paper</t>
        </is>
      </c>
      <c r="BS1" s="196" t="inlineStr">
        <is>
          <t>Metal</t>
        </is>
      </c>
      <c r="BT1" s="196" t="inlineStr">
        <is>
          <t xml:space="preserve">Plastic </t>
        </is>
      </c>
      <c r="BU1" s="196" t="inlineStr">
        <is>
          <t>Glass</t>
        </is>
      </c>
      <c r="BV1" s="196" t="inlineStr">
        <is>
          <t>Food Waste</t>
        </is>
      </c>
      <c r="BW1" s="196" t="inlineStr">
        <is>
          <t>Animal Bedding</t>
        </is>
      </c>
      <c r="BX1" s="196" t="inlineStr">
        <is>
          <t>Landscape</t>
        </is>
      </c>
      <c r="BY1" s="196" t="inlineStr">
        <is>
          <t>Wood</t>
        </is>
      </c>
      <c r="BZ1" s="196" t="inlineStr">
        <is>
          <t>Electrical Appliance</t>
        </is>
      </c>
      <c r="CA1" s="736" t="inlineStr">
        <is>
          <t xml:space="preserve">Other </t>
        </is>
      </c>
      <c r="CB1" s="196" t="inlineStr">
        <is>
          <t>Total</t>
        </is>
      </c>
      <c r="CD1" s="198" t="inlineStr">
        <is>
          <t>Change across 1-year period</t>
        </is>
      </c>
      <c r="CE1" s="196" t="inlineStr">
        <is>
          <t>Paper</t>
        </is>
      </c>
      <c r="CF1" s="196" t="inlineStr">
        <is>
          <t>Metal</t>
        </is>
      </c>
      <c r="CG1" s="196" t="inlineStr">
        <is>
          <t xml:space="preserve">Plastic </t>
        </is>
      </c>
      <c r="CH1" s="196" t="inlineStr">
        <is>
          <t>Glass</t>
        </is>
      </c>
      <c r="CI1" s="196" t="inlineStr">
        <is>
          <t>Food Waste</t>
        </is>
      </c>
      <c r="CJ1" s="196" t="inlineStr">
        <is>
          <t>Animal Bedding</t>
        </is>
      </c>
      <c r="CK1" s="196" t="inlineStr">
        <is>
          <t>Landscape</t>
        </is>
      </c>
      <c r="CL1" s="196" t="inlineStr">
        <is>
          <t>Wood</t>
        </is>
      </c>
      <c r="CM1" s="196" t="inlineStr">
        <is>
          <t>Electrical Appliance</t>
        </is>
      </c>
      <c r="CN1" s="736" t="inlineStr">
        <is>
          <t xml:space="preserve">Other </t>
        </is>
      </c>
      <c r="CO1" s="196" t="inlineStr">
        <is>
          <t>Total</t>
        </is>
      </c>
      <c r="CP1" s="192" t="n"/>
      <c r="CQ1" s="198" t="inlineStr">
        <is>
          <t>Change across 6-month period</t>
        </is>
      </c>
      <c r="CR1" s="737" t="inlineStr">
        <is>
          <t>LG1 Canteen and China Garden</t>
        </is>
      </c>
      <c r="CS1" s="737" t="inlineStr">
        <is>
          <t>LG7 Canteen + McDonald's</t>
        </is>
      </c>
      <c r="CT1" s="737" t="inlineStr">
        <is>
          <t>LG7 Fusion</t>
        </is>
      </c>
      <c r="CU1" s="737" t="inlineStr">
        <is>
          <t>Courtyard (Lift 25)</t>
        </is>
      </c>
      <c r="CV1" s="737" t="inlineStr">
        <is>
          <t>UC Bistro (Tower C)</t>
        </is>
      </c>
      <c r="CW1" s="737" t="inlineStr">
        <is>
          <t>LSK Campus</t>
        </is>
      </c>
      <c r="CX1" s="737" t="inlineStr">
        <is>
          <t xml:space="preserve">UG Halls + Seafront Cafeteria </t>
        </is>
      </c>
      <c r="CY1" s="737" t="inlineStr">
        <is>
          <t>Conference Lodge</t>
        </is>
      </c>
      <c r="CZ1" s="737" t="inlineStr">
        <is>
          <t>Staff Quarters (All)</t>
        </is>
      </c>
      <c r="DA1" s="737" t="inlineStr">
        <is>
          <t xml:space="preserve">Total </t>
        </is>
      </c>
      <c r="DC1" s="198" t="inlineStr">
        <is>
          <t>Change across 1-year period</t>
        </is>
      </c>
      <c r="DD1" s="737" t="inlineStr">
        <is>
          <t>LG1 Canteen and China Garden</t>
        </is>
      </c>
      <c r="DE1" s="737" t="inlineStr">
        <is>
          <t>LG7 Canteen + McDonald's</t>
        </is>
      </c>
      <c r="DF1" s="737" t="inlineStr">
        <is>
          <t>LG7 Fusion</t>
        </is>
      </c>
      <c r="DG1" s="737" t="inlineStr">
        <is>
          <t>Courtyard (Lift 25)</t>
        </is>
      </c>
      <c r="DH1" s="737" t="inlineStr">
        <is>
          <t>UC Bistro (Tower C)</t>
        </is>
      </c>
      <c r="DI1" s="737" t="inlineStr">
        <is>
          <t>LSK Campus</t>
        </is>
      </c>
      <c r="DJ1" s="737" t="inlineStr">
        <is>
          <t xml:space="preserve">UG Halls + Seafront Cafeteria </t>
        </is>
      </c>
      <c r="DK1" s="737" t="inlineStr">
        <is>
          <t>Conference Lodge</t>
        </is>
      </c>
      <c r="DL1" s="737" t="inlineStr">
        <is>
          <t>Staff Quarters (All)</t>
        </is>
      </c>
      <c r="DM1" s="737" t="inlineStr">
        <is>
          <t xml:space="preserve">Total </t>
        </is>
      </c>
    </row>
    <row r="2" ht="17" customHeight="1">
      <c r="A2" s="105" t="n">
        <v>41456</v>
      </c>
      <c r="B2" s="9">
        <f>'Raw Data (KG)'!B2</f>
        <v/>
      </c>
      <c r="C2" s="9">
        <f>'Raw Data (KG)'!C2</f>
        <v/>
      </c>
      <c r="D2" s="9">
        <f>SUM(B2:C2)</f>
        <v/>
      </c>
      <c r="K2" s="121" t="n"/>
      <c r="L2" s="121" t="n"/>
      <c r="M2" s="144" t="n"/>
      <c r="N2" s="189" t="n">
        <v>45108</v>
      </c>
      <c r="O2" s="184">
        <f>SUM('Raw Data (KG)'!B122:C122)</f>
        <v/>
      </c>
      <c r="P2" s="184">
        <f>SUM('Raw Data (KG)'!E122,'Raw Data (KG)'!H122,'Raw Data (KG)'!I122,'Raw Data (KG)'!J122,'Raw Data (KG)'!P122,'Raw Data (KG)'!Q122)</f>
        <v/>
      </c>
      <c r="Q2" s="184">
        <f>SUM('Raw Data (KG)'!F122:G122,'Raw Data (KG)'!M122:N122,'Raw Data (KG)'!V122)</f>
        <v/>
      </c>
      <c r="R2" s="184">
        <f>SUM('Raw Data (KG)'!K122:L122,'Raw Data (KG)'!O122,'Raw Data (KG)'!U122,'Raw Data (KG)'!Z122)</f>
        <v/>
      </c>
      <c r="S2" s="184">
        <f>'Raw Food Data (KG)'!Q83</f>
        <v/>
      </c>
      <c r="T2" s="185">
        <f>SUM('Raw Data (KG)'!X122:Y122)</f>
        <v/>
      </c>
      <c r="V2" s="123" t="inlineStr">
        <is>
          <t>Jul23-Dec23</t>
        </is>
      </c>
      <c r="W2" s="738">
        <f>SUM(O2:O7)</f>
        <v/>
      </c>
      <c r="X2" s="738">
        <f>SUM(P2:P7)</f>
        <v/>
      </c>
      <c r="Y2" s="738">
        <f>SUM(Q2:Q7)</f>
        <v/>
      </c>
      <c r="Z2" s="738">
        <f>SUM(R2:R7)</f>
        <v/>
      </c>
      <c r="AA2" s="738">
        <f>SUM(S2:S7)</f>
        <v/>
      </c>
      <c r="AB2" s="738">
        <f>SUM(T2:T7)</f>
        <v/>
      </c>
      <c r="AC2" s="738" t="n"/>
      <c r="AD2" s="186">
        <f>W2/SUM(W2:AB2)</f>
        <v/>
      </c>
      <c r="AE2" s="186">
        <f>SUM(X2:AB2)/SUM(W2:AB2)</f>
        <v/>
      </c>
      <c r="AF2" s="739" t="n"/>
      <c r="AG2" s="189" t="n">
        <v>45108</v>
      </c>
      <c r="AH2" s="9">
        <f>'Monthly Recycling'!B122</f>
        <v/>
      </c>
      <c r="AI2" s="9">
        <f>'Monthly Recycling'!C122</f>
        <v/>
      </c>
      <c r="AJ2" s="9">
        <f>'Monthly Recycling'!D122</f>
        <v/>
      </c>
      <c r="AK2" s="9">
        <f>'Monthly Recycling'!E122</f>
        <v/>
      </c>
      <c r="AL2" s="9">
        <f>'Monthly Recycling'!F122</f>
        <v/>
      </c>
      <c r="AM2" s="9">
        <f>'Monthly Recycling'!G122</f>
        <v/>
      </c>
      <c r="AN2" s="9">
        <f>'Monthly Recycling'!H122</f>
        <v/>
      </c>
      <c r="AO2" s="9">
        <f>'Monthly Recycling'!I122</f>
        <v/>
      </c>
      <c r="AP2" s="9">
        <f>'Monthly Recycling'!J122</f>
        <v/>
      </c>
      <c r="AQ2" s="9">
        <f>'Monthly Recycling'!K122</f>
        <v/>
      </c>
      <c r="AS2" s="191" t="inlineStr">
        <is>
          <t>Jul23-Dec23</t>
        </is>
      </c>
      <c r="AT2" s="139">
        <f>SUM(AN2:AN7)/SUM(AH2:AQ7)</f>
        <v/>
      </c>
      <c r="AU2" s="139">
        <f>SUM(AO2:AO7)/SUM(AH2:AQ7)</f>
        <v/>
      </c>
      <c r="AV2" s="139">
        <f>SUM(AL2:AL7)/SUM(AH2:AQ7)</f>
        <v/>
      </c>
      <c r="AW2" s="139">
        <f>SUM(AH2:AH7)/SUM(AH2:AQ7)</f>
        <v/>
      </c>
      <c r="AY2" s="189" t="n">
        <v>45108</v>
      </c>
      <c r="AZ2" s="8">
        <f>'Raw Food Data (KG)'!B83</f>
        <v/>
      </c>
      <c r="BA2" s="8">
        <f>'Raw Food Data (KG)'!E83</f>
        <v/>
      </c>
      <c r="BB2" s="8">
        <f>'Raw Food Data (KG)'!F83</f>
        <v/>
      </c>
      <c r="BC2" s="8">
        <f>'Raw Food Data (KG)'!G83</f>
        <v/>
      </c>
      <c r="BD2" s="8">
        <f>'Raw Food Data (KG)'!H83</f>
        <v/>
      </c>
      <c r="BE2" s="8">
        <f>'Raw Food Data (KG)'!I83</f>
        <v/>
      </c>
      <c r="BF2" s="8">
        <f>'Raw Food Data (KG)'!L83</f>
        <v/>
      </c>
      <c r="BG2" s="8">
        <f>'Raw Food Data (KG)'!M83</f>
        <v/>
      </c>
      <c r="BH2" s="8">
        <f>'Raw Food Data (KG)'!P83</f>
        <v/>
      </c>
      <c r="BQ2" s="8" t="inlineStr">
        <is>
          <t>Jul 22 to Dec 22</t>
        </is>
      </c>
      <c r="BR2" s="9">
        <f>SUM('Monthly Recycling'!B110:B115)</f>
        <v/>
      </c>
      <c r="BS2" s="9">
        <f>SUM('Monthly Recycling'!C110:C115)</f>
        <v/>
      </c>
      <c r="BT2" s="9">
        <f>SUM('Monthly Recycling'!D110:D115)</f>
        <v/>
      </c>
      <c r="BU2" s="9">
        <f>SUM('Monthly Recycling'!E110:E115)</f>
        <v/>
      </c>
      <c r="BV2" s="9">
        <f>SUM('Monthly Recycling'!F110:F115)</f>
        <v/>
      </c>
      <c r="BW2" s="9">
        <f>SUM('Monthly Recycling'!G110:G115)</f>
        <v/>
      </c>
      <c r="BX2" s="9">
        <f>SUM('Monthly Recycling'!H110:H115)</f>
        <v/>
      </c>
      <c r="BY2" s="9">
        <f>SUM('Monthly Recycling'!I110:I115)</f>
        <v/>
      </c>
      <c r="BZ2" s="9">
        <f>SUM('Monthly Recycling'!J110:J115)</f>
        <v/>
      </c>
      <c r="CA2" s="9">
        <f>SUM('Monthly Recycling'!K110:K115)</f>
        <v/>
      </c>
      <c r="CB2" s="9">
        <f>SUM(BR2:CA2)</f>
        <v/>
      </c>
      <c r="CD2" s="8" t="inlineStr">
        <is>
          <t>Nov 21 to Dec 22</t>
        </is>
      </c>
      <c r="CE2" s="9">
        <f>SUM('Monthly Recycling'!B102:B115)</f>
        <v/>
      </c>
      <c r="CF2" s="9">
        <f>SUM('Monthly Recycling'!C102:C115)</f>
        <v/>
      </c>
      <c r="CG2" s="9">
        <f>SUM('Monthly Recycling'!D102:D115)</f>
        <v/>
      </c>
      <c r="CH2" s="9">
        <f>SUM('Monthly Recycling'!E102:E115)</f>
        <v/>
      </c>
      <c r="CI2" s="9">
        <f>SUM('Monthly Recycling'!F102:F115)</f>
        <v/>
      </c>
      <c r="CJ2" s="9">
        <f>SUM('Monthly Recycling'!G102:G115)</f>
        <v/>
      </c>
      <c r="CK2" s="9">
        <f>SUM('Monthly Recycling'!H102:H115)</f>
        <v/>
      </c>
      <c r="CL2" s="9">
        <f>SUM('Monthly Recycling'!I102:I115)</f>
        <v/>
      </c>
      <c r="CM2" s="9">
        <f>SUM('Monthly Recycling'!J102:J115)</f>
        <v/>
      </c>
      <c r="CN2" s="9">
        <f>SUM('Monthly Recycling'!K102:K115)</f>
        <v/>
      </c>
      <c r="CO2" s="9">
        <f>SUM(CE2:CN2)</f>
        <v/>
      </c>
      <c r="CQ2" s="8" t="inlineStr">
        <is>
          <t>Jul 22 to Dec 22</t>
        </is>
      </c>
      <c r="DC2" s="8" t="inlineStr">
        <is>
          <t>Nov 21 to Dec 22</t>
        </is>
      </c>
    </row>
    <row r="3">
      <c r="A3" s="105" t="n">
        <v>41487</v>
      </c>
      <c r="B3" s="9">
        <f>'Raw Data (KG)'!B3</f>
        <v/>
      </c>
      <c r="C3" s="9">
        <f>'Raw Data (KG)'!C3</f>
        <v/>
      </c>
      <c r="D3" s="9">
        <f>SUM(B3:C3)</f>
        <v/>
      </c>
      <c r="E3" s="740" t="n"/>
      <c r="F3" s="740" t="n"/>
      <c r="G3" s="740" t="n"/>
      <c r="H3" s="740" t="n"/>
      <c r="J3" s="137" t="n"/>
      <c r="K3" s="679" t="n"/>
      <c r="L3" s="679" t="n"/>
      <c r="M3" s="741" t="n"/>
      <c r="N3" s="189" t="n">
        <v>45139</v>
      </c>
      <c r="O3" s="184">
        <f>SUM('Raw Data (KG)'!B123:C123)</f>
        <v/>
      </c>
      <c r="P3" s="184">
        <f>SUM('Raw Data (KG)'!E123,'Raw Data (KG)'!H123,'Raw Data (KG)'!I123,'Raw Data (KG)'!J123,'Raw Data (KG)'!P123,'Raw Data (KG)'!Q123)</f>
        <v/>
      </c>
      <c r="Q3" s="184">
        <f>SUM('Raw Data (KG)'!F123:G123,'Raw Data (KG)'!M123:N123,'Raw Data (KG)'!V123)</f>
        <v/>
      </c>
      <c r="R3" s="184">
        <f>SUM('Raw Data (KG)'!K123:L123,'Raw Data (KG)'!O123,'Raw Data (KG)'!U123,'Raw Data (KG)'!Z123)</f>
        <v/>
      </c>
      <c r="S3" s="184">
        <f>'Raw Food Data (KG)'!Q84</f>
        <v/>
      </c>
      <c r="T3" s="185">
        <f>SUM('Raw Data (KG)'!X123:Y123)</f>
        <v/>
      </c>
      <c r="V3" s="137" t="inlineStr">
        <is>
          <t>Jan24-Jun24</t>
        </is>
      </c>
      <c r="W3" s="742">
        <f>SUM(O8:O13)</f>
        <v/>
      </c>
      <c r="X3" s="742">
        <f>SUM(P8:P13)</f>
        <v/>
      </c>
      <c r="Y3" s="742">
        <f>SUM(Q8:Q13)</f>
        <v/>
      </c>
      <c r="Z3" s="742">
        <f>SUM(R8:R13)</f>
        <v/>
      </c>
      <c r="AA3" s="742">
        <f>SUM(S8:S13)</f>
        <v/>
      </c>
      <c r="AB3" s="742">
        <f>SUM(T8:T13)</f>
        <v/>
      </c>
      <c r="AD3" s="186">
        <f>W3/SUM(W3:AB3)</f>
        <v/>
      </c>
      <c r="AE3" s="186">
        <f>SUM(X3:AB3)/SUM(W3:AB3)</f>
        <v/>
      </c>
      <c r="AG3" s="189" t="n">
        <v>45139</v>
      </c>
      <c r="AH3" s="9">
        <f>'Monthly Recycling'!B123</f>
        <v/>
      </c>
      <c r="AI3" s="9">
        <f>'Monthly Recycling'!C123</f>
        <v/>
      </c>
      <c r="AJ3" s="9">
        <f>'Monthly Recycling'!D123</f>
        <v/>
      </c>
      <c r="AK3" s="9">
        <f>'Monthly Recycling'!E123</f>
        <v/>
      </c>
      <c r="AL3" s="9">
        <f>'Monthly Recycling'!F123</f>
        <v/>
      </c>
      <c r="AM3" s="9">
        <f>'Monthly Recycling'!G123</f>
        <v/>
      </c>
      <c r="AN3" s="9">
        <f>'Monthly Recycling'!H123</f>
        <v/>
      </c>
      <c r="AO3" s="9">
        <f>'Monthly Recycling'!I123</f>
        <v/>
      </c>
      <c r="AP3" s="9">
        <f>'Monthly Recycling'!J123</f>
        <v/>
      </c>
      <c r="AQ3" s="9">
        <f>'Monthly Recycling'!K123</f>
        <v/>
      </c>
      <c r="AS3" s="191" t="inlineStr">
        <is>
          <t>Jan24-Jun24</t>
        </is>
      </c>
      <c r="AT3" s="139">
        <f>SUM(AN8:AN13)/SUM(AH8:AQ13)</f>
        <v/>
      </c>
      <c r="AU3" s="139">
        <f>SUM(AO8:AO13)/SUM(AH8:AQ13)</f>
        <v/>
      </c>
      <c r="AV3" s="139">
        <f>SUM(AL8:AL13)/SUM(AH8:AQ13)</f>
        <v/>
      </c>
      <c r="AW3" s="139">
        <f>SUM(AH8:AH13)/SUM(AH8:AQ13)</f>
        <v/>
      </c>
      <c r="AY3" s="189" t="n">
        <v>45139</v>
      </c>
      <c r="AZ3" s="8">
        <f>'Raw Food Data (KG)'!B84</f>
        <v/>
      </c>
      <c r="BA3" s="8">
        <f>'Raw Food Data (KG)'!E84</f>
        <v/>
      </c>
      <c r="BB3" s="8">
        <f>'Raw Food Data (KG)'!F84</f>
        <v/>
      </c>
      <c r="BC3" s="8">
        <f>'Raw Food Data (KG)'!G84</f>
        <v/>
      </c>
      <c r="BD3" s="8">
        <f>'Raw Food Data (KG)'!H84</f>
        <v/>
      </c>
      <c r="BE3" s="8">
        <f>'Raw Food Data (KG)'!I84</f>
        <v/>
      </c>
      <c r="BF3" s="8">
        <f>'Raw Food Data (KG)'!L84</f>
        <v/>
      </c>
      <c r="BG3" s="8">
        <f>'Raw Food Data (KG)'!M84</f>
        <v/>
      </c>
      <c r="BH3" s="8">
        <f>'Raw Food Data (KG)'!P84</f>
        <v/>
      </c>
      <c r="BQ3" s="8" t="inlineStr">
        <is>
          <t>Jul 23 to Dec 23</t>
        </is>
      </c>
      <c r="BR3" s="9">
        <f>SUM('Monthly Recycling'!B122:B127)</f>
        <v/>
      </c>
      <c r="BS3" s="9">
        <f>SUM('Monthly Recycling'!C122:C127)</f>
        <v/>
      </c>
      <c r="BT3" s="9">
        <f>SUM('Monthly Recycling'!D122:D127)</f>
        <v/>
      </c>
      <c r="BU3" s="9">
        <f>SUM('Monthly Recycling'!E122:E127)</f>
        <v/>
      </c>
      <c r="BV3" s="9">
        <f>SUM('Monthly Recycling'!F122:F127)</f>
        <v/>
      </c>
      <c r="BW3" s="9">
        <f>SUM('Monthly Recycling'!G122:G127)</f>
        <v/>
      </c>
      <c r="BX3" s="9">
        <f>SUM('Monthly Recycling'!H122:H127)</f>
        <v/>
      </c>
      <c r="BY3" s="9">
        <f>SUM('Monthly Recycling'!I122:I127)</f>
        <v/>
      </c>
      <c r="BZ3" s="9">
        <f>SUM('Monthly Recycling'!J122:J127)</f>
        <v/>
      </c>
      <c r="CA3" s="9">
        <f>SUM('Monthly Recycling'!K122:K127)</f>
        <v/>
      </c>
      <c r="CB3" s="9">
        <f>SUM(BR3:CA3)</f>
        <v/>
      </c>
      <c r="CD3" s="8" t="inlineStr">
        <is>
          <t>Nov 22 to Dec 23</t>
        </is>
      </c>
      <c r="CE3" s="9">
        <f>SUM('Monthly Recycling'!B114:B127)</f>
        <v/>
      </c>
      <c r="CF3" s="9">
        <f>SUM('Monthly Recycling'!C114:C127)</f>
        <v/>
      </c>
      <c r="CG3" s="9">
        <f>SUM('Monthly Recycling'!D114:D127)</f>
        <v/>
      </c>
      <c r="CH3" s="9">
        <f>SUM('Monthly Recycling'!E114:E127)</f>
        <v/>
      </c>
      <c r="CI3" s="9">
        <f>SUM('Monthly Recycling'!F114:F127)</f>
        <v/>
      </c>
      <c r="CJ3" s="9">
        <f>SUM('Monthly Recycling'!G114:G127)</f>
        <v/>
      </c>
      <c r="CK3" s="9">
        <f>SUM('Monthly Recycling'!H114:H127)</f>
        <v/>
      </c>
      <c r="CL3" s="9">
        <f>SUM('Monthly Recycling'!I114:I127)</f>
        <v/>
      </c>
      <c r="CM3" s="9">
        <f>SUM('Monthly Recycling'!J114:J127)</f>
        <v/>
      </c>
      <c r="CN3" s="9">
        <f>SUM('Monthly Recycling'!K114:K127)</f>
        <v/>
      </c>
      <c r="CO3" s="9">
        <f>SUM(CE3:CN3)</f>
        <v/>
      </c>
      <c r="CQ3" s="8" t="inlineStr">
        <is>
          <t>Jul 23 to Dec 23</t>
        </is>
      </c>
      <c r="DC3" s="8" t="inlineStr">
        <is>
          <t>Nov 22 to Dec 23</t>
        </is>
      </c>
    </row>
    <row r="4">
      <c r="A4" s="105" t="n">
        <v>41518</v>
      </c>
      <c r="B4" s="9">
        <f>'Raw Data (KG)'!B4</f>
        <v/>
      </c>
      <c r="C4" s="9">
        <f>'Raw Data (KG)'!C4</f>
        <v/>
      </c>
      <c r="D4" s="9">
        <f>SUM(B4:C4)</f>
        <v/>
      </c>
      <c r="E4" s="740" t="n"/>
      <c r="F4" s="740" t="n"/>
      <c r="G4" s="740" t="n"/>
      <c r="H4" s="740" t="n"/>
      <c r="J4" s="137" t="n"/>
      <c r="K4" s="679" t="n"/>
      <c r="L4" s="679" t="n"/>
      <c r="M4" s="741" t="n"/>
      <c r="N4" s="189" t="n">
        <v>45170</v>
      </c>
      <c r="O4" s="184">
        <f>SUM('Raw Data (KG)'!B124:C124)</f>
        <v/>
      </c>
      <c r="P4" s="184">
        <f>SUM('Raw Data (KG)'!E124,'Raw Data (KG)'!H124,'Raw Data (KG)'!I124,'Raw Data (KG)'!J124,'Raw Data (KG)'!P124,'Raw Data (KG)'!Q124)</f>
        <v/>
      </c>
      <c r="Q4" s="184">
        <f>SUM('Raw Data (KG)'!F124:G124,'Raw Data (KG)'!M124:N124,'Raw Data (KG)'!V124)</f>
        <v/>
      </c>
      <c r="R4" s="184">
        <f>SUM('Raw Data (KG)'!K124:L124,'Raw Data (KG)'!O124,'Raw Data (KG)'!U124,'Raw Data (KG)'!Z124)</f>
        <v/>
      </c>
      <c r="S4" s="184">
        <f>'Raw Food Data (KG)'!Q85</f>
        <v/>
      </c>
      <c r="T4" s="185">
        <f>SUM('Raw Data (KG)'!X124:Y124)</f>
        <v/>
      </c>
      <c r="V4" s="137" t="n"/>
      <c r="W4" s="742" t="n"/>
      <c r="X4" s="678" t="n"/>
      <c r="Y4" s="742" t="n"/>
      <c r="Z4" s="742" t="n"/>
      <c r="AA4" s="742" t="n"/>
      <c r="AB4" s="742" t="n"/>
      <c r="AG4" s="189" t="n">
        <v>45170</v>
      </c>
      <c r="AH4" s="9">
        <f>'Monthly Recycling'!B124</f>
        <v/>
      </c>
      <c r="AI4" s="9">
        <f>'Monthly Recycling'!C124</f>
        <v/>
      </c>
      <c r="AJ4" s="9">
        <f>'Monthly Recycling'!D124</f>
        <v/>
      </c>
      <c r="AK4" s="9">
        <f>'Monthly Recycling'!E124</f>
        <v/>
      </c>
      <c r="AL4" s="9">
        <f>'Monthly Recycling'!F124</f>
        <v/>
      </c>
      <c r="AM4" s="9">
        <f>'Monthly Recycling'!G124</f>
        <v/>
      </c>
      <c r="AN4" s="9">
        <f>'Monthly Recycling'!H124</f>
        <v/>
      </c>
      <c r="AO4" s="9">
        <f>'Monthly Recycling'!I124</f>
        <v/>
      </c>
      <c r="AP4" s="9">
        <f>'Monthly Recycling'!J124</f>
        <v/>
      </c>
      <c r="AQ4" s="9">
        <f>'Monthly Recycling'!K124</f>
        <v/>
      </c>
      <c r="AY4" s="189" t="n">
        <v>45170</v>
      </c>
      <c r="AZ4" s="8">
        <f>'Raw Food Data (KG)'!B85</f>
        <v/>
      </c>
      <c r="BA4" s="8">
        <f>'Raw Food Data (KG)'!E85</f>
        <v/>
      </c>
      <c r="BB4" s="8">
        <f>'Raw Food Data (KG)'!F85</f>
        <v/>
      </c>
      <c r="BC4" s="8">
        <f>'Raw Food Data (KG)'!G85</f>
        <v/>
      </c>
      <c r="BD4" s="8">
        <f>'Raw Food Data (KG)'!H85</f>
        <v/>
      </c>
      <c r="BE4" s="8">
        <f>'Raw Food Data (KG)'!I85</f>
        <v/>
      </c>
      <c r="BF4" s="8">
        <f>'Raw Food Data (KG)'!L85</f>
        <v/>
      </c>
      <c r="BG4" s="8">
        <f>'Raw Food Data (KG)'!M85</f>
        <v/>
      </c>
      <c r="BH4" s="8">
        <f>'Raw Food Data (KG)'!P85</f>
        <v/>
      </c>
      <c r="BQ4" s="8" t="inlineStr">
        <is>
          <t>% Change</t>
        </is>
      </c>
      <c r="BR4" s="139">
        <f>BR3/BR2-1</f>
        <v/>
      </c>
      <c r="BS4" s="139">
        <f>BS3/BS2-1</f>
        <v/>
      </c>
      <c r="BT4" s="139">
        <f>BT3/BT2-1</f>
        <v/>
      </c>
      <c r="BU4" s="139">
        <f>BU3/BU2-1</f>
        <v/>
      </c>
      <c r="BV4" s="139">
        <f>BV3/BV2-1</f>
        <v/>
      </c>
      <c r="BW4" s="139">
        <f>BW3/BW2-1</f>
        <v/>
      </c>
      <c r="BX4" s="139">
        <f>BX3/BX2-1</f>
        <v/>
      </c>
      <c r="BY4" s="139">
        <f>BY3/BY2-1</f>
        <v/>
      </c>
      <c r="BZ4" s="139">
        <f>BZ3/BZ2-1</f>
        <v/>
      </c>
      <c r="CA4" s="139">
        <f>CA3/CA2-1</f>
        <v/>
      </c>
      <c r="CB4" s="199">
        <f>CB3/CB2-1</f>
        <v/>
      </c>
      <c r="CD4" s="8" t="inlineStr">
        <is>
          <t>% Change</t>
        </is>
      </c>
      <c r="CE4" s="139">
        <f>CE3/CE2-1</f>
        <v/>
      </c>
      <c r="CF4" s="139">
        <f>CF3/CF2-1</f>
        <v/>
      </c>
      <c r="CG4" s="139">
        <f>CG3/CG2-1</f>
        <v/>
      </c>
      <c r="CH4" s="139">
        <f>CH3/CH2-1</f>
        <v/>
      </c>
      <c r="CI4" s="139">
        <f>CI3/CI2-1</f>
        <v/>
      </c>
      <c r="CJ4" s="139">
        <f>CJ3/CJ2-1</f>
        <v/>
      </c>
      <c r="CK4" s="139">
        <f>CK3/CK2-1</f>
        <v/>
      </c>
      <c r="CL4" s="139">
        <f>CL3/CL2-1</f>
        <v/>
      </c>
      <c r="CM4" s="139">
        <f>CM3/CM2-1</f>
        <v/>
      </c>
      <c r="CN4" s="139">
        <f>CN3/CN2-1</f>
        <v/>
      </c>
      <c r="CO4" s="199">
        <f>CO3/CO2-1</f>
        <v/>
      </c>
      <c r="CQ4" s="8" t="inlineStr">
        <is>
          <t>% Change</t>
        </is>
      </c>
      <c r="DC4" s="8" t="inlineStr">
        <is>
          <t>% Change</t>
        </is>
      </c>
    </row>
    <row r="5">
      <c r="A5" s="105" t="n">
        <v>41548</v>
      </c>
      <c r="B5" s="9">
        <f>'Raw Data (KG)'!B5</f>
        <v/>
      </c>
      <c r="C5" s="9">
        <f>'Raw Data (KG)'!C5</f>
        <v/>
      </c>
      <c r="D5" s="9">
        <f>SUM(B5:C5)</f>
        <v/>
      </c>
      <c r="E5" s="740" t="n"/>
      <c r="F5" s="740" t="n"/>
      <c r="G5" s="740" t="n"/>
      <c r="H5" s="740" t="n"/>
      <c r="J5" s="137" t="n"/>
      <c r="K5" s="679" t="n"/>
      <c r="L5" s="679" t="n"/>
      <c r="M5" s="741" t="n"/>
      <c r="N5" s="189" t="n">
        <v>45200</v>
      </c>
      <c r="O5" s="184">
        <f>SUM('Raw Data (KG)'!B125:C125)</f>
        <v/>
      </c>
      <c r="P5" s="184">
        <f>SUM('Raw Data (KG)'!E125,'Raw Data (KG)'!H125,'Raw Data (KG)'!I125,'Raw Data (KG)'!J125,'Raw Data (KG)'!P125,'Raw Data (KG)'!Q125)</f>
        <v/>
      </c>
      <c r="Q5" s="184">
        <f>SUM('Raw Data (KG)'!F125:G125,'Raw Data (KG)'!M125:N125,'Raw Data (KG)'!V125)</f>
        <v/>
      </c>
      <c r="R5" s="184">
        <f>SUM('Raw Data (KG)'!K125:L125,'Raw Data (KG)'!O125,'Raw Data (KG)'!U125,'Raw Data (KG)'!Z125)</f>
        <v/>
      </c>
      <c r="S5" s="184">
        <f>'Raw Food Data (KG)'!Q86</f>
        <v/>
      </c>
      <c r="T5" s="185">
        <f>SUM('Raw Data (KG)'!X125:Y125)</f>
        <v/>
      </c>
      <c r="V5" s="137" t="n"/>
      <c r="W5" s="742" t="n"/>
      <c r="X5" s="678" t="n"/>
      <c r="Y5" s="742" t="n"/>
      <c r="Z5" s="742" t="n"/>
      <c r="AA5" s="742" t="n"/>
      <c r="AB5" s="742" t="n"/>
      <c r="AG5" s="189" t="n">
        <v>45200</v>
      </c>
      <c r="AH5" s="9">
        <f>'Monthly Recycling'!B125</f>
        <v/>
      </c>
      <c r="AI5" s="9">
        <f>'Monthly Recycling'!C125</f>
        <v/>
      </c>
      <c r="AJ5" s="9">
        <f>'Monthly Recycling'!D125</f>
        <v/>
      </c>
      <c r="AK5" s="9">
        <f>'Monthly Recycling'!E125</f>
        <v/>
      </c>
      <c r="AL5" s="9">
        <f>'Monthly Recycling'!F125</f>
        <v/>
      </c>
      <c r="AM5" s="9">
        <f>'Monthly Recycling'!G125</f>
        <v/>
      </c>
      <c r="AN5" s="9">
        <f>'Monthly Recycling'!H125</f>
        <v/>
      </c>
      <c r="AO5" s="9">
        <f>'Monthly Recycling'!I125</f>
        <v/>
      </c>
      <c r="AP5" s="9">
        <f>'Monthly Recycling'!J125</f>
        <v/>
      </c>
      <c r="AQ5" s="9">
        <f>'Monthly Recycling'!K125</f>
        <v/>
      </c>
      <c r="AY5" s="189" t="n">
        <v>45200</v>
      </c>
      <c r="AZ5" s="8">
        <f>'Raw Food Data (KG)'!B86</f>
        <v/>
      </c>
      <c r="BA5" s="8">
        <f>'Raw Food Data (KG)'!E86</f>
        <v/>
      </c>
      <c r="BB5" s="8">
        <f>'Raw Food Data (KG)'!F86</f>
        <v/>
      </c>
      <c r="BC5" s="8">
        <f>'Raw Food Data (KG)'!G86</f>
        <v/>
      </c>
      <c r="BD5" s="8">
        <f>'Raw Food Data (KG)'!H86</f>
        <v/>
      </c>
      <c r="BE5" s="8">
        <f>'Raw Food Data (KG)'!I86</f>
        <v/>
      </c>
      <c r="BF5" s="8">
        <f>'Raw Food Data (KG)'!L86</f>
        <v/>
      </c>
      <c r="BG5" s="8">
        <f>'Raw Food Data (KG)'!M86</f>
        <v/>
      </c>
      <c r="BH5" s="8">
        <f>'Raw Food Data (KG)'!P86</f>
        <v/>
      </c>
    </row>
    <row r="6">
      <c r="A6" s="105" t="n">
        <v>41579</v>
      </c>
      <c r="B6" s="9">
        <f>'Raw Data (KG)'!B6</f>
        <v/>
      </c>
      <c r="C6" s="9">
        <f>'Raw Data (KG)'!C6</f>
        <v/>
      </c>
      <c r="D6" s="9">
        <f>SUM(B6:C6)</f>
        <v/>
      </c>
      <c r="E6" s="740" t="n"/>
      <c r="F6" s="740" t="n"/>
      <c r="G6" s="740" t="n"/>
      <c r="H6" s="740" t="n"/>
      <c r="J6" s="137" t="n"/>
      <c r="K6" s="679" t="n"/>
      <c r="L6" s="679" t="n"/>
      <c r="M6" s="741" t="n"/>
      <c r="N6" s="189" t="n">
        <v>45231</v>
      </c>
      <c r="O6" s="184">
        <f>SUM('Raw Data (KG)'!B126:C126)</f>
        <v/>
      </c>
      <c r="P6" s="184">
        <f>SUM('Raw Data (KG)'!E126,'Raw Data (KG)'!H126,'Raw Data (KG)'!I126,'Raw Data (KG)'!J126,'Raw Data (KG)'!P126,'Raw Data (KG)'!Q126)</f>
        <v/>
      </c>
      <c r="Q6" s="184">
        <f>SUM('Raw Data (KG)'!F126:G126,'Raw Data (KG)'!M126:N126,'Raw Data (KG)'!V126)</f>
        <v/>
      </c>
      <c r="R6" s="184">
        <f>SUM('Raw Data (KG)'!K126:L126,'Raw Data (KG)'!O126,'Raw Data (KG)'!U126,'Raw Data (KG)'!Z126)</f>
        <v/>
      </c>
      <c r="S6" s="184">
        <f>'Raw Food Data (KG)'!Q87</f>
        <v/>
      </c>
      <c r="T6" s="185">
        <f>SUM('Raw Data (KG)'!X126:Y126)</f>
        <v/>
      </c>
      <c r="V6" s="137" t="n"/>
      <c r="W6" s="100" t="n"/>
      <c r="X6" s="100" t="n"/>
      <c r="Y6" s="100" t="n"/>
      <c r="Z6" s="100" t="n"/>
      <c r="AA6" s="742" t="n"/>
      <c r="AB6" s="742" t="n"/>
      <c r="AG6" s="189" t="n">
        <v>45231</v>
      </c>
      <c r="AH6" s="9">
        <f>'Monthly Recycling'!B126</f>
        <v/>
      </c>
      <c r="AI6" s="9">
        <f>'Monthly Recycling'!C126</f>
        <v/>
      </c>
      <c r="AJ6" s="9">
        <f>'Monthly Recycling'!D126</f>
        <v/>
      </c>
      <c r="AK6" s="9">
        <f>'Monthly Recycling'!E126</f>
        <v/>
      </c>
      <c r="AL6" s="9">
        <f>'Monthly Recycling'!F126</f>
        <v/>
      </c>
      <c r="AM6" s="9">
        <f>'Monthly Recycling'!G126</f>
        <v/>
      </c>
      <c r="AN6" s="9">
        <f>'Monthly Recycling'!H126</f>
        <v/>
      </c>
      <c r="AO6" s="9">
        <f>'Monthly Recycling'!I126</f>
        <v/>
      </c>
      <c r="AP6" s="9">
        <f>'Monthly Recycling'!J126</f>
        <v/>
      </c>
      <c r="AQ6" s="9">
        <f>'Monthly Recycling'!K126</f>
        <v/>
      </c>
      <c r="AY6" s="189" t="n">
        <v>45231</v>
      </c>
      <c r="AZ6" s="8">
        <f>'Raw Food Data (KG)'!B87</f>
        <v/>
      </c>
      <c r="BA6" s="8">
        <f>'Raw Food Data (KG)'!E87</f>
        <v/>
      </c>
      <c r="BB6" s="8">
        <f>'Raw Food Data (KG)'!F87</f>
        <v/>
      </c>
      <c r="BC6" s="8">
        <f>'Raw Food Data (KG)'!G87</f>
        <v/>
      </c>
      <c r="BD6" s="8">
        <f>'Raw Food Data (KG)'!H87</f>
        <v/>
      </c>
      <c r="BE6" s="8">
        <f>'Raw Food Data (KG)'!I87</f>
        <v/>
      </c>
      <c r="BF6" s="8">
        <f>'Raw Food Data (KG)'!L87</f>
        <v/>
      </c>
      <c r="BG6" s="8">
        <f>'Raw Food Data (KG)'!M87</f>
        <v/>
      </c>
      <c r="BH6" s="8">
        <f>'Raw Food Data (KG)'!P87</f>
        <v/>
      </c>
      <c r="BQ6" s="8" t="inlineStr">
        <is>
          <t>Jan 23 to Jun 23</t>
        </is>
      </c>
      <c r="BR6" s="9">
        <f>SUM('Monthly Recycling'!B116:B121)</f>
        <v/>
      </c>
      <c r="BS6" s="9">
        <f>SUM('Monthly Recycling'!C116:C121)</f>
        <v/>
      </c>
      <c r="BT6" s="9">
        <f>SUM('Monthly Recycling'!D116:D121)</f>
        <v/>
      </c>
      <c r="BU6" s="9">
        <f>SUM('Monthly Recycling'!E116:E121)</f>
        <v/>
      </c>
      <c r="BV6" s="9">
        <f>SUM('Monthly Recycling'!F116:F121)</f>
        <v/>
      </c>
      <c r="BW6" s="9">
        <f>SUM('Monthly Recycling'!G116:G121)</f>
        <v/>
      </c>
      <c r="BX6" s="9">
        <f>SUM('Monthly Recycling'!H116:H121)</f>
        <v/>
      </c>
      <c r="BY6" s="9">
        <f>SUM('Monthly Recycling'!I116:I121)</f>
        <v/>
      </c>
      <c r="BZ6" s="9">
        <f>SUM('Monthly Recycling'!J116:J121)</f>
        <v/>
      </c>
      <c r="CA6" s="9">
        <f>SUM('Monthly Recycling'!K116:K121)</f>
        <v/>
      </c>
      <c r="CB6" s="9">
        <f>SUM(BR6:CA6)</f>
        <v/>
      </c>
      <c r="CD6" s="8" t="inlineStr">
        <is>
          <t>May 22 to Jun 23</t>
        </is>
      </c>
      <c r="CE6" s="9">
        <f>SUM('Monthly Recycling'!B108:B121)</f>
        <v/>
      </c>
      <c r="CF6" s="9">
        <f>SUM('Monthly Recycling'!C108:C121)</f>
        <v/>
      </c>
      <c r="CG6" s="9">
        <f>SUM('Monthly Recycling'!D108:D121)</f>
        <v/>
      </c>
      <c r="CH6" s="9">
        <f>SUM('Monthly Recycling'!E108:E121)</f>
        <v/>
      </c>
      <c r="CI6" s="9">
        <f>SUM('Monthly Recycling'!F108:F121)</f>
        <v/>
      </c>
      <c r="CJ6" s="9">
        <f>SUM('Monthly Recycling'!G108:G121)</f>
        <v/>
      </c>
      <c r="CK6" s="9">
        <f>SUM('Monthly Recycling'!H108:H121)</f>
        <v/>
      </c>
      <c r="CL6" s="9">
        <f>SUM('Monthly Recycling'!I108:I121)</f>
        <v/>
      </c>
      <c r="CM6" s="9">
        <f>SUM('Monthly Recycling'!J108:J121)</f>
        <v/>
      </c>
      <c r="CN6" s="9">
        <f>SUM('Monthly Recycling'!K108:K121)</f>
        <v/>
      </c>
      <c r="CO6" s="9">
        <f>SUM(CE6:CN6)</f>
        <v/>
      </c>
      <c r="CQ6" s="8" t="inlineStr">
        <is>
          <t>Jan 23 to Jun 23</t>
        </is>
      </c>
      <c r="DC6" s="8" t="inlineStr">
        <is>
          <t>May 22 to Jun 23</t>
        </is>
      </c>
    </row>
    <row r="7">
      <c r="A7" s="105" t="n">
        <v>41609</v>
      </c>
      <c r="B7" s="9">
        <f>'Raw Data (KG)'!B7</f>
        <v/>
      </c>
      <c r="C7" s="9">
        <f>'Raw Data (KG)'!C7</f>
        <v/>
      </c>
      <c r="D7" s="9">
        <f>SUM(B7:C7)</f>
        <v/>
      </c>
      <c r="E7" s="740" t="n"/>
      <c r="F7" s="740" t="n"/>
      <c r="G7" s="740" t="n"/>
      <c r="H7" s="740" t="n"/>
      <c r="J7" s="137" t="n"/>
      <c r="K7" s="679" t="n"/>
      <c r="L7" s="679" t="n"/>
      <c r="M7" s="741" t="n"/>
      <c r="N7" s="189" t="n">
        <v>45261</v>
      </c>
      <c r="O7" s="184">
        <f>SUM('Raw Data (KG)'!B127:C127)</f>
        <v/>
      </c>
      <c r="P7" s="184">
        <f>SUM('Raw Data (KG)'!E127,'Raw Data (KG)'!H127,'Raw Data (KG)'!I127,'Raw Data (KG)'!J127,'Raw Data (KG)'!P127,'Raw Data (KG)'!Q127)</f>
        <v/>
      </c>
      <c r="Q7" s="184">
        <f>SUM('Raw Data (KG)'!F127:G127,'Raw Data (KG)'!M127:N127,'Raw Data (KG)'!V127)</f>
        <v/>
      </c>
      <c r="R7" s="184">
        <f>SUM('Raw Data (KG)'!K127:L127,'Raw Data (KG)'!O127,'Raw Data (KG)'!U127,'Raw Data (KG)'!Z127)</f>
        <v/>
      </c>
      <c r="S7" s="184">
        <f>'Raw Food Data (KG)'!Q88</f>
        <v/>
      </c>
      <c r="T7" s="185">
        <f>SUM('Raw Data (KG)'!X127:Y127)</f>
        <v/>
      </c>
      <c r="V7" s="137" t="n"/>
      <c r="W7" s="678" t="n"/>
      <c r="X7" s="100" t="n"/>
      <c r="Y7" s="78" t="n"/>
      <c r="Z7" s="100" t="n"/>
      <c r="AA7" s="678" t="n"/>
      <c r="AB7" s="678" t="n"/>
      <c r="AG7" s="189" t="n">
        <v>45261</v>
      </c>
      <c r="AH7" s="9">
        <f>'Monthly Recycling'!B127</f>
        <v/>
      </c>
      <c r="AI7" s="9">
        <f>'Monthly Recycling'!C127</f>
        <v/>
      </c>
      <c r="AJ7" s="9">
        <f>'Monthly Recycling'!D127</f>
        <v/>
      </c>
      <c r="AK7" s="9">
        <f>'Monthly Recycling'!E127</f>
        <v/>
      </c>
      <c r="AL7" s="9">
        <f>'Monthly Recycling'!F127</f>
        <v/>
      </c>
      <c r="AM7" s="9">
        <f>'Monthly Recycling'!G127</f>
        <v/>
      </c>
      <c r="AN7" s="9">
        <f>'Monthly Recycling'!H127</f>
        <v/>
      </c>
      <c r="AO7" s="9">
        <f>'Monthly Recycling'!I127</f>
        <v/>
      </c>
      <c r="AP7" s="9">
        <f>'Monthly Recycling'!J127</f>
        <v/>
      </c>
      <c r="AQ7" s="9">
        <f>'Monthly Recycling'!K127</f>
        <v/>
      </c>
      <c r="AY7" s="189" t="n">
        <v>45261</v>
      </c>
      <c r="AZ7" s="8">
        <f>'Raw Food Data (KG)'!B88</f>
        <v/>
      </c>
      <c r="BA7" s="8">
        <f>'Raw Food Data (KG)'!E88</f>
        <v/>
      </c>
      <c r="BB7" s="8">
        <f>'Raw Food Data (KG)'!F88</f>
        <v/>
      </c>
      <c r="BC7" s="8">
        <f>'Raw Food Data (KG)'!G88</f>
        <v/>
      </c>
      <c r="BD7" s="8">
        <f>'Raw Food Data (KG)'!H88</f>
        <v/>
      </c>
      <c r="BE7" s="8">
        <f>'Raw Food Data (KG)'!I88</f>
        <v/>
      </c>
      <c r="BF7" s="8">
        <f>'Raw Food Data (KG)'!L88</f>
        <v/>
      </c>
      <c r="BG7" s="8">
        <f>'Raw Food Data (KG)'!M88</f>
        <v/>
      </c>
      <c r="BH7" s="8">
        <f>'Raw Food Data (KG)'!P88</f>
        <v/>
      </c>
      <c r="BQ7" s="8" t="inlineStr">
        <is>
          <t>Jan 24 to Jun 24</t>
        </is>
      </c>
      <c r="CD7" s="8" t="inlineStr">
        <is>
          <t>May 23 to Jun 24</t>
        </is>
      </c>
      <c r="CQ7" s="8" t="inlineStr">
        <is>
          <t>Jan 24 to Jun 24</t>
        </is>
      </c>
      <c r="DC7" s="8" t="inlineStr">
        <is>
          <t>May 23 to Jun 24</t>
        </is>
      </c>
    </row>
    <row r="8">
      <c r="A8" s="105" t="n">
        <v>41640</v>
      </c>
      <c r="B8" s="9">
        <f>'Raw Data (KG)'!B8</f>
        <v/>
      </c>
      <c r="C8" s="9">
        <f>'Raw Data (KG)'!C8</f>
        <v/>
      </c>
      <c r="D8" s="9">
        <f>SUM(B8:C8)</f>
        <v/>
      </c>
      <c r="E8" s="740" t="n"/>
      <c r="F8" s="740" t="n"/>
      <c r="G8" s="740" t="n"/>
      <c r="H8" s="740" t="n"/>
      <c r="J8" s="137" t="n"/>
      <c r="K8" s="679" t="n"/>
      <c r="L8" s="679" t="n"/>
      <c r="M8" s="741" t="n"/>
      <c r="N8" s="190" t="n">
        <v>45292</v>
      </c>
      <c r="O8" s="184">
        <f>SUM('Raw Data (KG)'!B128:C128)</f>
        <v/>
      </c>
      <c r="P8" s="184">
        <f>SUM('Raw Data (KG)'!E128,'Raw Data (KG)'!H128,'Raw Data (KG)'!I128,'Raw Data (KG)'!J128,'Raw Data (KG)'!P128,'Raw Data (KG)'!Q128)</f>
        <v/>
      </c>
      <c r="Q8" s="184">
        <f>SUM('Raw Data (KG)'!F128:G128,'Raw Data (KG)'!M128:N128,'Raw Data (KG)'!V128)</f>
        <v/>
      </c>
      <c r="R8" s="184">
        <f>SUM('Raw Data (KG)'!K128:L128,'Raw Data (KG)'!O128,'Raw Data (KG)'!U128,'Raw Data (KG)'!Z128)</f>
        <v/>
      </c>
      <c r="S8" s="184">
        <f>'Raw Food Data (KG)'!Q89</f>
        <v/>
      </c>
      <c r="T8" s="185">
        <f>SUM('Raw Data (KG)'!X128:Y128)</f>
        <v/>
      </c>
      <c r="V8" s="137" t="n"/>
      <c r="W8" s="678" t="n"/>
      <c r="X8" s="678" t="n"/>
      <c r="Y8" s="678" t="n"/>
      <c r="Z8" s="678" t="n"/>
      <c r="AA8" s="678" t="n"/>
      <c r="AB8" s="678" t="n"/>
      <c r="AG8" s="190" t="n">
        <v>45292</v>
      </c>
      <c r="AH8" s="9">
        <f>'Monthly Recycling'!B128</f>
        <v/>
      </c>
      <c r="AI8" s="9">
        <f>'Monthly Recycling'!C128</f>
        <v/>
      </c>
      <c r="AJ8" s="9">
        <f>'Monthly Recycling'!D128</f>
        <v/>
      </c>
      <c r="AK8" s="9">
        <f>'Monthly Recycling'!E128</f>
        <v/>
      </c>
      <c r="AL8" s="9">
        <f>'Monthly Recycling'!F128</f>
        <v/>
      </c>
      <c r="AM8" s="9">
        <f>'Monthly Recycling'!G128</f>
        <v/>
      </c>
      <c r="AN8" s="9">
        <f>'Monthly Recycling'!H128</f>
        <v/>
      </c>
      <c r="AO8" s="9">
        <f>'Monthly Recycling'!I128</f>
        <v/>
      </c>
      <c r="AP8" s="9">
        <f>'Monthly Recycling'!J128</f>
        <v/>
      </c>
      <c r="AQ8" s="9">
        <f>'Monthly Recycling'!K128</f>
        <v/>
      </c>
      <c r="AY8" s="190" t="n">
        <v>45292</v>
      </c>
      <c r="AZ8" s="8">
        <f>'Raw Food Data (KG)'!B89</f>
        <v/>
      </c>
      <c r="BA8" s="8">
        <f>'Raw Food Data (KG)'!E89</f>
        <v/>
      </c>
      <c r="BB8" s="8">
        <f>'Raw Food Data (KG)'!F89</f>
        <v/>
      </c>
      <c r="BC8" s="8">
        <f>'Raw Food Data (KG)'!G89</f>
        <v/>
      </c>
      <c r="BD8" s="8">
        <f>'Raw Food Data (KG)'!H89</f>
        <v/>
      </c>
      <c r="BE8" s="8">
        <f>'Raw Food Data (KG)'!I89</f>
        <v/>
      </c>
      <c r="BF8" s="8">
        <f>'Raw Food Data (KG)'!L89</f>
        <v/>
      </c>
      <c r="BG8" s="8">
        <f>'Raw Food Data (KG)'!M89</f>
        <v/>
      </c>
      <c r="BH8" s="8">
        <f>'Raw Food Data (KG)'!P89</f>
        <v/>
      </c>
      <c r="BQ8" s="8" t="inlineStr">
        <is>
          <t>% Change</t>
        </is>
      </c>
      <c r="CD8" s="8" t="inlineStr">
        <is>
          <t>% Change</t>
        </is>
      </c>
      <c r="CQ8" s="8" t="inlineStr">
        <is>
          <t>% Change</t>
        </is>
      </c>
      <c r="DC8" s="8" t="inlineStr">
        <is>
          <t>% Change</t>
        </is>
      </c>
    </row>
    <row r="9">
      <c r="A9" s="105" t="n">
        <v>41671</v>
      </c>
      <c r="B9" s="9">
        <f>'Raw Data (KG)'!B9</f>
        <v/>
      </c>
      <c r="C9" s="9">
        <f>'Raw Data (KG)'!C9</f>
        <v/>
      </c>
      <c r="D9" s="9">
        <f>SUM(B9:C9)</f>
        <v/>
      </c>
      <c r="E9" s="740" t="n"/>
      <c r="F9" s="740" t="n"/>
      <c r="G9" s="740" t="n"/>
      <c r="H9" s="740" t="n"/>
      <c r="N9" s="190" t="n">
        <v>45323</v>
      </c>
      <c r="O9" s="184">
        <f>SUM('Raw Data (KG)'!B129:C129)</f>
        <v/>
      </c>
      <c r="P9" s="184">
        <f>SUM('Raw Data (KG)'!E129,'Raw Data (KG)'!H129,'Raw Data (KG)'!I129,'Raw Data (KG)'!J129,'Raw Data (KG)'!P129,'Raw Data (KG)'!Q129)</f>
        <v/>
      </c>
      <c r="Q9" s="184">
        <f>SUM('Raw Data (KG)'!F129:G129,'Raw Data (KG)'!M129:N129,'Raw Data (KG)'!V129)</f>
        <v/>
      </c>
      <c r="R9" s="184">
        <f>SUM('Raw Data (KG)'!K129:L129,'Raw Data (KG)'!O129,'Raw Data (KG)'!U129,'Raw Data (KG)'!Z129)</f>
        <v/>
      </c>
      <c r="S9" s="184">
        <f>'Raw Food Data (KG)'!Q90</f>
        <v/>
      </c>
      <c r="T9" s="185">
        <f>SUM('Raw Data (KG)'!X129:Y129)</f>
        <v/>
      </c>
      <c r="AG9" s="190" t="n">
        <v>45323</v>
      </c>
      <c r="AH9" s="9">
        <f>'Monthly Recycling'!B129</f>
        <v/>
      </c>
      <c r="AI9" s="9">
        <f>'Monthly Recycling'!C129</f>
        <v/>
      </c>
      <c r="AJ9" s="9">
        <f>'Monthly Recycling'!D129</f>
        <v/>
      </c>
      <c r="AK9" s="9">
        <f>'Monthly Recycling'!E129</f>
        <v/>
      </c>
      <c r="AL9" s="9">
        <f>'Monthly Recycling'!F129</f>
        <v/>
      </c>
      <c r="AM9" s="9">
        <f>'Monthly Recycling'!G129</f>
        <v/>
      </c>
      <c r="AN9" s="9">
        <f>'Monthly Recycling'!H129</f>
        <v/>
      </c>
      <c r="AO9" s="9">
        <f>'Monthly Recycling'!I129</f>
        <v/>
      </c>
      <c r="AP9" s="9">
        <f>'Monthly Recycling'!J129</f>
        <v/>
      </c>
      <c r="AQ9" s="9">
        <f>'Monthly Recycling'!K129</f>
        <v/>
      </c>
      <c r="AY9" s="190" t="n">
        <v>45323</v>
      </c>
      <c r="AZ9" s="8">
        <f>'Raw Food Data (KG)'!B90</f>
        <v/>
      </c>
      <c r="BA9" s="8">
        <f>'Raw Food Data (KG)'!E90</f>
        <v/>
      </c>
      <c r="BB9" s="8">
        <f>'Raw Food Data (KG)'!F90</f>
        <v/>
      </c>
      <c r="BC9" s="8">
        <f>'Raw Food Data (KG)'!G90</f>
        <v/>
      </c>
      <c r="BD9" s="8">
        <f>'Raw Food Data (KG)'!H90</f>
        <v/>
      </c>
      <c r="BE9" s="8">
        <f>'Raw Food Data (KG)'!I90</f>
        <v/>
      </c>
      <c r="BF9" s="8">
        <f>'Raw Food Data (KG)'!L90</f>
        <v/>
      </c>
      <c r="BG9" s="8">
        <f>'Raw Food Data (KG)'!M90</f>
        <v/>
      </c>
      <c r="BH9" s="8">
        <f>'Raw Food Data (KG)'!P90</f>
        <v/>
      </c>
    </row>
    <row r="10">
      <c r="A10" s="105" t="n">
        <v>41699</v>
      </c>
      <c r="B10" s="9">
        <f>'Raw Data (KG)'!B10</f>
        <v/>
      </c>
      <c r="C10" s="9">
        <f>'Raw Data (KG)'!C10</f>
        <v/>
      </c>
      <c r="D10" s="9">
        <f>SUM(B10:C10)</f>
        <v/>
      </c>
      <c r="K10" s="121" t="n"/>
      <c r="L10" s="121" t="n"/>
      <c r="M10" s="144" t="n"/>
      <c r="N10" s="190" t="n">
        <v>45352</v>
      </c>
      <c r="O10" s="184">
        <f>SUM('Raw Data (KG)'!B130:C130)</f>
        <v/>
      </c>
      <c r="P10" s="184">
        <f>SUM('Raw Data (KG)'!E130,'Raw Data (KG)'!H130,'Raw Data (KG)'!I130,'Raw Data (KG)'!J130,'Raw Data (KG)'!P129,'Raw Data (KG)'!Q130)</f>
        <v/>
      </c>
      <c r="Q10" s="184">
        <f>SUM('Raw Data (KG)'!F130:G130,'Raw Data (KG)'!M130:N130,'Raw Data (KG)'!V130)</f>
        <v/>
      </c>
      <c r="R10" s="184">
        <f>SUM('Raw Data (KG)'!K130:L130,'Raw Data (KG)'!O129,'Raw Data (KG)'!U130,'Raw Data (KG)'!Z130)</f>
        <v/>
      </c>
      <c r="S10" s="184">
        <f>'Raw Food Data (KG)'!Q91</f>
        <v/>
      </c>
      <c r="T10" s="185">
        <f>SUM('Raw Data (KG)'!X130:Y130)</f>
        <v/>
      </c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8" t="n"/>
      <c r="AF10" s="739" t="n"/>
      <c r="AG10" s="190" t="n">
        <v>45352</v>
      </c>
      <c r="AH10" s="9">
        <f>'Monthly Recycling'!B130</f>
        <v/>
      </c>
      <c r="AI10" s="9">
        <f>'Monthly Recycling'!C130</f>
        <v/>
      </c>
      <c r="AJ10" s="9">
        <f>'Monthly Recycling'!D130</f>
        <v/>
      </c>
      <c r="AK10" s="9">
        <f>'Monthly Recycling'!E130</f>
        <v/>
      </c>
      <c r="AL10" s="9">
        <f>'Monthly Recycling'!F130</f>
        <v/>
      </c>
      <c r="AM10" s="9">
        <f>'Monthly Recycling'!G130</f>
        <v/>
      </c>
      <c r="AN10" s="9">
        <f>'Monthly Recycling'!H130</f>
        <v/>
      </c>
      <c r="AO10" s="9">
        <f>'Monthly Recycling'!I130</f>
        <v/>
      </c>
      <c r="AP10" s="9">
        <f>'Monthly Recycling'!J130</f>
        <v/>
      </c>
      <c r="AQ10" s="9">
        <f>'Monthly Recycling'!K130</f>
        <v/>
      </c>
      <c r="AY10" s="190" t="n">
        <v>45352</v>
      </c>
      <c r="AZ10" s="8">
        <f>'Raw Food Data (KG)'!B91</f>
        <v/>
      </c>
      <c r="BA10" s="8">
        <f>'Raw Food Data (KG)'!E91</f>
        <v/>
      </c>
      <c r="BB10" s="8">
        <f>'Raw Food Data (KG)'!F91</f>
        <v/>
      </c>
      <c r="BC10" s="8">
        <f>'Raw Food Data (KG)'!G91</f>
        <v/>
      </c>
      <c r="BD10" s="8">
        <f>'Raw Food Data (KG)'!H91</f>
        <v/>
      </c>
      <c r="BE10" s="8">
        <f>'Raw Food Data (KG)'!I91</f>
        <v/>
      </c>
      <c r="BF10" s="8">
        <f>'Raw Food Data (KG)'!L91</f>
        <v/>
      </c>
      <c r="BG10" s="8">
        <f>'Raw Food Data (KG)'!M91</f>
        <v/>
      </c>
      <c r="BH10" s="8">
        <f>'Raw Food Data (KG)'!P91</f>
        <v/>
      </c>
      <c r="BQ10" s="8" t="inlineStr">
        <is>
          <t>Jul 23 to Dec 23</t>
        </is>
      </c>
    </row>
    <row r="11">
      <c r="A11" s="105" t="n">
        <v>41730</v>
      </c>
      <c r="B11" s="9">
        <f>'Raw Data (KG)'!B11</f>
        <v/>
      </c>
      <c r="C11" s="9">
        <f>'Raw Data (KG)'!C11</f>
        <v/>
      </c>
      <c r="D11" s="9">
        <f>SUM(B11:C11)</f>
        <v/>
      </c>
      <c r="E11" s="740" t="n"/>
      <c r="F11" s="740" t="n"/>
      <c r="G11" s="740" t="n"/>
      <c r="H11" s="740" t="n"/>
      <c r="K11" s="62" t="n"/>
      <c r="L11" s="62" t="n"/>
      <c r="M11" s="146" t="n"/>
      <c r="N11" s="190" t="n">
        <v>45383</v>
      </c>
      <c r="O11" s="184">
        <f>SUM('Raw Data (KG)'!B131:C131)</f>
        <v/>
      </c>
      <c r="P11" s="184">
        <f>SUM('Raw Data (KG)'!E131,'Raw Data (KG)'!H131,'Raw Data (KG)'!I131,'Raw Data (KG)'!J131,'Raw Data (KG)'!P131,'Raw Data (KG)'!Q131)</f>
        <v/>
      </c>
      <c r="Q11" s="184">
        <f>SUM('Raw Data (KG)'!F131:G131,'Raw Data (KG)'!M131:N131,'Raw Data (KG)'!V131)</f>
        <v/>
      </c>
      <c r="R11" s="184">
        <f>SUM('Raw Data (KG)'!K131:L131,'Raw Data (KG)'!O131,'Raw Data (KG)'!U131,'Raw Data (KG)'!Z131)</f>
        <v/>
      </c>
      <c r="S11" s="184">
        <f>'Raw Food Data (KG)'!Q92</f>
        <v/>
      </c>
      <c r="T11" s="185">
        <f>SUM('Raw Data (KG)'!X131:Y131)</f>
        <v/>
      </c>
      <c r="V11" s="121" t="n"/>
      <c r="W11" s="679" t="n"/>
      <c r="X11" s="679" t="n"/>
      <c r="Y11" s="679" t="n"/>
      <c r="Z11" s="679" t="n"/>
      <c r="AA11" s="679" t="n"/>
      <c r="AB11" s="679" t="n"/>
      <c r="AC11" s="679" t="n"/>
      <c r="AD11" s="679" t="n"/>
      <c r="AE11" s="679" t="n"/>
      <c r="AF11" s="741" t="n"/>
      <c r="AG11" s="190" t="n">
        <v>45383</v>
      </c>
      <c r="AH11" s="9">
        <f>'Monthly Recycling'!B131</f>
        <v/>
      </c>
      <c r="AI11" s="9">
        <f>'Monthly Recycling'!C131</f>
        <v/>
      </c>
      <c r="AJ11" s="9">
        <f>'Monthly Recycling'!D131</f>
        <v/>
      </c>
      <c r="AK11" s="9">
        <f>'Monthly Recycling'!E131</f>
        <v/>
      </c>
      <c r="AL11" s="9">
        <f>'Monthly Recycling'!F131</f>
        <v/>
      </c>
      <c r="AM11" s="9">
        <f>'Monthly Recycling'!G131</f>
        <v/>
      </c>
      <c r="AN11" s="9">
        <f>'Monthly Recycling'!H131</f>
        <v/>
      </c>
      <c r="AO11" s="9">
        <f>'Monthly Recycling'!I131</f>
        <v/>
      </c>
      <c r="AP11" s="9">
        <f>'Monthly Recycling'!J131</f>
        <v/>
      </c>
      <c r="AQ11" s="9">
        <f>'Monthly Recycling'!K131</f>
        <v/>
      </c>
      <c r="AY11" s="190" t="n">
        <v>45383</v>
      </c>
      <c r="AZ11" s="8">
        <f>'Raw Food Data (KG)'!B92</f>
        <v/>
      </c>
      <c r="BA11" s="8">
        <f>'Raw Food Data (KG)'!E92</f>
        <v/>
      </c>
      <c r="BB11" s="8">
        <f>'Raw Food Data (KG)'!F92</f>
        <v/>
      </c>
      <c r="BC11" s="8">
        <f>'Raw Food Data (KG)'!G92</f>
        <v/>
      </c>
      <c r="BD11" s="8">
        <f>'Raw Food Data (KG)'!H92</f>
        <v/>
      </c>
      <c r="BE11" s="8">
        <f>'Raw Food Data (KG)'!I92</f>
        <v/>
      </c>
      <c r="BF11" s="8">
        <f>'Raw Food Data (KG)'!L92</f>
        <v/>
      </c>
      <c r="BG11" s="8">
        <f>'Raw Food Data (KG)'!M92</f>
        <v/>
      </c>
      <c r="BH11" s="8">
        <f>'Raw Food Data (KG)'!P92</f>
        <v/>
      </c>
      <c r="BQ11" s="8" t="inlineStr">
        <is>
          <t>Jul 24 to Dec 24</t>
        </is>
      </c>
    </row>
    <row r="12">
      <c r="A12" s="105" t="n">
        <v>41760</v>
      </c>
      <c r="B12" s="9">
        <f>'Raw Data (KG)'!B12</f>
        <v/>
      </c>
      <c r="C12" s="9">
        <f>'Raw Data (KG)'!C12</f>
        <v/>
      </c>
      <c r="D12" s="9">
        <f>SUM(B12:C12)</f>
        <v/>
      </c>
      <c r="E12" s="139" t="n"/>
      <c r="F12" s="139" t="n"/>
      <c r="G12" s="139" t="n"/>
      <c r="H12" s="139" t="n"/>
      <c r="K12" s="139" t="n"/>
      <c r="L12" s="139" t="n"/>
      <c r="M12" s="147" t="n"/>
      <c r="N12" s="190" t="n">
        <v>45413</v>
      </c>
      <c r="O12" s="184">
        <f>SUM('Raw Data (KG)'!B132:C132)</f>
        <v/>
      </c>
      <c r="P12" s="184">
        <f>SUM('Raw Data (KG)'!E132,'Raw Data (KG)'!H132,'Raw Data (KG)'!I132,'Raw Data (KG)'!J132,'Raw Data (KG)'!P132,'Raw Data (KG)'!Q132)</f>
        <v/>
      </c>
      <c r="Q12" s="184">
        <f>SUM('Raw Data (KG)'!F132:G132,'Raw Data (KG)'!M132:N132,'Raw Data (KG)'!V132)</f>
        <v/>
      </c>
      <c r="R12" s="184">
        <f>SUM('Raw Data (KG)'!K132:L132,'Raw Data (KG)'!O132,'Raw Data (KG)'!U132,'Raw Data (KG)'!Z132)</f>
        <v/>
      </c>
      <c r="S12" s="184">
        <f>'Raw Food Data (KG)'!Q93</f>
        <v/>
      </c>
      <c r="T12" s="185">
        <f>SUM('Raw Data (KG)'!X132:Y132)</f>
        <v/>
      </c>
      <c r="AG12" s="190" t="n">
        <v>45413</v>
      </c>
      <c r="AH12" s="9">
        <f>'Monthly Recycling'!B132</f>
        <v/>
      </c>
      <c r="AI12" s="9">
        <f>'Monthly Recycling'!C132</f>
        <v/>
      </c>
      <c r="AJ12" s="9">
        <f>'Monthly Recycling'!D132</f>
        <v/>
      </c>
      <c r="AK12" s="9">
        <f>'Monthly Recycling'!E132</f>
        <v/>
      </c>
      <c r="AL12" s="9">
        <f>'Monthly Recycling'!F132</f>
        <v/>
      </c>
      <c r="AM12" s="9">
        <f>'Monthly Recycling'!G132</f>
        <v/>
      </c>
      <c r="AN12" s="9">
        <f>'Monthly Recycling'!H132</f>
        <v/>
      </c>
      <c r="AO12" s="9">
        <f>'Monthly Recycling'!I132</f>
        <v/>
      </c>
      <c r="AP12" s="9">
        <f>'Monthly Recycling'!J132</f>
        <v/>
      </c>
      <c r="AQ12" s="9">
        <f>'Monthly Recycling'!K132</f>
        <v/>
      </c>
      <c r="AY12" s="190" t="n">
        <v>45413</v>
      </c>
      <c r="AZ12" s="8">
        <f>'Raw Food Data (KG)'!B93</f>
        <v/>
      </c>
      <c r="BA12" s="8">
        <f>'Raw Food Data (KG)'!E93</f>
        <v/>
      </c>
      <c r="BB12" s="8">
        <f>'Raw Food Data (KG)'!F93</f>
        <v/>
      </c>
      <c r="BC12" s="8">
        <f>'Raw Food Data (KG)'!G93</f>
        <v/>
      </c>
      <c r="BD12" s="8">
        <f>'Raw Food Data (KG)'!H93</f>
        <v/>
      </c>
      <c r="BE12" s="8">
        <f>'Raw Food Data (KG)'!I93</f>
        <v/>
      </c>
      <c r="BF12" s="8">
        <f>'Raw Food Data (KG)'!L93</f>
        <v/>
      </c>
      <c r="BG12" s="8">
        <f>'Raw Food Data (KG)'!M93</f>
        <v/>
      </c>
      <c r="BH12" s="8">
        <f>'Raw Food Data (KG)'!P93</f>
        <v/>
      </c>
      <c r="BQ12" s="8" t="inlineStr">
        <is>
          <t>% Change</t>
        </is>
      </c>
    </row>
    <row r="13">
      <c r="A13" s="105" t="n">
        <v>41791</v>
      </c>
      <c r="B13" s="9">
        <f>'Raw Data (KG)'!B13</f>
        <v/>
      </c>
      <c r="C13" s="9">
        <f>'Raw Data (KG)'!C13</f>
        <v/>
      </c>
      <c r="D13" s="9">
        <f>SUM(B13:C13)</f>
        <v/>
      </c>
      <c r="E13" s="9">
        <f>SUM(D2:D13)</f>
        <v/>
      </c>
      <c r="F13" s="62">
        <f>E13/12</f>
        <v/>
      </c>
      <c r="N13" s="190" t="n">
        <v>45444</v>
      </c>
      <c r="O13" s="184">
        <f>SUM('Raw Data (KG)'!B133:C133)</f>
        <v/>
      </c>
      <c r="P13" s="184">
        <f>SUM('Raw Data (KG)'!E133,'Raw Data (KG)'!H133,'Raw Data (KG)'!I133,'Raw Data (KG)'!J133,'Raw Data (KG)'!P133,'Raw Data (KG)'!Q133)</f>
        <v/>
      </c>
      <c r="Q13" s="184">
        <f>SUM('Raw Data (KG)'!F133:G133,'Raw Data (KG)'!M133:N133,'Raw Data (KG)'!V133)</f>
        <v/>
      </c>
      <c r="R13" s="184">
        <f>SUM('Raw Data (KG)'!K133:L133,'Raw Data (KG)'!O133,'Raw Data (KG)'!U133,'Raw Data (KG)'!Z133)</f>
        <v/>
      </c>
      <c r="S13" s="184">
        <f>'Raw Food Data (KG)'!Q94</f>
        <v/>
      </c>
      <c r="T13" s="185">
        <f>SUM('Raw Data (KG)'!X133:Y133)</f>
        <v/>
      </c>
      <c r="AG13" s="190" t="n">
        <v>45444</v>
      </c>
      <c r="AH13" s="9">
        <f>'Monthly Recycling'!B133</f>
        <v/>
      </c>
      <c r="AI13" s="9">
        <f>'Monthly Recycling'!C133</f>
        <v/>
      </c>
      <c r="AJ13" s="9">
        <f>'Monthly Recycling'!D133</f>
        <v/>
      </c>
      <c r="AK13" s="9">
        <f>'Monthly Recycling'!E133</f>
        <v/>
      </c>
      <c r="AL13" s="9">
        <f>'Monthly Recycling'!F133</f>
        <v/>
      </c>
      <c r="AM13" s="9">
        <f>'Monthly Recycling'!G133</f>
        <v/>
      </c>
      <c r="AN13" s="9">
        <f>'Monthly Recycling'!H133</f>
        <v/>
      </c>
      <c r="AO13" s="9">
        <f>'Monthly Recycling'!I133</f>
        <v/>
      </c>
      <c r="AP13" s="9">
        <f>'Monthly Recycling'!J133</f>
        <v/>
      </c>
      <c r="AQ13" s="9">
        <f>'Monthly Recycling'!K133</f>
        <v/>
      </c>
      <c r="AY13" s="190" t="n">
        <v>45444</v>
      </c>
      <c r="AZ13" s="8">
        <f>'Raw Food Data (KG)'!B94</f>
        <v/>
      </c>
      <c r="BA13" s="8">
        <f>'Raw Food Data (KG)'!E94</f>
        <v/>
      </c>
      <c r="BB13" s="8">
        <f>'Raw Food Data (KG)'!F94</f>
        <v/>
      </c>
      <c r="BC13" s="8">
        <f>'Raw Food Data (KG)'!G94</f>
        <v/>
      </c>
      <c r="BD13" s="8">
        <f>'Raw Food Data (KG)'!H94</f>
        <v/>
      </c>
      <c r="BE13" s="8">
        <f>'Raw Food Data (KG)'!I94</f>
        <v/>
      </c>
      <c r="BF13" s="8">
        <f>'Raw Food Data (KG)'!L94</f>
        <v/>
      </c>
      <c r="BG13" s="8">
        <f>'Raw Food Data (KG)'!M94</f>
        <v/>
      </c>
      <c r="BH13" s="8">
        <f>'Raw Food Data (KG)'!P94</f>
        <v/>
      </c>
    </row>
    <row r="14">
      <c r="A14" s="105" t="n">
        <v>41821</v>
      </c>
      <c r="B14" s="9">
        <f>'Raw Data (KG)'!B14</f>
        <v/>
      </c>
      <c r="C14" s="9">
        <f>'Raw Data (KG)'!C14</f>
        <v/>
      </c>
      <c r="D14" s="9">
        <f>SUM(B14:C14)</f>
        <v/>
      </c>
      <c r="E14" s="9">
        <f>SUM(D3:D14)</f>
        <v/>
      </c>
      <c r="F14" s="62">
        <f>E14/12</f>
        <v/>
      </c>
      <c r="N14" s="190" t="n">
        <v>45474</v>
      </c>
      <c r="O14" s="184">
        <f>SUM('Raw Data (KG)'!B134:C134)</f>
        <v/>
      </c>
      <c r="P14" s="184">
        <f>SUM('Raw Data (KG)'!E134,'Raw Data (KG)'!H134,'Raw Data (KG)'!I134,'Raw Data (KG)'!J134,'Raw Data (KG)'!P134,'Raw Data (KG)'!Q134)</f>
        <v/>
      </c>
      <c r="Q14" s="184">
        <f>SUM('Raw Data (KG)'!F134:G134,'Raw Data (KG)'!M134:N134,'Raw Data (KG)'!V134)</f>
        <v/>
      </c>
      <c r="R14" s="184">
        <f>SUM('Raw Data (KG)'!K134:L134,'Raw Data (KG)'!O134,'Raw Data (KG)'!U134,'Raw Data (KG)'!Z134)</f>
        <v/>
      </c>
      <c r="S14" s="184">
        <f>'Raw Food Data (KG)'!Q95</f>
        <v/>
      </c>
      <c r="T14" s="185">
        <f>SUM('Raw Data (KG)'!X134:Y134)</f>
        <v/>
      </c>
    </row>
    <row r="15">
      <c r="A15" s="105" t="n">
        <v>41852</v>
      </c>
      <c r="B15" s="9">
        <f>'Raw Data (KG)'!B15</f>
        <v/>
      </c>
      <c r="C15" s="9">
        <f>'Raw Data (KG)'!C15</f>
        <v/>
      </c>
      <c r="D15" s="9">
        <f>SUM(B15:C15)</f>
        <v/>
      </c>
      <c r="E15" s="9">
        <f>SUM(D4:D15)</f>
        <v/>
      </c>
      <c r="F15" s="62">
        <f>E15/12</f>
        <v/>
      </c>
      <c r="G15" s="127" t="n"/>
      <c r="N15" s="190" t="n">
        <v>45505</v>
      </c>
      <c r="O15" s="184">
        <f>SUM('Raw Data (KG)'!B135:C135)</f>
        <v/>
      </c>
      <c r="P15" s="184">
        <f>SUM('Raw Data (KG)'!E135,'Raw Data (KG)'!H135,'Raw Data (KG)'!I135,'Raw Data (KG)'!J135,'Raw Data (KG)'!P135,'Raw Data (KG)'!Q135)</f>
        <v/>
      </c>
      <c r="Q15" s="184">
        <f>SUM('Raw Data (KG)'!F135:G135,'Raw Data (KG)'!M135:N135,'Raw Data (KG)'!V135)</f>
        <v/>
      </c>
      <c r="R15" s="184">
        <f>SUM('Raw Data (KG)'!K135:L135,'Raw Data (KG)'!O135,'Raw Data (KG)'!U135,'Raw Data (KG)'!Z135)</f>
        <v/>
      </c>
      <c r="S15" s="184">
        <f>'Raw Food Data (KG)'!Q96</f>
        <v/>
      </c>
      <c r="T15" s="185">
        <f>SUM('Raw Data (KG)'!X135:Y135)</f>
        <v/>
      </c>
    </row>
    <row r="16">
      <c r="A16" s="105" t="n">
        <v>41883</v>
      </c>
      <c r="B16" s="9">
        <f>'Raw Data (KG)'!B16</f>
        <v/>
      </c>
      <c r="C16" s="9">
        <f>'Raw Data (KG)'!C16</f>
        <v/>
      </c>
      <c r="D16" s="9">
        <f>SUM(B16:C16)</f>
        <v/>
      </c>
      <c r="E16" s="9">
        <f>SUM(D5:D16)</f>
        <v/>
      </c>
      <c r="F16" s="62">
        <f>E16/12</f>
        <v/>
      </c>
      <c r="G16" s="127" t="n"/>
      <c r="N16" s="190" t="n">
        <v>45536</v>
      </c>
      <c r="O16" s="184">
        <f>SUM('Raw Data (KG)'!B136:C136)</f>
        <v/>
      </c>
      <c r="P16" s="184">
        <f>SUM('Raw Data (KG)'!E136,'Raw Data (KG)'!H136,'Raw Data (KG)'!I136,'Raw Data (KG)'!J136,'Raw Data (KG)'!P136,'Raw Data (KG)'!Q136)</f>
        <v/>
      </c>
      <c r="Q16" s="184">
        <f>SUM('Raw Data (KG)'!F136:G136,'Raw Data (KG)'!M136:N136,'Raw Data (KG)'!V136)</f>
        <v/>
      </c>
      <c r="R16" s="184">
        <f>SUM('Raw Data (KG)'!K136:L136,'Raw Data (KG)'!O136,'Raw Data (KG)'!U136,'Raw Data (KG)'!Z136)</f>
        <v/>
      </c>
      <c r="S16" s="184">
        <f>'Raw Food Data (KG)'!Q97</f>
        <v/>
      </c>
      <c r="T16" s="185">
        <f>SUM('Raw Data (KG)'!X136:Y136)</f>
        <v/>
      </c>
    </row>
    <row r="17">
      <c r="A17" s="105" t="n">
        <v>41913</v>
      </c>
      <c r="B17" s="9">
        <f>'Raw Data (KG)'!B17</f>
        <v/>
      </c>
      <c r="C17" s="9">
        <f>'Raw Data (KG)'!C17</f>
        <v/>
      </c>
      <c r="D17" s="9">
        <f>SUM(B17:C17)</f>
        <v/>
      </c>
      <c r="E17" s="9">
        <f>SUM(D6:D17)</f>
        <v/>
      </c>
      <c r="F17" s="62">
        <f>E17/12</f>
        <v/>
      </c>
      <c r="G17" s="139" t="n"/>
      <c r="N17" s="135" t="n"/>
      <c r="P17" s="127" t="n"/>
    </row>
    <row r="18">
      <c r="A18" s="105" t="n">
        <v>41944</v>
      </c>
      <c r="B18" s="9">
        <f>'Raw Data (KG)'!B18</f>
        <v/>
      </c>
      <c r="C18" s="9">
        <f>'Raw Data (KG)'!C18</f>
        <v/>
      </c>
      <c r="D18" s="9">
        <f>SUM(B18:C18)</f>
        <v/>
      </c>
      <c r="E18" s="9">
        <f>SUM(D7:D18)</f>
        <v/>
      </c>
      <c r="F18" s="62">
        <f>E18/12</f>
        <v/>
      </c>
      <c r="N18" s="135" t="n"/>
      <c r="P18" s="127" t="n"/>
    </row>
    <row r="19">
      <c r="A19" s="105" t="n">
        <v>41974</v>
      </c>
      <c r="B19" s="9">
        <f>'Raw Data (KG)'!B19</f>
        <v/>
      </c>
      <c r="C19" s="9">
        <f>'Raw Data (KG)'!C19</f>
        <v/>
      </c>
      <c r="D19" s="9">
        <f>SUM(B19:C19)</f>
        <v/>
      </c>
      <c r="E19" s="9">
        <f>SUM(D8:D19)</f>
        <v/>
      </c>
      <c r="F19" s="62">
        <f>E19/12</f>
        <v/>
      </c>
      <c r="N19" s="135" t="n"/>
      <c r="P19" s="127" t="n"/>
    </row>
    <row r="20">
      <c r="A20" s="105" t="n">
        <v>42005</v>
      </c>
      <c r="B20" s="9">
        <f>'Raw Data (KG)'!B20</f>
        <v/>
      </c>
      <c r="C20" s="9">
        <f>'Raw Data (KG)'!C20</f>
        <v/>
      </c>
      <c r="D20" s="9">
        <f>SUM(B20:C20)</f>
        <v/>
      </c>
      <c r="E20" s="9">
        <f>SUM(D9:D20)</f>
        <v/>
      </c>
      <c r="F20" s="62">
        <f>E20/12</f>
        <v/>
      </c>
    </row>
    <row r="21">
      <c r="A21" s="105" t="n">
        <v>42036</v>
      </c>
      <c r="B21" s="9">
        <f>'Raw Data (KG)'!B21</f>
        <v/>
      </c>
      <c r="C21" s="9">
        <f>'Raw Data (KG)'!C21</f>
        <v/>
      </c>
      <c r="D21" s="9">
        <f>SUM(B21:C21)</f>
        <v/>
      </c>
      <c r="E21" s="9">
        <f>SUM(D10:D21)</f>
        <v/>
      </c>
      <c r="F21" s="62">
        <f>E21/12</f>
        <v/>
      </c>
    </row>
    <row r="22">
      <c r="A22" s="105" t="n">
        <v>42064</v>
      </c>
      <c r="B22" s="9">
        <f>'Raw Data (KG)'!B22</f>
        <v/>
      </c>
      <c r="C22" s="9">
        <f>'Raw Data (KG)'!C22</f>
        <v/>
      </c>
      <c r="D22" s="9">
        <f>SUM(B22:C22)</f>
        <v/>
      </c>
      <c r="E22" s="9">
        <f>SUM(D11:D22)</f>
        <v/>
      </c>
      <c r="F22" s="62">
        <f>E22/12</f>
        <v/>
      </c>
    </row>
    <row r="23">
      <c r="A23" s="105" t="n">
        <v>42095</v>
      </c>
      <c r="B23" s="9">
        <f>'Raw Data (KG)'!B23</f>
        <v/>
      </c>
      <c r="C23" s="9">
        <f>'Raw Data (KG)'!C23</f>
        <v/>
      </c>
      <c r="D23" s="9">
        <f>SUM(B23:C23)</f>
        <v/>
      </c>
      <c r="E23" s="9">
        <f>SUM(D12:D23)</f>
        <v/>
      </c>
      <c r="F23" s="62">
        <f>E23/12</f>
        <v/>
      </c>
    </row>
    <row r="24">
      <c r="A24" s="105" t="n">
        <v>42125</v>
      </c>
      <c r="B24" s="9">
        <f>'Raw Data (KG)'!B24</f>
        <v/>
      </c>
      <c r="C24" s="9">
        <f>'Raw Data (KG)'!C24</f>
        <v/>
      </c>
      <c r="D24" s="9">
        <f>SUM(B24:C24)</f>
        <v/>
      </c>
      <c r="E24" s="9">
        <f>SUM(D13:D24)</f>
        <v/>
      </c>
      <c r="F24" s="62">
        <f>E24/12</f>
        <v/>
      </c>
    </row>
    <row r="25">
      <c r="A25" s="105" t="n">
        <v>42156</v>
      </c>
      <c r="B25" s="9">
        <f>'Raw Data (KG)'!B25</f>
        <v/>
      </c>
      <c r="C25" s="9">
        <f>'Raw Data (KG)'!C25</f>
        <v/>
      </c>
      <c r="D25" s="9">
        <f>SUM(B25:C25)</f>
        <v/>
      </c>
      <c r="E25" s="9">
        <f>SUM(D14:D25)</f>
        <v/>
      </c>
      <c r="F25" s="62">
        <f>E25/12</f>
        <v/>
      </c>
    </row>
    <row r="26">
      <c r="A26" s="105" t="n">
        <v>42186</v>
      </c>
      <c r="B26" s="9">
        <f>'Raw Data (KG)'!B26</f>
        <v/>
      </c>
      <c r="C26" s="9">
        <f>'Raw Data (KG)'!C26</f>
        <v/>
      </c>
      <c r="D26" s="9">
        <f>SUM(B26:C26)</f>
        <v/>
      </c>
      <c r="E26" s="9">
        <f>SUM(D15:D26)</f>
        <v/>
      </c>
      <c r="F26" s="62">
        <f>E26/12</f>
        <v/>
      </c>
    </row>
    <row r="27">
      <c r="A27" s="105" t="n">
        <v>42217</v>
      </c>
      <c r="B27" s="9">
        <f>'Raw Data (KG)'!B27</f>
        <v/>
      </c>
      <c r="C27" s="9">
        <f>'Raw Data (KG)'!C27</f>
        <v/>
      </c>
      <c r="D27" s="9">
        <f>SUM(B27:C27)</f>
        <v/>
      </c>
      <c r="E27" s="9">
        <f>SUM(D16:D27)</f>
        <v/>
      </c>
      <c r="F27" s="62">
        <f>E27/12</f>
        <v/>
      </c>
    </row>
    <row r="28">
      <c r="A28" s="105" t="n">
        <v>42248</v>
      </c>
      <c r="B28" s="9">
        <f>'Raw Data (KG)'!B28</f>
        <v/>
      </c>
      <c r="C28" s="9">
        <f>'Raw Data (KG)'!C28</f>
        <v/>
      </c>
      <c r="D28" s="9">
        <f>SUM(B28:C28)</f>
        <v/>
      </c>
      <c r="E28" s="9">
        <f>SUM(D17:D28)</f>
        <v/>
      </c>
      <c r="F28" s="62">
        <f>E28/12</f>
        <v/>
      </c>
      <c r="I28" s="9" t="n"/>
    </row>
    <row r="29">
      <c r="A29" s="105" t="n">
        <v>42278</v>
      </c>
      <c r="B29" s="9">
        <f>'Raw Data (KG)'!B29</f>
        <v/>
      </c>
      <c r="C29" s="9">
        <f>'Raw Data (KG)'!C29</f>
        <v/>
      </c>
      <c r="D29" s="9">
        <f>SUM(B29:C29)</f>
        <v/>
      </c>
      <c r="E29" s="9">
        <f>SUM(D18:D29)</f>
        <v/>
      </c>
      <c r="F29" s="62">
        <f>E29/12</f>
        <v/>
      </c>
      <c r="I29" s="9" t="n"/>
    </row>
    <row r="30">
      <c r="A30" s="105" t="n">
        <v>42309</v>
      </c>
      <c r="B30" s="9">
        <f>'Raw Data (KG)'!B30</f>
        <v/>
      </c>
      <c r="C30" s="9">
        <f>'Raw Data (KG)'!C30</f>
        <v/>
      </c>
      <c r="D30" s="9">
        <f>SUM(B30:C30)</f>
        <v/>
      </c>
      <c r="E30" s="9">
        <f>SUM(D19:D30)</f>
        <v/>
      </c>
      <c r="F30" s="62">
        <f>E30/12</f>
        <v/>
      </c>
      <c r="G30" s="8">
        <f>(E118-E25)/E25*100</f>
        <v/>
      </c>
      <c r="H30" s="62" t="n"/>
      <c r="I30" s="9" t="n"/>
    </row>
    <row r="31">
      <c r="A31" s="105" t="n">
        <v>42339</v>
      </c>
      <c r="B31" s="9">
        <f>'Raw Data (KG)'!B31</f>
        <v/>
      </c>
      <c r="C31" s="9">
        <f>'Raw Data (KG)'!C31</f>
        <v/>
      </c>
      <c r="D31" s="9">
        <f>SUM(B31:C31)</f>
        <v/>
      </c>
      <c r="E31" s="9">
        <f>SUM(D20:D31)</f>
        <v/>
      </c>
      <c r="F31" s="62">
        <f>E31/12</f>
        <v/>
      </c>
      <c r="I31" s="9" t="n"/>
    </row>
    <row r="32">
      <c r="A32" s="105" t="n">
        <v>42370</v>
      </c>
      <c r="B32" s="9">
        <f>'Raw Data (KG)'!B32</f>
        <v/>
      </c>
      <c r="C32" s="9">
        <f>'Raw Data (KG)'!C32</f>
        <v/>
      </c>
      <c r="D32" s="9">
        <f>SUM(B32:C32)</f>
        <v/>
      </c>
      <c r="E32" s="9">
        <f>SUM(D21:D32)</f>
        <v/>
      </c>
      <c r="F32" s="62">
        <f>E32/12</f>
        <v/>
      </c>
      <c r="I32" s="9" t="n"/>
    </row>
    <row r="33">
      <c r="A33" s="105" t="n">
        <v>42401</v>
      </c>
      <c r="B33" s="9">
        <f>'Raw Data (KG)'!B33</f>
        <v/>
      </c>
      <c r="C33" s="9">
        <f>'Raw Data (KG)'!C33</f>
        <v/>
      </c>
      <c r="D33" s="9">
        <f>SUM(B33:C33)</f>
        <v/>
      </c>
      <c r="E33" s="9">
        <f>SUM(D22:D33)</f>
        <v/>
      </c>
      <c r="F33" s="62">
        <f>E33/12</f>
        <v/>
      </c>
      <c r="I33" s="9" t="n"/>
    </row>
    <row r="34">
      <c r="A34" s="105" t="n">
        <v>42430</v>
      </c>
      <c r="B34" s="9">
        <f>'Raw Data (KG)'!B34</f>
        <v/>
      </c>
      <c r="C34" s="9">
        <f>'Raw Data (KG)'!C34</f>
        <v/>
      </c>
      <c r="D34" s="9">
        <f>SUM(B34:C34)</f>
        <v/>
      </c>
      <c r="E34" s="9">
        <f>SUM(D23:D34)</f>
        <v/>
      </c>
      <c r="F34" s="62">
        <f>E34/12</f>
        <v/>
      </c>
      <c r="I34" s="9" t="n"/>
    </row>
    <row r="35">
      <c r="A35" s="105" t="n">
        <v>42461</v>
      </c>
      <c r="B35" s="9">
        <f>'Raw Data (KG)'!B35</f>
        <v/>
      </c>
      <c r="C35" s="9">
        <f>'Raw Data (KG)'!C35</f>
        <v/>
      </c>
      <c r="D35" s="9">
        <f>SUM(B35:C35)</f>
        <v/>
      </c>
      <c r="E35" s="9">
        <f>SUM(D24:D35)</f>
        <v/>
      </c>
      <c r="F35" s="62">
        <f>E35/12</f>
        <v/>
      </c>
      <c r="I35" s="9" t="n"/>
    </row>
    <row r="36">
      <c r="A36" s="105" t="n">
        <v>42491</v>
      </c>
      <c r="B36" s="9">
        <f>'Raw Data (KG)'!B36</f>
        <v/>
      </c>
      <c r="C36" s="9">
        <f>'Raw Data (KG)'!C36</f>
        <v/>
      </c>
      <c r="D36" s="9">
        <f>SUM(B36:C36)</f>
        <v/>
      </c>
      <c r="E36" s="9">
        <f>SUM(D25:D36)</f>
        <v/>
      </c>
      <c r="F36" s="62">
        <f>E36/12</f>
        <v/>
      </c>
      <c r="I36" s="9" t="n"/>
    </row>
    <row r="37">
      <c r="A37" s="105" t="n">
        <v>42522</v>
      </c>
      <c r="B37" s="9">
        <f>'Raw Data (KG)'!B37</f>
        <v/>
      </c>
      <c r="C37" s="9">
        <f>'Raw Data (KG)'!C37</f>
        <v/>
      </c>
      <c r="D37" s="9">
        <f>SUM(B37:C37)</f>
        <v/>
      </c>
      <c r="E37" s="9">
        <f>SUM(D26:D37)</f>
        <v/>
      </c>
      <c r="F37" s="62">
        <f>E37/12</f>
        <v/>
      </c>
      <c r="I37" s="9" t="n"/>
      <c r="J37" s="140" t="n"/>
      <c r="K37" s="140" t="n"/>
      <c r="L37" s="140" t="n"/>
      <c r="M37" s="148" t="n"/>
      <c r="N37" s="140" t="n"/>
      <c r="O37" s="140" t="n"/>
      <c r="P37" s="140" t="n"/>
      <c r="Q37" s="140" t="n"/>
      <c r="R37" s="140" t="n"/>
      <c r="S37" s="140" t="n"/>
      <c r="T37" s="140" t="n"/>
      <c r="V37" s="103" t="n"/>
      <c r="W37" s="103" t="n"/>
      <c r="X37" s="103" t="n"/>
      <c r="Y37" s="103" t="n"/>
      <c r="Z37" s="103" t="n"/>
      <c r="AA37" s="103" t="n"/>
      <c r="AB37" s="103" t="n"/>
      <c r="AC37" s="103" t="n"/>
      <c r="AD37" s="103" t="n"/>
      <c r="AE37" s="103" t="n"/>
      <c r="AF37" s="188" t="n"/>
    </row>
    <row r="38">
      <c r="A38" s="105" t="n">
        <v>42552</v>
      </c>
      <c r="B38" s="9">
        <f>'Raw Data (KG)'!B38</f>
        <v/>
      </c>
      <c r="C38" s="9">
        <f>'Raw Data (KG)'!C38</f>
        <v/>
      </c>
      <c r="D38" s="9">
        <f>SUM(B38:C38)</f>
        <v/>
      </c>
      <c r="E38" s="9">
        <f>SUM(D27:D38)</f>
        <v/>
      </c>
      <c r="F38" s="62">
        <f>E38/12</f>
        <v/>
      </c>
      <c r="I38" s="9" t="n"/>
      <c r="J38" s="55" t="n"/>
      <c r="K38" s="121" t="n"/>
      <c r="L38" s="121" t="n"/>
      <c r="M38" s="144" t="n"/>
      <c r="N38" s="121" t="n"/>
      <c r="O38" s="121" t="n"/>
      <c r="P38" s="121" t="n"/>
      <c r="Q38" s="121" t="n"/>
      <c r="R38" s="121" t="n"/>
      <c r="S38" s="743" t="n"/>
      <c r="T38" s="121" t="n"/>
      <c r="V38" s="55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8" t="n"/>
      <c r="AF38" s="739" t="n"/>
    </row>
    <row r="39">
      <c r="A39" s="105" t="n">
        <v>42583</v>
      </c>
      <c r="B39" s="9">
        <f>'Raw Data (KG)'!B39</f>
        <v/>
      </c>
      <c r="C39" s="9">
        <f>'Raw Data (KG)'!C39</f>
        <v/>
      </c>
      <c r="D39" s="9">
        <f>SUM(B39:C39)</f>
        <v/>
      </c>
      <c r="E39" s="9">
        <f>SUM(D28:D39)</f>
        <v/>
      </c>
      <c r="F39" s="62">
        <f>E39/12</f>
        <v/>
      </c>
      <c r="K39" s="9" t="n"/>
      <c r="L39" s="9" t="n"/>
      <c r="M39" s="149" t="n"/>
      <c r="N39" s="62" t="n"/>
      <c r="O39" s="62" t="n"/>
      <c r="P39" s="9" t="n"/>
      <c r="Q39" s="9" t="n"/>
      <c r="R39" s="9" t="n"/>
      <c r="S39" s="62" t="n"/>
      <c r="T39" s="62" t="n"/>
      <c r="W39" s="679" t="n"/>
      <c r="X39" s="679" t="n"/>
      <c r="Y39" s="679" t="n"/>
      <c r="Z39" s="679" t="n"/>
      <c r="AA39" s="679" t="n"/>
      <c r="AB39" s="679" t="n"/>
      <c r="AC39" s="679" t="n"/>
      <c r="AD39" s="679" t="n"/>
      <c r="AE39" s="679" t="n"/>
      <c r="AF39" s="741" t="n"/>
    </row>
    <row r="40">
      <c r="A40" s="105" t="n">
        <v>42614</v>
      </c>
      <c r="B40" s="9">
        <f>'Raw Data (KG)'!B40</f>
        <v/>
      </c>
      <c r="C40" s="9">
        <f>'Raw Data (KG)'!C40</f>
        <v/>
      </c>
      <c r="D40" s="9">
        <f>SUM(B40:C40)</f>
        <v/>
      </c>
      <c r="E40" s="9">
        <f>SUM(D29:D40)</f>
        <v/>
      </c>
      <c r="F40" s="62">
        <f>E40/12</f>
        <v/>
      </c>
      <c r="K40" s="9" t="n"/>
      <c r="L40" s="9" t="n"/>
      <c r="M40" s="149" t="n"/>
      <c r="N40" s="62" t="n"/>
      <c r="O40" s="62" t="n"/>
      <c r="P40" s="9" t="n"/>
      <c r="Q40" s="9" t="n"/>
      <c r="R40" s="9" t="n"/>
      <c r="S40" s="62" t="n"/>
      <c r="T40" s="62" t="n"/>
      <c r="W40" s="679" t="n"/>
      <c r="X40" s="679" t="n"/>
      <c r="Y40" s="679" t="n"/>
      <c r="Z40" s="679" t="n"/>
      <c r="AA40" s="679" t="n"/>
      <c r="AB40" s="679" t="n"/>
      <c r="AC40" s="679" t="n"/>
      <c r="AD40" s="679" t="n"/>
      <c r="AE40" s="679" t="n"/>
      <c r="AF40" s="741" t="n"/>
    </row>
    <row r="41">
      <c r="A41" s="105" t="n">
        <v>42644</v>
      </c>
      <c r="B41" s="9">
        <f>'Raw Data (KG)'!B41</f>
        <v/>
      </c>
      <c r="C41" s="9">
        <f>'Raw Data (KG)'!C41</f>
        <v/>
      </c>
      <c r="D41" s="9">
        <f>SUM(B41:C41)</f>
        <v/>
      </c>
      <c r="E41" s="9">
        <f>SUM(D30:D41)</f>
        <v/>
      </c>
      <c r="F41" s="62">
        <f>E41/12</f>
        <v/>
      </c>
      <c r="K41" s="139" t="n"/>
      <c r="L41" s="139" t="n"/>
      <c r="M41" s="147" t="n"/>
      <c r="N41" s="139" t="n"/>
      <c r="O41" s="139" t="n"/>
      <c r="P41" s="139" t="n"/>
      <c r="Q41" s="139" t="n"/>
      <c r="R41" s="139" t="n"/>
      <c r="S41" s="139" t="n"/>
      <c r="T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47" t="n"/>
    </row>
    <row r="42">
      <c r="A42" s="105" t="n">
        <v>42675</v>
      </c>
      <c r="B42" s="9">
        <f>'Raw Data (KG)'!B42</f>
        <v/>
      </c>
      <c r="C42" s="9">
        <f>'Raw Data (KG)'!C42</f>
        <v/>
      </c>
      <c r="D42" s="9">
        <f>SUM(B42:C42)</f>
        <v/>
      </c>
      <c r="E42" s="9">
        <f>SUM(D31:D42)</f>
        <v/>
      </c>
      <c r="F42" s="62">
        <f>E42/12</f>
        <v/>
      </c>
    </row>
    <row r="43">
      <c r="A43" s="105" t="n">
        <v>42705</v>
      </c>
      <c r="B43" s="9">
        <f>'Raw Data (KG)'!B43</f>
        <v/>
      </c>
      <c r="C43" s="9">
        <f>'Raw Data (KG)'!C43</f>
        <v/>
      </c>
      <c r="D43" s="9">
        <f>SUM(B43:C43)</f>
        <v/>
      </c>
      <c r="E43" s="9">
        <f>SUM(D32:D43)</f>
        <v/>
      </c>
      <c r="F43" s="62">
        <f>E43/12</f>
        <v/>
      </c>
      <c r="J43" s="55" t="n"/>
      <c r="K43" s="121" t="n"/>
      <c r="L43" s="121" t="n"/>
      <c r="M43" s="144" t="n"/>
      <c r="N43" s="121" t="n"/>
      <c r="O43" s="121" t="n"/>
      <c r="P43" s="121" t="n"/>
      <c r="Q43" s="121" t="n"/>
      <c r="R43" s="121" t="n"/>
      <c r="S43" s="743" t="n"/>
      <c r="T43" s="121" t="n"/>
      <c r="V43" s="55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8" t="n"/>
      <c r="AF43" s="739" t="n"/>
    </row>
    <row r="44">
      <c r="A44" s="105" t="n">
        <v>42736</v>
      </c>
      <c r="B44" s="9">
        <f>'Raw Data (KG)'!B44</f>
        <v/>
      </c>
      <c r="C44" s="9">
        <f>'Raw Data (KG)'!C44</f>
        <v/>
      </c>
      <c r="D44" s="9">
        <f>SUM(B44:C44)</f>
        <v/>
      </c>
      <c r="E44" s="9">
        <f>SUM(D33:D44)</f>
        <v/>
      </c>
      <c r="F44" s="62">
        <f>E44/12</f>
        <v/>
      </c>
      <c r="K44" s="9" t="n"/>
      <c r="L44" s="9" t="n"/>
      <c r="M44" s="149" t="n"/>
      <c r="N44" s="62" t="n"/>
      <c r="O44" s="62" t="n"/>
      <c r="P44" s="9" t="n"/>
      <c r="Q44" s="9" t="n"/>
      <c r="R44" s="9" t="n"/>
      <c r="S44" s="62" t="n"/>
      <c r="T44" s="62" t="n"/>
      <c r="W44" s="679" t="n"/>
      <c r="X44" s="679" t="n"/>
      <c r="Y44" s="679" t="n"/>
      <c r="Z44" s="679" t="n"/>
      <c r="AA44" s="679" t="n"/>
      <c r="AB44" s="679" t="n"/>
      <c r="AC44" s="679" t="n"/>
      <c r="AD44" s="679" t="n"/>
      <c r="AE44" s="679" t="n"/>
      <c r="AF44" s="741" t="n"/>
    </row>
    <row r="45">
      <c r="A45" s="105" t="n">
        <v>42767</v>
      </c>
      <c r="B45" s="9">
        <f>'Raw Data (KG)'!B45</f>
        <v/>
      </c>
      <c r="C45" s="9">
        <f>'Raw Data (KG)'!C45</f>
        <v/>
      </c>
      <c r="D45" s="9">
        <f>SUM(B45:C45)</f>
        <v/>
      </c>
      <c r="E45" s="9">
        <f>SUM(D34:D45)</f>
        <v/>
      </c>
      <c r="F45" s="62">
        <f>E45/12</f>
        <v/>
      </c>
      <c r="K45" s="9" t="n"/>
      <c r="L45" s="9" t="n"/>
      <c r="M45" s="149" t="n"/>
      <c r="N45" s="62" t="n"/>
      <c r="O45" s="62" t="n"/>
      <c r="P45" s="9" t="n"/>
      <c r="Q45" s="9" t="n"/>
      <c r="R45" s="9" t="n"/>
      <c r="S45" s="62" t="n"/>
      <c r="T45" s="62" t="n"/>
      <c r="W45" s="679" t="n"/>
      <c r="X45" s="679" t="n"/>
      <c r="Y45" s="679" t="n"/>
      <c r="Z45" s="679" t="n"/>
      <c r="AA45" s="679" t="n"/>
      <c r="AB45" s="679" t="n"/>
      <c r="AC45" s="679" t="n"/>
      <c r="AD45" s="679" t="n"/>
      <c r="AE45" s="679" t="n"/>
      <c r="AF45" s="741" t="n"/>
    </row>
    <row r="46">
      <c r="A46" s="105" t="n">
        <v>42795</v>
      </c>
      <c r="B46" s="9">
        <f>'Raw Data (KG)'!B46</f>
        <v/>
      </c>
      <c r="C46" s="9">
        <f>'Raw Data (KG)'!C46</f>
        <v/>
      </c>
      <c r="D46" s="9">
        <f>SUM(B46:C46)</f>
        <v/>
      </c>
      <c r="E46" s="9">
        <f>SUM(D35:D46)</f>
        <v/>
      </c>
      <c r="F46" s="62">
        <f>E46/12</f>
        <v/>
      </c>
      <c r="K46" s="139" t="n"/>
      <c r="L46" s="139" t="n"/>
      <c r="M46" s="147" t="n"/>
      <c r="N46" s="139" t="n"/>
      <c r="O46" s="139" t="n"/>
      <c r="P46" s="139" t="n"/>
      <c r="Q46" s="139" t="n"/>
      <c r="R46" s="139" t="n"/>
      <c r="S46" s="139" t="n"/>
      <c r="T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47" t="n"/>
    </row>
    <row r="47">
      <c r="A47" s="105" t="n">
        <v>42826</v>
      </c>
      <c r="B47" s="9">
        <f>'Raw Data (KG)'!B47</f>
        <v/>
      </c>
      <c r="C47" s="9">
        <f>'Raw Data (KG)'!C47</f>
        <v/>
      </c>
      <c r="D47" s="9">
        <f>SUM(B47:C47)</f>
        <v/>
      </c>
      <c r="E47" s="9">
        <f>SUM(D36:D47)</f>
        <v/>
      </c>
      <c r="F47" s="62">
        <f>E47/12</f>
        <v/>
      </c>
    </row>
    <row r="48">
      <c r="A48" s="105" t="n">
        <v>42856</v>
      </c>
      <c r="B48" s="9">
        <f>'Raw Data (KG)'!B48</f>
        <v/>
      </c>
      <c r="C48" s="9">
        <f>'Raw Data (KG)'!C48</f>
        <v/>
      </c>
      <c r="D48" s="9">
        <f>SUM(B48:C48)</f>
        <v/>
      </c>
      <c r="E48" s="9">
        <f>SUM(D37:D48)</f>
        <v/>
      </c>
      <c r="F48" s="62">
        <f>E48/12</f>
        <v/>
      </c>
    </row>
    <row r="49">
      <c r="A49" s="105" t="n">
        <v>42887</v>
      </c>
      <c r="B49" s="9">
        <f>'Raw Data (KG)'!B49</f>
        <v/>
      </c>
      <c r="C49" s="9">
        <f>'Raw Data (KG)'!C49</f>
        <v/>
      </c>
      <c r="D49" s="9">
        <f>SUM(B49:C49)</f>
        <v/>
      </c>
      <c r="E49" s="9">
        <f>SUM(D38:D49)</f>
        <v/>
      </c>
      <c r="F49" s="62">
        <f>E49/12</f>
        <v/>
      </c>
    </row>
    <row r="50">
      <c r="A50" s="105" t="n">
        <v>42917</v>
      </c>
      <c r="B50" s="9">
        <f>'Raw Data (KG)'!B50</f>
        <v/>
      </c>
      <c r="C50" s="9">
        <f>'Raw Data (KG)'!C50</f>
        <v/>
      </c>
      <c r="D50" s="9">
        <f>SUM(B50:C50)</f>
        <v/>
      </c>
      <c r="E50" s="9">
        <f>SUM(D39:D50)</f>
        <v/>
      </c>
      <c r="F50" s="62">
        <f>E50/12</f>
        <v/>
      </c>
    </row>
    <row r="51">
      <c r="A51" s="105" t="n">
        <v>42948</v>
      </c>
      <c r="B51" s="9">
        <f>'Raw Data (KG)'!B51</f>
        <v/>
      </c>
      <c r="C51" s="9">
        <f>'Raw Data (KG)'!C51</f>
        <v/>
      </c>
      <c r="D51" s="9">
        <f>SUM(B51:C51)</f>
        <v/>
      </c>
      <c r="E51" s="9">
        <f>SUM(D40:D51)</f>
        <v/>
      </c>
      <c r="F51" s="62">
        <f>E51/12</f>
        <v/>
      </c>
    </row>
    <row r="52">
      <c r="A52" s="105" t="n">
        <v>42979</v>
      </c>
      <c r="B52" s="9">
        <f>'Raw Data (KG)'!B52</f>
        <v/>
      </c>
      <c r="C52" s="9">
        <f>'Raw Data (KG)'!C52</f>
        <v/>
      </c>
      <c r="D52" s="9">
        <f>SUM(B52:C52)</f>
        <v/>
      </c>
      <c r="E52" s="9">
        <f>SUM(D41:D52)</f>
        <v/>
      </c>
      <c r="F52" s="62">
        <f>E52/12</f>
        <v/>
      </c>
    </row>
    <row r="53">
      <c r="A53" s="105" t="n">
        <v>43009</v>
      </c>
      <c r="B53" s="9">
        <f>'Raw Data (KG)'!B53</f>
        <v/>
      </c>
      <c r="C53" s="9">
        <f>'Raw Data (KG)'!C53</f>
        <v/>
      </c>
      <c r="D53" s="9">
        <f>SUM(B53:C53)</f>
        <v/>
      </c>
      <c r="E53" s="9">
        <f>SUM(D42:D53)</f>
        <v/>
      </c>
      <c r="F53" s="62">
        <f>E53/12</f>
        <v/>
      </c>
    </row>
    <row r="54">
      <c r="A54" s="105" t="n">
        <v>43040</v>
      </c>
      <c r="B54" s="9">
        <f>'Raw Data (KG)'!B54</f>
        <v/>
      </c>
      <c r="C54" s="9">
        <f>'Raw Data (KG)'!C54</f>
        <v/>
      </c>
      <c r="D54" s="9">
        <f>SUM(B54:C54)</f>
        <v/>
      </c>
      <c r="E54" s="9">
        <f>SUM(D43:D54)</f>
        <v/>
      </c>
      <c r="F54" s="62">
        <f>E54/12</f>
        <v/>
      </c>
    </row>
    <row r="55">
      <c r="A55" s="105" t="n">
        <v>43070</v>
      </c>
      <c r="B55" s="9">
        <f>'Raw Data (KG)'!B55</f>
        <v/>
      </c>
      <c r="C55" s="9">
        <f>'Raw Data (KG)'!C55</f>
        <v/>
      </c>
      <c r="D55" s="9">
        <f>SUM(B55:C55)</f>
        <v/>
      </c>
      <c r="E55" s="9">
        <f>SUM(D44:D55)</f>
        <v/>
      </c>
      <c r="F55" s="62">
        <f>E55/12</f>
        <v/>
      </c>
    </row>
    <row r="56">
      <c r="A56" s="105" t="n">
        <v>43101</v>
      </c>
      <c r="B56" s="9">
        <f>'Raw Data (KG)'!B56</f>
        <v/>
      </c>
      <c r="C56" s="9">
        <f>'Raw Data (KG)'!C56</f>
        <v/>
      </c>
      <c r="D56" s="9">
        <f>SUM(B56:C56)</f>
        <v/>
      </c>
      <c r="E56" s="9">
        <f>SUM(D45:D56)</f>
        <v/>
      </c>
      <c r="F56" s="62">
        <f>E56/12</f>
        <v/>
      </c>
    </row>
    <row r="57">
      <c r="A57" s="105" t="n">
        <v>43132</v>
      </c>
      <c r="B57" s="9">
        <f>'Raw Data (KG)'!B57</f>
        <v/>
      </c>
      <c r="C57" s="9">
        <f>'Raw Data (KG)'!C57</f>
        <v/>
      </c>
      <c r="D57" s="9">
        <f>SUM(B57:C57)</f>
        <v/>
      </c>
      <c r="E57" s="9">
        <f>SUM(D46:D57)</f>
        <v/>
      </c>
      <c r="F57" s="62">
        <f>E57/12</f>
        <v/>
      </c>
    </row>
    <row r="58">
      <c r="A58" s="105" t="n">
        <v>43160</v>
      </c>
      <c r="B58" s="9">
        <f>'Raw Data (KG)'!B58</f>
        <v/>
      </c>
      <c r="C58" s="9">
        <f>'Raw Data (KG)'!C58</f>
        <v/>
      </c>
      <c r="D58" s="9">
        <f>SUM(B58:C58)</f>
        <v/>
      </c>
      <c r="E58" s="9">
        <f>SUM(D47:D58)</f>
        <v/>
      </c>
      <c r="F58" s="62">
        <f>E58/12</f>
        <v/>
      </c>
    </row>
    <row r="59">
      <c r="A59" s="105" t="n">
        <v>43191</v>
      </c>
      <c r="B59" s="9">
        <f>'Raw Data (KG)'!B59</f>
        <v/>
      </c>
      <c r="C59" s="9">
        <f>'Raw Data (KG)'!C59</f>
        <v/>
      </c>
      <c r="D59" s="9">
        <f>SUM(B59:C59)</f>
        <v/>
      </c>
      <c r="E59" s="9">
        <f>SUM(D48:D59)</f>
        <v/>
      </c>
      <c r="F59" s="62">
        <f>E59/12</f>
        <v/>
      </c>
    </row>
    <row r="60">
      <c r="A60" s="105" t="n">
        <v>43221</v>
      </c>
      <c r="B60" s="9">
        <f>'Raw Data (KG)'!B60</f>
        <v/>
      </c>
      <c r="C60" s="9">
        <f>'Raw Data (KG)'!C60</f>
        <v/>
      </c>
      <c r="D60" s="9">
        <f>SUM(B60:C60)</f>
        <v/>
      </c>
      <c r="E60" s="9">
        <f>SUM(D49:D60)</f>
        <v/>
      </c>
      <c r="F60" s="62">
        <f>E60/12</f>
        <v/>
      </c>
    </row>
    <row r="61">
      <c r="A61" s="105" t="n">
        <v>43252</v>
      </c>
      <c r="B61" s="9">
        <f>'Raw Data (KG)'!B61</f>
        <v/>
      </c>
      <c r="C61" s="9">
        <f>'Raw Data (KG)'!C61</f>
        <v/>
      </c>
      <c r="D61" s="9">
        <f>SUM(B61:C61)</f>
        <v/>
      </c>
      <c r="E61" s="9">
        <f>SUM(D50:D61)</f>
        <v/>
      </c>
      <c r="F61" s="62">
        <f>E61/12</f>
        <v/>
      </c>
    </row>
    <row r="62">
      <c r="A62" s="105" t="n">
        <v>43282</v>
      </c>
      <c r="B62" s="9">
        <f>'Raw Data (KG)'!B62</f>
        <v/>
      </c>
      <c r="C62" s="9">
        <f>'Raw Data (KG)'!C62</f>
        <v/>
      </c>
      <c r="D62" s="9">
        <f>SUM(B62:C62)</f>
        <v/>
      </c>
      <c r="E62" s="9">
        <f>SUM(D51:D62)</f>
        <v/>
      </c>
      <c r="F62" s="62">
        <f>E62/12</f>
        <v/>
      </c>
    </row>
    <row r="63">
      <c r="A63" s="105" t="n">
        <v>43313</v>
      </c>
      <c r="B63" s="9">
        <f>'Raw Data (KG)'!B63</f>
        <v/>
      </c>
      <c r="C63" s="9">
        <f>'Raw Data (KG)'!C63</f>
        <v/>
      </c>
      <c r="D63" s="9">
        <f>SUM(B63:C63)</f>
        <v/>
      </c>
      <c r="E63" s="9">
        <f>SUM(D52:D63)</f>
        <v/>
      </c>
      <c r="F63" s="62">
        <f>E63/12</f>
        <v/>
      </c>
    </row>
    <row r="64">
      <c r="A64" s="105" t="n">
        <v>43344</v>
      </c>
      <c r="B64" s="9">
        <f>'Raw Data (KG)'!B64</f>
        <v/>
      </c>
      <c r="C64" s="9">
        <f>'Raw Data (KG)'!C64</f>
        <v/>
      </c>
      <c r="D64" s="9">
        <f>SUM(B64:C64)</f>
        <v/>
      </c>
      <c r="E64" s="9">
        <f>SUM(D53:D64)</f>
        <v/>
      </c>
      <c r="F64" s="62">
        <f>E64/12</f>
        <v/>
      </c>
    </row>
    <row r="65">
      <c r="A65" s="105" t="n">
        <v>43374</v>
      </c>
      <c r="B65" s="9">
        <f>'Raw Data (KG)'!B65</f>
        <v/>
      </c>
      <c r="C65" s="9">
        <f>'Raw Data (KG)'!C65</f>
        <v/>
      </c>
      <c r="D65" s="9">
        <f>SUM(B65:C65)</f>
        <v/>
      </c>
      <c r="E65" s="9">
        <f>SUM(D54:D65)</f>
        <v/>
      </c>
      <c r="F65" s="62">
        <f>E65/12</f>
        <v/>
      </c>
    </row>
    <row r="66">
      <c r="A66" s="105" t="n">
        <v>43405</v>
      </c>
      <c r="B66" s="9">
        <f>'Raw Data (KG)'!B66</f>
        <v/>
      </c>
      <c r="C66" s="9">
        <f>'Raw Data (KG)'!C66</f>
        <v/>
      </c>
      <c r="D66" s="9">
        <f>SUM(B66:C66)</f>
        <v/>
      </c>
      <c r="E66" s="9">
        <f>SUM(D55:D66)</f>
        <v/>
      </c>
      <c r="F66" s="62">
        <f>E66/12</f>
        <v/>
      </c>
    </row>
    <row r="67">
      <c r="A67" s="105" t="n">
        <v>43435</v>
      </c>
      <c r="B67" s="9">
        <f>'Raw Data (KG)'!B67</f>
        <v/>
      </c>
      <c r="C67" s="9">
        <f>'Raw Data (KG)'!C67</f>
        <v/>
      </c>
      <c r="D67" s="9">
        <f>SUM(B67:C67)</f>
        <v/>
      </c>
      <c r="E67" s="9">
        <f>SUM(D56:D67)</f>
        <v/>
      </c>
      <c r="F67" s="62">
        <f>E67/12</f>
        <v/>
      </c>
    </row>
    <row r="68">
      <c r="A68" s="105" t="n">
        <v>43466</v>
      </c>
      <c r="B68" s="9">
        <f>'Raw Data (KG)'!B68</f>
        <v/>
      </c>
      <c r="C68" s="9">
        <f>'Raw Data (KG)'!C68</f>
        <v/>
      </c>
      <c r="D68" s="9">
        <f>SUM(B68:C68)</f>
        <v/>
      </c>
      <c r="E68" s="9">
        <f>SUM(D57:D68)</f>
        <v/>
      </c>
      <c r="F68" s="62">
        <f>E68/12</f>
        <v/>
      </c>
    </row>
    <row r="69">
      <c r="A69" s="105" t="n">
        <v>43497</v>
      </c>
      <c r="B69" s="9">
        <f>'Raw Data (KG)'!B69</f>
        <v/>
      </c>
      <c r="C69" s="9">
        <f>'Raw Data (KG)'!C69</f>
        <v/>
      </c>
      <c r="D69" s="9">
        <f>SUM(B69:C69)</f>
        <v/>
      </c>
      <c r="E69" s="9">
        <f>SUM(D58:D69)</f>
        <v/>
      </c>
      <c r="F69" s="62">
        <f>E69/12</f>
        <v/>
      </c>
    </row>
    <row r="70">
      <c r="A70" s="105" t="n">
        <v>43525</v>
      </c>
      <c r="B70" s="9">
        <f>'Raw Data (KG)'!B70</f>
        <v/>
      </c>
      <c r="C70" s="9">
        <f>'Raw Data (KG)'!C70</f>
        <v/>
      </c>
      <c r="D70" s="9">
        <f>SUM(B70:C70)</f>
        <v/>
      </c>
      <c r="E70" s="9">
        <f>SUM(D59:D70)</f>
        <v/>
      </c>
      <c r="F70" s="62">
        <f>E70/12</f>
        <v/>
      </c>
    </row>
    <row r="71">
      <c r="A71" s="105" t="n">
        <v>43556</v>
      </c>
      <c r="B71" s="9">
        <f>'Raw Data (KG)'!B71</f>
        <v/>
      </c>
      <c r="C71" s="9">
        <f>'Raw Data (KG)'!C71</f>
        <v/>
      </c>
      <c r="D71" s="9">
        <f>SUM(B71:C71)</f>
        <v/>
      </c>
      <c r="E71" s="9">
        <f>SUM(D60:D71)</f>
        <v/>
      </c>
      <c r="F71" s="62">
        <f>E71/12</f>
        <v/>
      </c>
    </row>
    <row r="72">
      <c r="A72" s="105" t="n">
        <v>43586</v>
      </c>
      <c r="B72" s="9">
        <f>'Raw Data (KG)'!B72</f>
        <v/>
      </c>
      <c r="C72" s="9">
        <f>'Raw Data (KG)'!C72</f>
        <v/>
      </c>
      <c r="D72" s="9">
        <f>SUM(B72:C72)</f>
        <v/>
      </c>
      <c r="E72" s="9">
        <f>SUM(D61:D72)</f>
        <v/>
      </c>
      <c r="F72" s="62">
        <f>E72/12</f>
        <v/>
      </c>
    </row>
    <row r="73">
      <c r="A73" s="105" t="n">
        <v>43617</v>
      </c>
      <c r="B73" s="9">
        <f>'Raw Data (KG)'!B73</f>
        <v/>
      </c>
      <c r="C73" s="9">
        <f>'Raw Data (KG)'!C73</f>
        <v/>
      </c>
      <c r="D73" s="9">
        <f>SUM(B73:C73)</f>
        <v/>
      </c>
      <c r="E73" s="9">
        <f>SUM(D62:D73)</f>
        <v/>
      </c>
      <c r="F73" s="62">
        <f>E73/12</f>
        <v/>
      </c>
    </row>
    <row r="74">
      <c r="A74" s="105" t="n">
        <v>43647</v>
      </c>
      <c r="B74" s="9">
        <f>'Raw Data (KG)'!B74</f>
        <v/>
      </c>
      <c r="C74" s="9">
        <f>'Raw Data (KG)'!C74</f>
        <v/>
      </c>
      <c r="D74" s="9">
        <f>SUM(B74:C74)</f>
        <v/>
      </c>
      <c r="E74" s="9">
        <f>SUM(D63:D74)</f>
        <v/>
      </c>
      <c r="F74" s="62">
        <f>E74/12</f>
        <v/>
      </c>
    </row>
    <row r="75">
      <c r="A75" s="105" t="n">
        <v>43678</v>
      </c>
      <c r="B75" s="9">
        <f>'Raw Data (KG)'!B75</f>
        <v/>
      </c>
      <c r="C75" s="9">
        <f>'Raw Data (KG)'!C75</f>
        <v/>
      </c>
      <c r="D75" s="9">
        <f>SUM(B75:C75)</f>
        <v/>
      </c>
      <c r="E75" s="9">
        <f>SUM(D64:D75)</f>
        <v/>
      </c>
      <c r="F75" s="62">
        <f>E75/12</f>
        <v/>
      </c>
    </row>
    <row r="76">
      <c r="A76" s="105" t="n">
        <v>43709</v>
      </c>
      <c r="B76" s="9">
        <f>'Raw Data (KG)'!B76</f>
        <v/>
      </c>
      <c r="C76" s="9">
        <f>'Raw Data (KG)'!C76</f>
        <v/>
      </c>
      <c r="D76" s="9">
        <f>SUM(B76:C76)</f>
        <v/>
      </c>
      <c r="E76" s="9">
        <f>SUM(D65:D76)</f>
        <v/>
      </c>
      <c r="F76" s="62">
        <f>E76/12</f>
        <v/>
      </c>
    </row>
    <row r="77">
      <c r="A77" s="105" t="n">
        <v>43739</v>
      </c>
      <c r="B77" s="9">
        <f>'Raw Data (KG)'!B77</f>
        <v/>
      </c>
      <c r="C77" s="9">
        <f>'Raw Data (KG)'!C77</f>
        <v/>
      </c>
      <c r="D77" s="9">
        <f>SUM(B77:C77)</f>
        <v/>
      </c>
      <c r="E77" s="9">
        <f>SUM(D66:D77)</f>
        <v/>
      </c>
      <c r="F77" s="62">
        <f>E77/12</f>
        <v/>
      </c>
    </row>
    <row r="78">
      <c r="A78" s="105" t="n">
        <v>43770</v>
      </c>
      <c r="B78" s="9">
        <f>'Raw Data (KG)'!B78</f>
        <v/>
      </c>
      <c r="C78" s="9">
        <f>'Raw Data (KG)'!C78</f>
        <v/>
      </c>
      <c r="D78" s="9">
        <f>SUM(B78:C78)</f>
        <v/>
      </c>
      <c r="E78" s="9">
        <f>SUM(D67:D78)</f>
        <v/>
      </c>
      <c r="F78" s="62">
        <f>E78/12</f>
        <v/>
      </c>
    </row>
    <row r="79">
      <c r="A79" s="105" t="n">
        <v>43800</v>
      </c>
      <c r="B79" s="9">
        <f>'Raw Data (KG)'!B79</f>
        <v/>
      </c>
      <c r="C79" s="9">
        <f>'Raw Data (KG)'!C79</f>
        <v/>
      </c>
      <c r="D79" s="9">
        <f>SUM(B79:C79)</f>
        <v/>
      </c>
      <c r="E79" s="9">
        <f>SUM(D68:D79)</f>
        <v/>
      </c>
      <c r="F79" s="62">
        <f>E79/12</f>
        <v/>
      </c>
    </row>
    <row r="80">
      <c r="A80" s="105" t="n">
        <v>43831</v>
      </c>
      <c r="B80" s="9">
        <f>'Raw Data (KG)'!B80</f>
        <v/>
      </c>
      <c r="C80" s="9">
        <f>'Raw Data (KG)'!C80</f>
        <v/>
      </c>
      <c r="D80" s="9">
        <f>SUM(B80:C80)</f>
        <v/>
      </c>
      <c r="E80" s="9">
        <f>SUM(D69:D80)</f>
        <v/>
      </c>
      <c r="F80" s="62">
        <f>E80/12</f>
        <v/>
      </c>
    </row>
    <row r="81">
      <c r="A81" s="105" t="n">
        <v>43862</v>
      </c>
      <c r="B81" s="9">
        <f>'Raw Data (KG)'!B81</f>
        <v/>
      </c>
      <c r="C81" s="9">
        <f>'Raw Data (KG)'!C81</f>
        <v/>
      </c>
      <c r="D81" s="9">
        <f>SUM(B81:C81)</f>
        <v/>
      </c>
      <c r="E81" s="9">
        <f>SUM(D70:D81)</f>
        <v/>
      </c>
      <c r="F81" s="62">
        <f>E81/12</f>
        <v/>
      </c>
    </row>
    <row r="82">
      <c r="A82" s="105" t="n">
        <v>43891</v>
      </c>
      <c r="B82" s="9">
        <f>'Raw Data (KG)'!B82</f>
        <v/>
      </c>
      <c r="C82" s="9">
        <f>'Raw Data (KG)'!C82</f>
        <v/>
      </c>
      <c r="D82" s="9">
        <f>SUM(B82:C82)</f>
        <v/>
      </c>
      <c r="E82" s="9">
        <f>SUM(D71:D82)</f>
        <v/>
      </c>
      <c r="F82" s="62">
        <f>E82/12</f>
        <v/>
      </c>
    </row>
    <row r="83">
      <c r="A83" s="105" t="n">
        <v>43922</v>
      </c>
      <c r="B83" s="9">
        <f>'Raw Data (KG)'!B83</f>
        <v/>
      </c>
      <c r="C83" s="9">
        <f>'Raw Data (KG)'!C83</f>
        <v/>
      </c>
      <c r="D83" s="9">
        <f>SUM(B83:C83)</f>
        <v/>
      </c>
      <c r="E83" s="9">
        <f>SUM(D72:D83)</f>
        <v/>
      </c>
      <c r="F83" s="62">
        <f>E83/12</f>
        <v/>
      </c>
    </row>
    <row r="84">
      <c r="A84" s="105" t="n">
        <v>43952</v>
      </c>
      <c r="B84" s="9">
        <f>'Raw Data (KG)'!B84</f>
        <v/>
      </c>
      <c r="C84" s="9">
        <f>'Raw Data (KG)'!C84</f>
        <v/>
      </c>
      <c r="D84" s="9">
        <f>SUM(B84:C84)</f>
        <v/>
      </c>
      <c r="E84" s="9">
        <f>SUM(D73:D84)</f>
        <v/>
      </c>
      <c r="F84" s="62">
        <f>E84/12</f>
        <v/>
      </c>
    </row>
    <row r="85">
      <c r="A85" s="105" t="n">
        <v>43983</v>
      </c>
      <c r="B85" s="9">
        <f>'Raw Data (KG)'!B85</f>
        <v/>
      </c>
      <c r="C85" s="9">
        <f>'Raw Data (KG)'!C85</f>
        <v/>
      </c>
      <c r="D85" s="9">
        <f>SUM(B85:C85)</f>
        <v/>
      </c>
      <c r="E85" s="9">
        <f>SUM(D74:D85)</f>
        <v/>
      </c>
      <c r="F85" s="62">
        <f>E85/12</f>
        <v/>
      </c>
    </row>
    <row r="86">
      <c r="A86" s="105" t="n">
        <v>44013</v>
      </c>
      <c r="B86" s="9">
        <f>'Raw Data (KG)'!B86</f>
        <v/>
      </c>
      <c r="C86" s="9">
        <f>'Raw Data (KG)'!C86</f>
        <v/>
      </c>
      <c r="D86" s="9">
        <f>SUM(B86:C86)</f>
        <v/>
      </c>
      <c r="E86" s="9">
        <f>SUM(D75:D86)</f>
        <v/>
      </c>
      <c r="F86" s="62">
        <f>E86/12</f>
        <v/>
      </c>
    </row>
    <row r="87">
      <c r="A87" s="105" t="n">
        <v>44044</v>
      </c>
      <c r="B87" s="9">
        <f>'Raw Data (KG)'!B87</f>
        <v/>
      </c>
      <c r="C87" s="9">
        <f>'Raw Data (KG)'!C87</f>
        <v/>
      </c>
      <c r="D87" s="9">
        <f>SUM(B87:C87)</f>
        <v/>
      </c>
      <c r="E87" s="9">
        <f>SUM(D76:D87)</f>
        <v/>
      </c>
      <c r="F87" s="62">
        <f>E87/12</f>
        <v/>
      </c>
    </row>
    <row r="88">
      <c r="A88" s="105" t="n">
        <v>44075</v>
      </c>
      <c r="B88" s="9">
        <f>'Raw Data (KG)'!B88</f>
        <v/>
      </c>
      <c r="C88" s="9">
        <f>'Raw Data (KG)'!C88</f>
        <v/>
      </c>
      <c r="D88" s="9">
        <f>SUM(B88:C88)</f>
        <v/>
      </c>
      <c r="E88" s="9">
        <f>SUM(D77:D88)</f>
        <v/>
      </c>
      <c r="F88" s="62">
        <f>E88/12</f>
        <v/>
      </c>
    </row>
    <row r="89">
      <c r="A89" s="105" t="n">
        <v>44105</v>
      </c>
      <c r="B89" s="9">
        <f>'Raw Data (KG)'!B89</f>
        <v/>
      </c>
      <c r="C89" s="9">
        <f>'Raw Data (KG)'!C89</f>
        <v/>
      </c>
      <c r="D89" s="9">
        <f>SUM(B89:C89)</f>
        <v/>
      </c>
      <c r="E89" s="9">
        <f>SUM(D78:D89)</f>
        <v/>
      </c>
      <c r="F89" s="62">
        <f>E89/12</f>
        <v/>
      </c>
    </row>
    <row r="90">
      <c r="A90" s="105" t="n">
        <v>44136</v>
      </c>
      <c r="B90" s="9">
        <f>'Raw Data (KG)'!B90</f>
        <v/>
      </c>
      <c r="C90" s="9">
        <f>'Raw Data (KG)'!C90</f>
        <v/>
      </c>
      <c r="D90" s="9">
        <f>SUM(B90:C90)</f>
        <v/>
      </c>
      <c r="E90" s="9">
        <f>SUM(D79:D90)</f>
        <v/>
      </c>
      <c r="F90" s="62">
        <f>E90/12</f>
        <v/>
      </c>
    </row>
    <row r="91">
      <c r="A91" s="105" t="n">
        <v>44166</v>
      </c>
      <c r="B91" s="9">
        <f>'Raw Data (KG)'!B91</f>
        <v/>
      </c>
      <c r="C91" s="9">
        <f>'Raw Data (KG)'!C91</f>
        <v/>
      </c>
      <c r="D91" s="9">
        <f>SUM(B91:C91)</f>
        <v/>
      </c>
      <c r="E91" s="9">
        <f>SUM(D80:D91)</f>
        <v/>
      </c>
      <c r="F91" s="62">
        <f>E91/12</f>
        <v/>
      </c>
    </row>
    <row r="92">
      <c r="A92" s="105" t="n">
        <v>44197</v>
      </c>
      <c r="B92" s="9">
        <f>'Raw Data (KG)'!B92</f>
        <v/>
      </c>
      <c r="C92" s="9">
        <f>'Raw Data (KG)'!C92</f>
        <v/>
      </c>
      <c r="D92" s="9">
        <f>SUM(B92:C92)</f>
        <v/>
      </c>
      <c r="E92" s="9">
        <f>SUM(D81:D92)</f>
        <v/>
      </c>
      <c r="F92" s="62">
        <f>E92/12</f>
        <v/>
      </c>
    </row>
    <row r="93">
      <c r="A93" s="105" t="n">
        <v>44228</v>
      </c>
      <c r="B93" s="9">
        <f>'Raw Data (KG)'!B93</f>
        <v/>
      </c>
      <c r="C93" s="9">
        <f>'Raw Data (KG)'!C93</f>
        <v/>
      </c>
      <c r="D93" s="9">
        <f>SUM(B93:C93)</f>
        <v/>
      </c>
      <c r="E93" s="9">
        <f>SUM(D82:D93)</f>
        <v/>
      </c>
      <c r="F93" s="62">
        <f>E93/12</f>
        <v/>
      </c>
    </row>
    <row r="94">
      <c r="A94" s="105" t="n">
        <v>44256</v>
      </c>
      <c r="B94" s="9">
        <f>'Raw Data (KG)'!B94</f>
        <v/>
      </c>
      <c r="C94" s="9">
        <f>'Raw Data (KG)'!C94</f>
        <v/>
      </c>
      <c r="D94" s="9">
        <f>SUM(B94:C94)</f>
        <v/>
      </c>
      <c r="E94" s="9">
        <f>SUM(D83:D94)</f>
        <v/>
      </c>
      <c r="F94" s="62">
        <f>E94/12</f>
        <v/>
      </c>
    </row>
    <row r="95">
      <c r="A95" s="105" t="n">
        <v>44287</v>
      </c>
      <c r="B95" s="9">
        <f>'Raw Data (KG)'!B95</f>
        <v/>
      </c>
      <c r="C95" s="9">
        <f>'Raw Data (KG)'!C95</f>
        <v/>
      </c>
      <c r="D95" s="9">
        <f>SUM(B95:C95)</f>
        <v/>
      </c>
      <c r="E95" s="9">
        <f>SUM(D84:D95)</f>
        <v/>
      </c>
      <c r="F95" s="62">
        <f>E95/12</f>
        <v/>
      </c>
    </row>
    <row r="96">
      <c r="A96" s="105" t="n">
        <v>44317</v>
      </c>
      <c r="B96" s="9">
        <f>'Raw Data (KG)'!B96</f>
        <v/>
      </c>
      <c r="C96" s="9">
        <f>'Raw Data (KG)'!C96</f>
        <v/>
      </c>
      <c r="D96" s="9">
        <f>SUM(B96:C96)</f>
        <v/>
      </c>
      <c r="E96" s="9">
        <f>SUM(D85:D96)</f>
        <v/>
      </c>
      <c r="F96" s="62">
        <f>E96/12</f>
        <v/>
      </c>
    </row>
    <row r="97">
      <c r="A97" s="105" t="n">
        <v>44348</v>
      </c>
      <c r="B97" s="9">
        <f>'Raw Data (KG)'!B97</f>
        <v/>
      </c>
      <c r="C97" s="9">
        <f>'Raw Data (KG)'!C97</f>
        <v/>
      </c>
      <c r="D97" s="9">
        <f>SUM(B97:C97)</f>
        <v/>
      </c>
      <c r="E97" s="9">
        <f>SUM(D86:D97)</f>
        <v/>
      </c>
      <c r="F97" s="62">
        <f>E97/12</f>
        <v/>
      </c>
    </row>
    <row r="98">
      <c r="A98" s="105" t="n">
        <v>44378</v>
      </c>
      <c r="B98" s="9">
        <f>'Raw Data (KG)'!B98</f>
        <v/>
      </c>
      <c r="C98" s="9">
        <f>'Raw Data (KG)'!C98</f>
        <v/>
      </c>
      <c r="D98" s="9">
        <f>SUM(B98:C98)</f>
        <v/>
      </c>
      <c r="E98" s="9">
        <f>SUM(D87:D98)</f>
        <v/>
      </c>
      <c r="F98" s="62">
        <f>E98/12</f>
        <v/>
      </c>
    </row>
    <row r="99">
      <c r="A99" s="105" t="n">
        <v>44409</v>
      </c>
      <c r="B99" s="9">
        <f>'Raw Data (KG)'!B99</f>
        <v/>
      </c>
      <c r="C99" s="9">
        <f>'Raw Data (KG)'!C99</f>
        <v/>
      </c>
      <c r="D99" s="9">
        <f>SUM(B99:C99)</f>
        <v/>
      </c>
      <c r="E99" s="9">
        <f>SUM(D88:D99)</f>
        <v/>
      </c>
      <c r="F99" s="62">
        <f>E99/12</f>
        <v/>
      </c>
    </row>
    <row r="100">
      <c r="A100" s="105" t="n">
        <v>44440</v>
      </c>
      <c r="B100" s="9">
        <f>'Raw Data (KG)'!B100</f>
        <v/>
      </c>
      <c r="C100" s="9">
        <f>'Raw Data (KG)'!C100</f>
        <v/>
      </c>
      <c r="D100" s="9">
        <f>SUM(B100:C100)</f>
        <v/>
      </c>
      <c r="E100" s="9">
        <f>SUM(D89:D100)</f>
        <v/>
      </c>
      <c r="F100" s="62">
        <f>E100/12</f>
        <v/>
      </c>
    </row>
    <row r="101">
      <c r="A101" s="105" t="n">
        <v>44470</v>
      </c>
      <c r="B101" s="9">
        <f>'Raw Data (KG)'!B101</f>
        <v/>
      </c>
      <c r="C101" s="9">
        <f>'Raw Data (KG)'!C101</f>
        <v/>
      </c>
      <c r="D101" s="9">
        <f>SUM(B101:C101)</f>
        <v/>
      </c>
      <c r="E101" s="9">
        <f>SUM(D90:D101)</f>
        <v/>
      </c>
      <c r="F101" s="62">
        <f>E101/12</f>
        <v/>
      </c>
    </row>
    <row r="102">
      <c r="A102" s="105" t="n">
        <v>44501</v>
      </c>
      <c r="B102" s="9">
        <f>'Raw Data (KG)'!B102</f>
        <v/>
      </c>
      <c r="C102" s="9">
        <f>'Raw Data (KG)'!C102</f>
        <v/>
      </c>
      <c r="D102" s="9">
        <f>SUM(B102:C102)</f>
        <v/>
      </c>
      <c r="E102" s="9">
        <f>SUM(D91:D102)</f>
        <v/>
      </c>
      <c r="F102" s="62">
        <f>E102/12</f>
        <v/>
      </c>
    </row>
    <row r="103">
      <c r="A103" s="105" t="n">
        <v>44531</v>
      </c>
      <c r="B103" s="9">
        <f>'Raw Data (KG)'!B103</f>
        <v/>
      </c>
      <c r="C103" s="9">
        <f>'Raw Data (KG)'!C103</f>
        <v/>
      </c>
      <c r="D103" s="9">
        <f>SUM(B103:C103)</f>
        <v/>
      </c>
      <c r="E103" s="9">
        <f>SUM(D92:D103)</f>
        <v/>
      </c>
      <c r="F103" s="62">
        <f>E103/12</f>
        <v/>
      </c>
    </row>
    <row r="104">
      <c r="A104" s="105" t="n">
        <v>44562</v>
      </c>
      <c r="B104" s="9">
        <f>'Raw Data (KG)'!B104</f>
        <v/>
      </c>
      <c r="C104" s="9">
        <f>'Raw Data (KG)'!C104</f>
        <v/>
      </c>
      <c r="D104" s="9">
        <f>SUM(B104:C104)</f>
        <v/>
      </c>
      <c r="E104" s="9">
        <f>SUM(D93:D104)</f>
        <v/>
      </c>
      <c r="F104" s="62">
        <f>E104/12</f>
        <v/>
      </c>
    </row>
    <row r="105">
      <c r="A105" s="105" t="n">
        <v>44593</v>
      </c>
      <c r="B105" s="9">
        <f>'Raw Data (KG)'!B105</f>
        <v/>
      </c>
      <c r="C105" s="9">
        <f>'Raw Data (KG)'!C105</f>
        <v/>
      </c>
      <c r="D105" s="9">
        <f>SUM(B105:C105)</f>
        <v/>
      </c>
      <c r="E105" s="9">
        <f>SUM(D94:D105)</f>
        <v/>
      </c>
      <c r="F105" s="62">
        <f>E105/12</f>
        <v/>
      </c>
    </row>
    <row r="106">
      <c r="A106" s="105" t="n">
        <v>44621</v>
      </c>
      <c r="B106" s="9">
        <f>'Raw Data (KG)'!B106</f>
        <v/>
      </c>
      <c r="C106" s="9">
        <f>'Raw Data (KG)'!C106</f>
        <v/>
      </c>
      <c r="D106" s="9">
        <f>SUM(B106:C106)</f>
        <v/>
      </c>
      <c r="E106" s="9">
        <f>SUM(D95:D106)</f>
        <v/>
      </c>
      <c r="F106" s="62">
        <f>E106/12</f>
        <v/>
      </c>
    </row>
    <row r="107">
      <c r="A107" s="105" t="n">
        <v>44652</v>
      </c>
      <c r="B107" s="9">
        <f>'Raw Data (KG)'!B107</f>
        <v/>
      </c>
      <c r="C107" s="9">
        <f>'Raw Data (KG)'!C107</f>
        <v/>
      </c>
      <c r="D107" s="9">
        <f>SUM(B107:C107)</f>
        <v/>
      </c>
      <c r="E107" s="9">
        <f>SUM(D96:D107)</f>
        <v/>
      </c>
      <c r="F107" s="62">
        <f>E107/12</f>
        <v/>
      </c>
    </row>
    <row r="108">
      <c r="A108" s="105" t="n">
        <v>44682</v>
      </c>
      <c r="B108" s="9">
        <f>'Raw Data (KG)'!B108</f>
        <v/>
      </c>
      <c r="C108" s="9">
        <f>'Raw Data (KG)'!C108</f>
        <v/>
      </c>
      <c r="D108" s="9">
        <f>SUM(B108:C108)</f>
        <v/>
      </c>
      <c r="E108" s="9">
        <f>SUM(D97:D108)</f>
        <v/>
      </c>
      <c r="F108" s="62">
        <f>E108/12</f>
        <v/>
      </c>
    </row>
    <row r="109">
      <c r="A109" s="105" t="n">
        <v>44713</v>
      </c>
      <c r="B109" s="9">
        <f>'Raw Data (KG)'!B109</f>
        <v/>
      </c>
      <c r="C109" s="9">
        <f>'Raw Data (KG)'!C109</f>
        <v/>
      </c>
      <c r="D109" s="9">
        <f>SUM(B109:C109)</f>
        <v/>
      </c>
      <c r="E109" s="9">
        <f>SUM(D98:D109)</f>
        <v/>
      </c>
      <c r="F109" s="62">
        <f>E109/12</f>
        <v/>
      </c>
    </row>
    <row r="110">
      <c r="A110" s="105" t="n">
        <v>44743</v>
      </c>
      <c r="B110" s="9">
        <f>'Raw Data (KG)'!B110</f>
        <v/>
      </c>
      <c r="C110" s="9">
        <f>'Raw Data (KG)'!C110</f>
        <v/>
      </c>
      <c r="D110" s="9">
        <f>SUM(B110:C110)</f>
        <v/>
      </c>
      <c r="E110" s="9">
        <f>SUM(D99:D110)</f>
        <v/>
      </c>
      <c r="F110" s="62">
        <f>E110/12</f>
        <v/>
      </c>
    </row>
    <row r="111">
      <c r="A111" s="105" t="n">
        <v>44774</v>
      </c>
      <c r="B111" s="9">
        <f>'Raw Data (KG)'!B111</f>
        <v/>
      </c>
      <c r="C111" s="9">
        <f>'Raw Data (KG)'!C111</f>
        <v/>
      </c>
      <c r="D111" s="9">
        <f>SUM(B111:C111)</f>
        <v/>
      </c>
      <c r="E111" s="9">
        <f>SUM(D100:D111)</f>
        <v/>
      </c>
      <c r="F111" s="62">
        <f>E111/12</f>
        <v/>
      </c>
    </row>
    <row r="112">
      <c r="A112" s="105" t="n">
        <v>44805</v>
      </c>
      <c r="B112" s="9">
        <f>'Raw Data (KG)'!B112</f>
        <v/>
      </c>
      <c r="C112" s="9">
        <f>'Raw Data (KG)'!C112</f>
        <v/>
      </c>
      <c r="D112" s="9">
        <f>SUM(B112:C112)</f>
        <v/>
      </c>
      <c r="E112" s="9">
        <f>SUM(D101:D112)</f>
        <v/>
      </c>
      <c r="F112" s="62">
        <f>E112/12</f>
        <v/>
      </c>
    </row>
    <row r="113">
      <c r="A113" s="105" t="n">
        <v>44835</v>
      </c>
      <c r="B113" s="9">
        <f>'Raw Data (KG)'!B113</f>
        <v/>
      </c>
      <c r="C113" s="9">
        <f>'Raw Data (KG)'!C113</f>
        <v/>
      </c>
      <c r="D113" s="9">
        <f>SUM(B113:C113)</f>
        <v/>
      </c>
      <c r="E113" s="9">
        <f>SUM(D102:D113)</f>
        <v/>
      </c>
      <c r="F113" s="62">
        <f>E113/12</f>
        <v/>
      </c>
    </row>
    <row r="114">
      <c r="A114" s="105" t="n">
        <v>44866</v>
      </c>
      <c r="B114" s="9">
        <f>'Raw Data (KG)'!B114</f>
        <v/>
      </c>
      <c r="C114" s="9">
        <f>'Raw Data (KG)'!C114</f>
        <v/>
      </c>
      <c r="D114" s="9">
        <f>SUM(B114:C114)</f>
        <v/>
      </c>
      <c r="E114" s="9">
        <f>SUM(D103:D114)</f>
        <v/>
      </c>
      <c r="F114" s="62">
        <f>E114/12</f>
        <v/>
      </c>
    </row>
    <row r="115">
      <c r="A115" s="105" t="n">
        <v>44896</v>
      </c>
      <c r="B115" s="9">
        <f>'Raw Data (KG)'!B115</f>
        <v/>
      </c>
      <c r="C115" s="9">
        <f>'Raw Data (KG)'!C115</f>
        <v/>
      </c>
      <c r="D115" s="9">
        <f>SUM(B115:C115)</f>
        <v/>
      </c>
      <c r="E115" s="9">
        <f>SUM(D104:D115)</f>
        <v/>
      </c>
      <c r="F115" s="62">
        <f>E115/12</f>
        <v/>
      </c>
    </row>
    <row r="116">
      <c r="A116" s="105" t="n">
        <v>44927</v>
      </c>
      <c r="B116" s="9">
        <f>'Raw Data (KG)'!B116</f>
        <v/>
      </c>
      <c r="C116" s="9">
        <f>'Raw Data (KG)'!C116</f>
        <v/>
      </c>
      <c r="D116" s="9">
        <f>SUM(B116:C116)</f>
        <v/>
      </c>
      <c r="E116" s="9">
        <f>SUM(D105:D116)</f>
        <v/>
      </c>
      <c r="F116" s="62">
        <f>E116/12</f>
        <v/>
      </c>
    </row>
    <row r="117">
      <c r="A117" s="105" t="n">
        <v>44958</v>
      </c>
      <c r="B117" s="9">
        <f>'Raw Data (KG)'!B117</f>
        <v/>
      </c>
      <c r="C117" s="9">
        <f>'Raw Data (KG)'!C117</f>
        <v/>
      </c>
      <c r="D117" s="9">
        <f>SUM(B117:C117)</f>
        <v/>
      </c>
      <c r="E117" s="9">
        <f>SUM(D106:D117)</f>
        <v/>
      </c>
      <c r="F117" s="62">
        <f>E117/12</f>
        <v/>
      </c>
    </row>
    <row r="118">
      <c r="A118" s="105" t="n">
        <v>44986</v>
      </c>
      <c r="B118" s="9">
        <f>'Raw Data (KG)'!B118</f>
        <v/>
      </c>
      <c r="C118" s="9">
        <f>'Raw Data (KG)'!C118</f>
        <v/>
      </c>
      <c r="D118" s="9">
        <f>SUM(B118:C118)</f>
        <v/>
      </c>
      <c r="E118" s="9">
        <f>SUM(D107:D118)</f>
        <v/>
      </c>
      <c r="F118" s="62">
        <f>E118/12</f>
        <v/>
      </c>
    </row>
    <row r="119">
      <c r="A119" s="105" t="n">
        <v>45017</v>
      </c>
      <c r="B119" s="9">
        <f>'Raw Data (KG)'!B119</f>
        <v/>
      </c>
      <c r="C119" s="9">
        <f>'Raw Data (KG)'!C119</f>
        <v/>
      </c>
      <c r="D119" s="9">
        <f>SUM(B119:C119)</f>
        <v/>
      </c>
      <c r="E119" s="9">
        <f>SUM(D108:D119)</f>
        <v/>
      </c>
      <c r="F119" s="62">
        <f>E119/12</f>
        <v/>
      </c>
    </row>
    <row r="120">
      <c r="A120" s="105" t="n">
        <v>45047</v>
      </c>
      <c r="B120" s="9">
        <f>'Raw Data (KG)'!B120</f>
        <v/>
      </c>
      <c r="C120" s="9">
        <f>'Raw Data (KG)'!C120</f>
        <v/>
      </c>
      <c r="D120" s="9">
        <f>SUM(B120:C120)</f>
        <v/>
      </c>
      <c r="E120" s="9">
        <f>SUM(D109:D120)</f>
        <v/>
      </c>
      <c r="F120" s="62">
        <f>E120/12</f>
        <v/>
      </c>
    </row>
    <row r="121">
      <c r="A121" s="105" t="n">
        <v>45078</v>
      </c>
      <c r="B121" s="9">
        <f>'Raw Data (KG)'!B121</f>
        <v/>
      </c>
      <c r="C121" s="9">
        <f>'Raw Data (KG)'!C121</f>
        <v/>
      </c>
      <c r="D121" s="9">
        <f>SUM(B121:C121)</f>
        <v/>
      </c>
      <c r="E121" s="9">
        <f>SUM(D110:D121)</f>
        <v/>
      </c>
      <c r="F121" s="62">
        <f>E121/12</f>
        <v/>
      </c>
    </row>
    <row r="122">
      <c r="A122" s="105" t="n">
        <v>45108</v>
      </c>
      <c r="B122" s="9">
        <f>'Raw Data (KG)'!B122</f>
        <v/>
      </c>
      <c r="C122" s="9">
        <f>'Raw Data (KG)'!C122</f>
        <v/>
      </c>
      <c r="D122" s="9">
        <f>SUM(B122:C122)</f>
        <v/>
      </c>
      <c r="E122" s="9">
        <f>SUM(D111:D122)</f>
        <v/>
      </c>
      <c r="F122" s="62">
        <f>E122/12</f>
        <v/>
      </c>
    </row>
    <row r="123">
      <c r="A123" s="105" t="n">
        <v>45139</v>
      </c>
      <c r="B123" s="9">
        <f>'Raw Data (KG)'!B123</f>
        <v/>
      </c>
      <c r="C123" s="9">
        <f>'Raw Data (KG)'!C123</f>
        <v/>
      </c>
      <c r="D123" s="9">
        <f>SUM(B123:C123)</f>
        <v/>
      </c>
      <c r="E123" s="9">
        <f>SUM(D112:D123)</f>
        <v/>
      </c>
      <c r="F123" s="62">
        <f>E123/12</f>
        <v/>
      </c>
    </row>
    <row r="124">
      <c r="A124" s="105" t="n">
        <v>45170</v>
      </c>
      <c r="B124" s="9">
        <f>'Raw Data (KG)'!B124</f>
        <v/>
      </c>
      <c r="C124" s="9">
        <f>'Raw Data (KG)'!C124</f>
        <v/>
      </c>
      <c r="D124" s="9">
        <f>SUM(B124:C124)</f>
        <v/>
      </c>
      <c r="E124" s="9">
        <f>SUM(D113:D124)</f>
        <v/>
      </c>
      <c r="F124" s="62">
        <f>E124/12</f>
        <v/>
      </c>
    </row>
    <row r="125">
      <c r="A125" s="105" t="n">
        <v>45200</v>
      </c>
      <c r="B125" s="9">
        <f>'Raw Data (KG)'!B125</f>
        <v/>
      </c>
      <c r="C125" s="9">
        <f>'Raw Data (KG)'!C125</f>
        <v/>
      </c>
      <c r="D125" s="9">
        <f>SUM(B125:C125)</f>
        <v/>
      </c>
      <c r="E125" s="9">
        <f>SUM(D114:D125)</f>
        <v/>
      </c>
      <c r="F125" s="62">
        <f>E125/12</f>
        <v/>
      </c>
    </row>
    <row r="126">
      <c r="A126" s="105" t="n">
        <v>45231</v>
      </c>
      <c r="B126" s="9">
        <f>'Raw Data (KG)'!B126</f>
        <v/>
      </c>
      <c r="C126" s="9">
        <f>'Raw Data (KG)'!C126</f>
        <v/>
      </c>
      <c r="D126" s="9">
        <f>SUM(B126:C126)</f>
        <v/>
      </c>
      <c r="E126" s="9">
        <f>SUM(D115:D126)</f>
        <v/>
      </c>
      <c r="F126" s="62">
        <f>E126/12</f>
        <v/>
      </c>
    </row>
    <row r="127">
      <c r="A127" s="105" t="n">
        <v>45261</v>
      </c>
      <c r="B127" s="9">
        <f>'Raw Data (KG)'!B127</f>
        <v/>
      </c>
      <c r="C127" s="9">
        <f>'Raw Data (KG)'!C127</f>
        <v/>
      </c>
      <c r="D127" s="9">
        <f>SUM(B127:C127)</f>
        <v/>
      </c>
      <c r="E127" s="9">
        <f>SUM(D116:D127)</f>
        <v/>
      </c>
      <c r="F127" s="62">
        <f>E127/12</f>
        <v/>
      </c>
    </row>
    <row r="128">
      <c r="A128" s="105" t="n">
        <v>45292</v>
      </c>
      <c r="B128" s="9">
        <f>'Raw Data (KG)'!B128</f>
        <v/>
      </c>
      <c r="C128" s="9">
        <f>'Raw Data (KG)'!C128</f>
        <v/>
      </c>
      <c r="D128" s="9">
        <f>SUM(B128:C128)</f>
        <v/>
      </c>
      <c r="E128" s="9">
        <f>SUM(D117:D128)</f>
        <v/>
      </c>
      <c r="F128" s="62">
        <f>E128/12</f>
        <v/>
      </c>
    </row>
    <row r="129">
      <c r="A129" s="105" t="n">
        <v>45323</v>
      </c>
      <c r="B129" s="9">
        <f>'Raw Data (KG)'!B129</f>
        <v/>
      </c>
      <c r="C129" s="9">
        <f>'Raw Data (KG)'!C129</f>
        <v/>
      </c>
      <c r="D129" s="9">
        <f>SUM(B129:C129)</f>
        <v/>
      </c>
      <c r="E129" s="9">
        <f>SUM(D118:D129)</f>
        <v/>
      </c>
      <c r="F129" s="62">
        <f>E129/12</f>
        <v/>
      </c>
    </row>
    <row r="130">
      <c r="A130" s="105" t="n">
        <v>45352</v>
      </c>
      <c r="B130" s="9">
        <f>'Raw Data (KG)'!B130</f>
        <v/>
      </c>
      <c r="C130" s="9">
        <f>'Raw Data (KG)'!C130</f>
        <v/>
      </c>
      <c r="D130" s="9">
        <f>SUM(B130:C130)</f>
        <v/>
      </c>
      <c r="E130" s="9">
        <f>SUM(D119:D130)</f>
        <v/>
      </c>
      <c r="F130" s="62">
        <f>E130/12</f>
        <v/>
      </c>
    </row>
    <row r="131">
      <c r="A131" s="105" t="n">
        <v>45383</v>
      </c>
      <c r="B131" s="9">
        <f>'Raw Data (KG)'!B131</f>
        <v/>
      </c>
      <c r="C131" s="9">
        <f>'Raw Data (KG)'!C131</f>
        <v/>
      </c>
      <c r="D131" s="9">
        <f>SUM(B131:C131)</f>
        <v/>
      </c>
      <c r="E131" s="9">
        <f>SUM(D120:D131)</f>
        <v/>
      </c>
      <c r="F131" s="62">
        <f>E131/12</f>
        <v/>
      </c>
    </row>
    <row r="132">
      <c r="A132" s="105" t="n">
        <v>45413</v>
      </c>
      <c r="B132" s="9">
        <f>'Raw Data (KG)'!B132</f>
        <v/>
      </c>
      <c r="C132" s="9">
        <f>'Raw Data (KG)'!C132</f>
        <v/>
      </c>
      <c r="D132" s="9">
        <f>SUM(B132:C132)</f>
        <v/>
      </c>
      <c r="E132" s="9">
        <f>SUM(D121:D132)</f>
        <v/>
      </c>
      <c r="F132" s="62">
        <f>E132/12</f>
        <v/>
      </c>
    </row>
    <row r="133">
      <c r="A133" s="105" t="n">
        <v>45444</v>
      </c>
      <c r="B133" s="9">
        <f>'Raw Data (KG)'!B133</f>
        <v/>
      </c>
      <c r="C133" s="9">
        <f>'Raw Data (KG)'!C133</f>
        <v/>
      </c>
      <c r="D133" s="9">
        <f>SUM(B133:C133)</f>
        <v/>
      </c>
      <c r="E133" s="9">
        <f>SUM(D122:D133)</f>
        <v/>
      </c>
      <c r="F133" s="62">
        <f>E133/12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B232"/>
  <sheetViews>
    <sheetView workbookViewId="0">
      <pane xSplit="1" ySplit="1" topLeftCell="B130" activePane="bottomRight" state="frozen"/>
      <selection pane="topRight" activeCell="B1" sqref="B1"/>
      <selection pane="bottomLeft" activeCell="A2" sqref="A2"/>
      <selection pane="bottomRight" activeCell="U146" sqref="U146"/>
    </sheetView>
  </sheetViews>
  <sheetFormatPr baseColWidth="10" defaultColWidth="10.6640625" defaultRowHeight="16"/>
  <cols>
    <col width="11.1640625" bestFit="1" customWidth="1" style="61" min="1" max="1"/>
    <col width="15.6640625" customWidth="1" style="744" min="2" max="4"/>
    <col width="20.6640625" customWidth="1" style="744" min="5" max="5"/>
    <col width="15.6640625" customWidth="1" style="744" min="6" max="9"/>
    <col hidden="1" width="13.1640625" customWidth="1" style="744" min="10" max="10"/>
    <col width="15.6640625" customWidth="1" style="744" min="11" max="12"/>
    <col width="13.6640625" bestFit="1" customWidth="1" style="744" min="13" max="13"/>
    <col width="15.5" customWidth="1" style="744" min="14" max="14"/>
    <col width="14.33203125" customWidth="1" style="744" min="15" max="15"/>
    <col width="13.1640625" customWidth="1" style="744" min="16" max="16"/>
    <col hidden="1" width="15.6640625" customWidth="1" style="744" min="17" max="17"/>
    <col hidden="1" width="18.33203125" customWidth="1" style="744" min="18" max="20"/>
    <col width="15.6640625" customWidth="1" style="744" min="21" max="23"/>
    <col width="12.33203125" bestFit="1" customWidth="1" style="744" min="24" max="24"/>
    <col width="13" customWidth="1" style="744" min="25" max="25"/>
    <col width="13.33203125" customWidth="1" style="744" min="26" max="26"/>
    <col width="13.1640625" bestFit="1" customWidth="1" style="745" min="27" max="27"/>
    <col width="16" bestFit="1" customWidth="1" style="744" min="28" max="28"/>
    <col width="13.1640625" bestFit="1" customWidth="1" style="746" min="29" max="29"/>
    <col width="15.1640625" bestFit="1" customWidth="1" style="744" min="30" max="31"/>
    <col width="15" bestFit="1" customWidth="1" style="746" min="32" max="32"/>
    <col width="10.6640625" customWidth="1" style="745" min="33" max="33"/>
    <col width="12.6640625" bestFit="1" customWidth="1" style="745" min="34" max="34"/>
    <col width="14.33203125" bestFit="1" customWidth="1" style="744" min="35" max="35"/>
    <col width="13.6640625" bestFit="1" customWidth="1" style="744" min="36" max="36"/>
    <col width="16.5" customWidth="1" style="744" min="37" max="37"/>
    <col width="13.6640625" bestFit="1" customWidth="1" style="8" min="38" max="38"/>
    <col width="14.6640625" bestFit="1" customWidth="1" style="8" min="39" max="41"/>
    <col width="16.1640625" bestFit="1" customWidth="1" style="8" min="42" max="43"/>
    <col width="14" bestFit="1" customWidth="1" style="8" min="44" max="44"/>
    <col width="10.6640625" customWidth="1" style="8" min="45" max="16384"/>
  </cols>
  <sheetData>
    <row r="1" ht="68" customFormat="1" customHeight="1" s="676">
      <c r="A1" s="58" t="n"/>
      <c r="B1" s="747" t="inlineStr">
        <is>
          <t>Trash</t>
        </is>
      </c>
      <c r="C1" s="747" t="inlineStr">
        <is>
          <t>Yellow Skip</t>
        </is>
      </c>
      <c r="D1" s="747" t="inlineStr">
        <is>
          <t>Paper (LG7/SSID)</t>
        </is>
      </c>
      <c r="E1" s="747" t="inlineStr">
        <is>
          <t>Paper (corrugated containers+office paper+ newspapers)</t>
        </is>
      </c>
      <c r="F1" s="747" t="inlineStr">
        <is>
          <t>Metal (Aluminium)</t>
        </is>
      </c>
      <c r="G1" s="747" t="inlineStr">
        <is>
          <t>Metal Skip (Metal)</t>
        </is>
      </c>
      <c r="H1" s="747" t="inlineStr">
        <is>
          <t>Plastic (waste plastic bottles + plastic bag)</t>
        </is>
      </c>
      <c r="I1" s="747" t="inlineStr">
        <is>
          <t>Expanded Polystyrene</t>
        </is>
      </c>
      <c r="J1" s="748" t="inlineStr">
        <is>
          <t>CD @0.154kg</t>
        </is>
      </c>
      <c r="K1" s="747" t="inlineStr">
        <is>
          <t>Glass</t>
        </is>
      </c>
      <c r="L1" s="747" t="inlineStr">
        <is>
          <t>Clothes</t>
        </is>
      </c>
      <c r="M1" s="748" t="inlineStr">
        <is>
          <t>Fluorescent Tube @ 0.3kg</t>
        </is>
      </c>
      <c r="N1" s="65" t="inlineStr">
        <is>
          <t>Lamp @ 0.07kg</t>
        </is>
      </c>
      <c r="O1" s="748" t="inlineStr">
        <is>
          <t>Rechargeable Battery</t>
        </is>
      </c>
      <c r="P1" s="748" t="inlineStr">
        <is>
          <t>Toner</t>
        </is>
      </c>
      <c r="Q1" s="748" t="inlineStr">
        <is>
          <t>Ink Cartridge (expressed in PIECES)</t>
        </is>
      </c>
      <c r="R1" s="749" t="inlineStr">
        <is>
          <t>Electronic Ballast (2x32W) @0.34kg</t>
        </is>
      </c>
      <c r="S1" s="749" t="inlineStr">
        <is>
          <t>Electronic Ballast (2x36W) @0.13</t>
        </is>
      </c>
      <c r="T1" s="749" t="inlineStr">
        <is>
          <t>Electronic Ballast (1x36W) @0.15</t>
        </is>
      </c>
      <c r="U1" s="747" t="inlineStr">
        <is>
          <t>Electrical Appliance</t>
        </is>
      </c>
      <c r="V1" s="747" t="inlineStr">
        <is>
          <t>Wood</t>
        </is>
      </c>
      <c r="W1" s="747" t="inlineStr">
        <is>
          <t>Food Waste (Contractor)</t>
        </is>
      </c>
      <c r="X1" s="747" t="inlineStr">
        <is>
          <t>Animal Bedding</t>
        </is>
      </c>
      <c r="Y1" s="747" t="inlineStr">
        <is>
          <t>Landscape</t>
        </is>
      </c>
      <c r="Z1" s="747" t="inlineStr">
        <is>
          <t>Tetra Packs</t>
        </is>
      </c>
      <c r="AA1" s="750" t="inlineStr">
        <is>
          <t xml:space="preserve">Monthly Total of Waste to Landfill </t>
        </is>
      </c>
      <c r="AB1" s="750" t="inlineStr">
        <is>
          <t xml:space="preserve">Waste to Landfill 12 month rolling sum </t>
        </is>
      </c>
      <c r="AC1" s="751" t="inlineStr">
        <is>
          <t>Waste to Landfill 12 month rolling average</t>
        </is>
      </c>
      <c r="AD1" s="750" t="inlineStr">
        <is>
          <t>Monthly Total of Recycling</t>
        </is>
      </c>
      <c r="AE1" s="750" t="inlineStr">
        <is>
          <t xml:space="preserve">Recycling 12 month rolling sum </t>
        </is>
      </c>
      <c r="AF1" s="751" t="inlineStr">
        <is>
          <t>Recycling 12 month rolling average</t>
        </is>
      </c>
      <c r="AG1" s="750" t="n"/>
      <c r="AH1" s="750" t="inlineStr">
        <is>
          <t>Total Waste Generate</t>
        </is>
      </c>
      <c r="AI1" s="750" t="inlineStr">
        <is>
          <t>Total Waste (12month rolling sum)</t>
        </is>
      </c>
      <c r="AJ1" s="752" t="n"/>
      <c r="AK1" s="752" t="n"/>
    </row>
    <row r="2">
      <c r="A2" s="753" t="n">
        <v>41456</v>
      </c>
      <c r="B2" s="754" t="n">
        <v>282100</v>
      </c>
      <c r="C2" s="754" t="n"/>
      <c r="D2" s="755" t="n">
        <v>2000</v>
      </c>
      <c r="E2" s="754">
        <f>5120</f>
        <v/>
      </c>
      <c r="F2" s="754" t="n">
        <v>108</v>
      </c>
      <c r="G2" s="754" t="n"/>
      <c r="H2" s="754" t="n">
        <v>240</v>
      </c>
      <c r="I2" s="754" t="n"/>
      <c r="J2" s="756" t="n">
        <v>3.25</v>
      </c>
      <c r="K2" s="754" t="n"/>
      <c r="L2" s="754" t="n"/>
      <c r="M2" s="756" t="n">
        <v>217</v>
      </c>
      <c r="N2" s="756" t="n">
        <v>23</v>
      </c>
      <c r="O2" s="757" t="inlineStr">
        <is>
          <t>-</t>
        </is>
      </c>
      <c r="P2" s="757">
        <f>0.67*172</f>
        <v/>
      </c>
      <c r="Q2" s="756" t="n">
        <v>0</v>
      </c>
      <c r="R2" s="757" t="n"/>
      <c r="S2" s="757" t="n"/>
      <c r="T2" s="757" t="n"/>
      <c r="U2" s="754" t="n"/>
      <c r="V2" s="754" t="n"/>
      <c r="W2" s="758" t="n"/>
      <c r="X2" s="754" t="n"/>
      <c r="Y2" s="754" t="n"/>
      <c r="Z2" s="759" t="n"/>
      <c r="AA2" s="745">
        <f>SUM(B2:C2)</f>
        <v/>
      </c>
      <c r="AD2" s="744">
        <f>SUM(D2:Z2)</f>
        <v/>
      </c>
    </row>
    <row r="3">
      <c r="A3" s="760" t="n">
        <v>41487</v>
      </c>
      <c r="B3" s="761" t="n">
        <v>282100</v>
      </c>
      <c r="C3" s="761" t="n"/>
      <c r="D3" s="762" t="n">
        <v>2000</v>
      </c>
      <c r="E3" s="761">
        <f>4100</f>
        <v/>
      </c>
      <c r="F3" s="761" t="n">
        <v>300</v>
      </c>
      <c r="G3" s="761" t="n"/>
      <c r="H3" s="761" t="n">
        <v>250</v>
      </c>
      <c r="I3" s="761" t="n"/>
      <c r="J3" s="756" t="n">
        <v>1.16</v>
      </c>
      <c r="K3" s="761" t="n"/>
      <c r="L3" s="761" t="n"/>
      <c r="M3" s="756" t="n">
        <v>203</v>
      </c>
      <c r="N3" s="756" t="n">
        <v>22</v>
      </c>
      <c r="O3" s="757" t="inlineStr">
        <is>
          <t>-</t>
        </is>
      </c>
      <c r="P3" s="757">
        <f>0.67*177</f>
        <v/>
      </c>
      <c r="Q3" s="756" t="n">
        <v>0</v>
      </c>
      <c r="R3" s="757" t="n"/>
      <c r="S3" s="757" t="n"/>
      <c r="T3" s="757" t="n"/>
      <c r="U3" s="761" t="n"/>
      <c r="V3" s="761" t="n"/>
      <c r="W3" s="758" t="n"/>
      <c r="X3" s="761" t="n"/>
      <c r="Y3" s="761" t="n"/>
      <c r="Z3" s="763" t="n"/>
      <c r="AA3" s="745">
        <f>SUM(B3:C3)</f>
        <v/>
      </c>
      <c r="AD3" s="744">
        <f>SUM(D3:Z3)</f>
        <v/>
      </c>
    </row>
    <row r="4">
      <c r="A4" s="760" t="n">
        <v>41518</v>
      </c>
      <c r="B4" s="761" t="n">
        <v>273000.0000000001</v>
      </c>
      <c r="C4" s="761" t="n"/>
      <c r="D4" s="762" t="n">
        <v>2000</v>
      </c>
      <c r="E4" s="761">
        <f>4900</f>
        <v/>
      </c>
      <c r="F4" s="761" t="n">
        <v>320</v>
      </c>
      <c r="G4" s="761" t="n"/>
      <c r="H4" s="761" t="n">
        <v>310</v>
      </c>
      <c r="I4" s="761" t="n"/>
      <c r="J4" s="756" t="n">
        <v>0.696</v>
      </c>
      <c r="K4" s="761" t="n"/>
      <c r="L4" s="761" t="n"/>
      <c r="M4" s="756" t="n">
        <v>223</v>
      </c>
      <c r="N4" s="756" t="n">
        <v>24</v>
      </c>
      <c r="O4" s="757" t="inlineStr">
        <is>
          <t>-</t>
        </is>
      </c>
      <c r="P4" s="757">
        <f>0.67*134</f>
        <v/>
      </c>
      <c r="Q4" s="756" t="n">
        <v>58</v>
      </c>
      <c r="R4" s="757" t="n"/>
      <c r="S4" s="757" t="n"/>
      <c r="T4" s="757" t="n"/>
      <c r="U4" s="761" t="n"/>
      <c r="V4" s="761" t="n"/>
      <c r="W4" s="758" t="n"/>
      <c r="X4" s="761" t="n"/>
      <c r="Y4" s="761" t="n"/>
      <c r="Z4" s="763" t="n"/>
      <c r="AA4" s="745">
        <f>SUM(B4:C4)</f>
        <v/>
      </c>
      <c r="AD4" s="744">
        <f>SUM(D4:Z4)</f>
        <v/>
      </c>
      <c r="AL4" s="139" t="n"/>
    </row>
    <row r="5">
      <c r="A5" s="760" t="n">
        <v>41548</v>
      </c>
      <c r="B5" s="761" t="n">
        <v>282100</v>
      </c>
      <c r="C5" s="761" t="n"/>
      <c r="D5" s="762" t="n">
        <v>2000</v>
      </c>
      <c r="E5" s="761">
        <f>4700</f>
        <v/>
      </c>
      <c r="F5" s="761" t="n">
        <v>150</v>
      </c>
      <c r="G5" s="761" t="n"/>
      <c r="H5" s="761" t="n">
        <v>440</v>
      </c>
      <c r="I5" s="761" t="n"/>
      <c r="J5" s="756" t="n">
        <v>0.155</v>
      </c>
      <c r="K5" s="761" t="n"/>
      <c r="L5" s="761" t="n"/>
      <c r="M5" s="756" t="n">
        <v>400</v>
      </c>
      <c r="N5" s="756" t="n">
        <v>200</v>
      </c>
      <c r="O5" s="757" t="inlineStr">
        <is>
          <t>-</t>
        </is>
      </c>
      <c r="P5" s="757">
        <f>0.67*221</f>
        <v/>
      </c>
      <c r="Q5" s="756" t="n">
        <v>0</v>
      </c>
      <c r="R5" s="757" t="n"/>
      <c r="S5" s="757" t="n"/>
      <c r="T5" s="757" t="n"/>
      <c r="U5" s="761" t="n"/>
      <c r="V5" s="761" t="n"/>
      <c r="W5" s="758" t="n"/>
      <c r="X5" s="761" t="n"/>
      <c r="Y5" s="761" t="n"/>
      <c r="Z5" s="763" t="n"/>
      <c r="AA5" s="745">
        <f>SUM(B5:C5)</f>
        <v/>
      </c>
      <c r="AD5" s="744">
        <f>SUM(D5:Z5)</f>
        <v/>
      </c>
      <c r="AL5" s="139" t="n"/>
      <c r="AM5" s="139" t="n"/>
      <c r="AN5" s="139" t="n"/>
    </row>
    <row r="6">
      <c r="A6" s="760" t="n">
        <v>41579</v>
      </c>
      <c r="B6" s="761" t="n">
        <v>273000.0000000001</v>
      </c>
      <c r="C6" s="761" t="n"/>
      <c r="D6" s="762" t="n">
        <v>2000</v>
      </c>
      <c r="E6" s="761">
        <f>4450</f>
        <v/>
      </c>
      <c r="F6" s="761" t="n">
        <v>11</v>
      </c>
      <c r="G6" s="761" t="n"/>
      <c r="H6" s="761" t="n">
        <v>570</v>
      </c>
      <c r="I6" s="761" t="n"/>
      <c r="J6" s="756" t="n">
        <v>2.413</v>
      </c>
      <c r="K6" s="761" t="n"/>
      <c r="L6" s="761" t="n"/>
      <c r="M6" s="756" t="n">
        <v>800</v>
      </c>
      <c r="N6" s="756" t="n">
        <v>400</v>
      </c>
      <c r="O6" s="757" t="inlineStr">
        <is>
          <t>-</t>
        </is>
      </c>
      <c r="P6" s="757">
        <f>0.67*142</f>
        <v/>
      </c>
      <c r="Q6" s="756" t="n">
        <v>8</v>
      </c>
      <c r="R6" s="757" t="n"/>
      <c r="S6" s="757" t="n"/>
      <c r="T6" s="757" t="n"/>
      <c r="U6" s="761" t="n"/>
      <c r="V6" s="761" t="n"/>
      <c r="W6" s="758" t="n"/>
      <c r="X6" s="761" t="n"/>
      <c r="Y6" s="761" t="n"/>
      <c r="Z6" s="763" t="n"/>
      <c r="AA6" s="745">
        <f>SUM(B6:C6)</f>
        <v/>
      </c>
      <c r="AD6" s="744">
        <f>SUM(D6:Z6)</f>
        <v/>
      </c>
      <c r="AL6" s="139" t="n"/>
      <c r="AM6" s="139" t="n"/>
      <c r="AN6" s="139" t="n"/>
    </row>
    <row r="7">
      <c r="A7" s="760" t="n">
        <v>41609</v>
      </c>
      <c r="B7" s="761" t="n">
        <v>282100</v>
      </c>
      <c r="C7" s="761" t="n"/>
      <c r="D7" s="762" t="n">
        <v>2000</v>
      </c>
      <c r="E7" s="761">
        <f>4150</f>
        <v/>
      </c>
      <c r="F7" s="761" t="n">
        <v>90</v>
      </c>
      <c r="G7" s="761" t="n"/>
      <c r="H7" s="761" t="n">
        <v>600</v>
      </c>
      <c r="I7" s="761" t="n"/>
      <c r="J7" s="756" t="n">
        <v>1.748</v>
      </c>
      <c r="K7" s="761" t="n"/>
      <c r="L7" s="761" t="n"/>
      <c r="M7" s="756" t="n">
        <v>600</v>
      </c>
      <c r="N7" s="756" t="n">
        <v>400</v>
      </c>
      <c r="O7" s="757">
        <f>0.05*68</f>
        <v/>
      </c>
      <c r="P7" s="757">
        <f>0.67*112</f>
        <v/>
      </c>
      <c r="Q7" s="756" t="n">
        <v>46</v>
      </c>
      <c r="R7" s="757" t="n"/>
      <c r="S7" s="757" t="n"/>
      <c r="T7" s="757" t="n"/>
      <c r="U7" s="761" t="n"/>
      <c r="V7" s="761" t="n"/>
      <c r="W7" s="758" t="n"/>
      <c r="X7" s="761" t="n"/>
      <c r="Y7" s="761" t="n"/>
      <c r="Z7" s="763" t="n"/>
      <c r="AA7" s="745">
        <f>SUM(B7:C7)</f>
        <v/>
      </c>
      <c r="AD7" s="744">
        <f>SUM(D7:Z7)</f>
        <v/>
      </c>
      <c r="AL7" s="139" t="n"/>
      <c r="AM7" s="139" t="n"/>
      <c r="AN7" s="139" t="n"/>
    </row>
    <row r="8">
      <c r="A8" s="760" t="n">
        <v>41640</v>
      </c>
      <c r="B8" s="761" t="n">
        <v>282100</v>
      </c>
      <c r="C8" s="761" t="n"/>
      <c r="D8" s="762" t="n">
        <v>2000</v>
      </c>
      <c r="E8" s="761">
        <f>4360</f>
        <v/>
      </c>
      <c r="F8" s="761" t="n">
        <v>70</v>
      </c>
      <c r="G8" s="761" t="n"/>
      <c r="H8" s="761" t="n">
        <v>520</v>
      </c>
      <c r="I8" s="761" t="n"/>
      <c r="J8" s="756" t="n">
        <v>1.779</v>
      </c>
      <c r="K8" s="761" t="n"/>
      <c r="L8" s="761" t="n"/>
      <c r="M8" s="756" t="n">
        <v>600</v>
      </c>
      <c r="N8" s="756" t="n">
        <v>200</v>
      </c>
      <c r="O8" s="757" t="inlineStr">
        <is>
          <t>-</t>
        </is>
      </c>
      <c r="P8" s="757">
        <f>0.67*95</f>
        <v/>
      </c>
      <c r="Q8" s="756" t="n">
        <v>0</v>
      </c>
      <c r="R8" s="757" t="n"/>
      <c r="S8" s="757" t="n"/>
      <c r="T8" s="757" t="n"/>
      <c r="U8" s="761" t="n"/>
      <c r="V8" s="761" t="n"/>
      <c r="W8" s="758" t="n"/>
      <c r="X8" s="761" t="n"/>
      <c r="Y8" s="761" t="n"/>
      <c r="Z8" s="763" t="n"/>
      <c r="AA8" s="745">
        <f>SUM(B8:C8)</f>
        <v/>
      </c>
      <c r="AD8" s="744">
        <f>SUM(D8:Z8)</f>
        <v/>
      </c>
      <c r="AL8" s="139" t="n"/>
      <c r="AM8" s="139" t="n"/>
      <c r="AN8" s="139" t="n"/>
    </row>
    <row r="9">
      <c r="A9" s="760" t="n">
        <v>41671</v>
      </c>
      <c r="B9" s="761" t="n">
        <v>254800</v>
      </c>
      <c r="C9" s="761" t="n"/>
      <c r="D9" s="762" t="n">
        <v>2000</v>
      </c>
      <c r="E9" s="761">
        <f>4400</f>
        <v/>
      </c>
      <c r="F9" s="761" t="n">
        <v>200</v>
      </c>
      <c r="G9" s="761" t="n"/>
      <c r="H9" s="761" t="n">
        <v>410</v>
      </c>
      <c r="I9" s="761" t="n"/>
      <c r="J9" s="756" t="n">
        <v>3.604</v>
      </c>
      <c r="K9" s="761" t="n"/>
      <c r="L9" s="761" t="n"/>
      <c r="M9" s="756" t="n">
        <v>800</v>
      </c>
      <c r="N9" s="756" t="n">
        <v>200</v>
      </c>
      <c r="O9" s="757" t="inlineStr">
        <is>
          <t>-</t>
        </is>
      </c>
      <c r="P9" s="757">
        <f>0.67*154</f>
        <v/>
      </c>
      <c r="Q9" s="756" t="n">
        <v>0</v>
      </c>
      <c r="R9" s="757" t="n"/>
      <c r="S9" s="757" t="n"/>
      <c r="T9" s="757" t="n"/>
      <c r="U9" s="761" t="n"/>
      <c r="V9" s="761" t="n"/>
      <c r="W9" s="758" t="n"/>
      <c r="X9" s="761" t="n"/>
      <c r="Y9" s="761" t="n"/>
      <c r="Z9" s="763" t="n"/>
      <c r="AA9" s="745">
        <f>SUM(B9:C9)</f>
        <v/>
      </c>
      <c r="AD9" s="744">
        <f>SUM(D9:Z9)</f>
        <v/>
      </c>
      <c r="AL9" s="139" t="n"/>
      <c r="AM9" s="139" t="n"/>
      <c r="AN9" s="139" t="n"/>
    </row>
    <row r="10">
      <c r="A10" s="760" t="n">
        <v>41699</v>
      </c>
      <c r="B10" s="761" t="n">
        <v>282100</v>
      </c>
      <c r="C10" s="761" t="n"/>
      <c r="D10" s="762" t="n">
        <v>2000</v>
      </c>
      <c r="E10" s="761">
        <f>4800</f>
        <v/>
      </c>
      <c r="F10" s="761" t="n">
        <v>150</v>
      </c>
      <c r="G10" s="761" t="n"/>
      <c r="H10" s="761" t="n">
        <v>390</v>
      </c>
      <c r="I10" s="761" t="n"/>
      <c r="J10" s="756" t="n">
        <v>0.263</v>
      </c>
      <c r="K10" s="761" t="n"/>
      <c r="L10" s="761" t="n"/>
      <c r="M10" s="756" t="n">
        <v>800</v>
      </c>
      <c r="N10" s="756" t="n">
        <v>400</v>
      </c>
      <c r="O10" s="757" t="inlineStr">
        <is>
          <t>-</t>
        </is>
      </c>
      <c r="P10" s="757">
        <f>0.67*170</f>
        <v/>
      </c>
      <c r="Q10" s="756" t="n">
        <v>0</v>
      </c>
      <c r="R10" s="757" t="n"/>
      <c r="S10" s="757" t="n"/>
      <c r="T10" s="757" t="n"/>
      <c r="U10" s="761" t="n"/>
      <c r="V10" s="761" t="n"/>
      <c r="W10" s="758" t="n"/>
      <c r="X10" s="761" t="n"/>
      <c r="Y10" s="761" t="n"/>
      <c r="Z10" s="763" t="n"/>
      <c r="AA10" s="745">
        <f>SUM(B10:C10)</f>
        <v/>
      </c>
      <c r="AD10" s="744">
        <f>SUM(D10:Z10)</f>
        <v/>
      </c>
      <c r="AL10" s="139" t="n"/>
      <c r="AM10" s="139" t="n"/>
      <c r="AN10" s="139" t="n"/>
    </row>
    <row r="11">
      <c r="A11" s="760" t="n">
        <v>41730</v>
      </c>
      <c r="B11" s="761" t="n">
        <v>273000.0000000001</v>
      </c>
      <c r="C11" s="761" t="n"/>
      <c r="D11" s="762" t="n">
        <v>2000</v>
      </c>
      <c r="E11" s="761">
        <f>4620</f>
        <v/>
      </c>
      <c r="F11" s="761" t="n">
        <v>110</v>
      </c>
      <c r="G11" s="761" t="n"/>
      <c r="H11" s="761" t="n">
        <v>510</v>
      </c>
      <c r="I11" s="761" t="n"/>
      <c r="J11" s="756" t="n">
        <v>8.398999999999999</v>
      </c>
      <c r="K11" s="761" t="n"/>
      <c r="L11" s="761" t="n"/>
      <c r="M11" s="756" t="n">
        <v>800</v>
      </c>
      <c r="N11" s="756" t="n">
        <v>400</v>
      </c>
      <c r="O11" s="757" t="inlineStr">
        <is>
          <t>-</t>
        </is>
      </c>
      <c r="P11" s="757">
        <f>0.67*174</f>
        <v/>
      </c>
      <c r="Q11" s="756" t="n">
        <v>0</v>
      </c>
      <c r="R11" s="757" t="n"/>
      <c r="S11" s="757" t="n"/>
      <c r="T11" s="757" t="n"/>
      <c r="U11" s="761" t="n"/>
      <c r="V11" s="761" t="n"/>
      <c r="W11" s="758" t="n"/>
      <c r="X11" s="761" t="n"/>
      <c r="Y11" s="761" t="n"/>
      <c r="Z11" s="763" t="n"/>
      <c r="AA11" s="745">
        <f>SUM(B11:C11)</f>
        <v/>
      </c>
      <c r="AD11" s="744">
        <f>SUM(D11:Z11)</f>
        <v/>
      </c>
      <c r="AL11" s="139" t="n"/>
      <c r="AM11" s="139" t="n"/>
      <c r="AN11" s="139" t="n"/>
    </row>
    <row r="12">
      <c r="A12" s="760" t="n">
        <v>41760</v>
      </c>
      <c r="B12" s="761" t="n">
        <v>282100</v>
      </c>
      <c r="C12" s="761" t="n"/>
      <c r="D12" s="762" t="n">
        <v>2000</v>
      </c>
      <c r="E12" s="761">
        <f>4900</f>
        <v/>
      </c>
      <c r="F12" s="761" t="n">
        <v>350</v>
      </c>
      <c r="G12" s="761" t="n"/>
      <c r="H12" s="761" t="n">
        <v>470</v>
      </c>
      <c r="I12" s="761" t="n"/>
      <c r="J12" s="756" t="n">
        <v>22.335</v>
      </c>
      <c r="K12" s="761" t="n"/>
      <c r="L12" s="761" t="n"/>
      <c r="M12" s="756" t="n">
        <v>800</v>
      </c>
      <c r="N12" s="756" t="n">
        <v>400</v>
      </c>
      <c r="O12" s="757" t="inlineStr">
        <is>
          <t>-</t>
        </is>
      </c>
      <c r="P12" s="757">
        <f>0.67*120</f>
        <v/>
      </c>
      <c r="Q12" s="756" t="n">
        <v>30</v>
      </c>
      <c r="R12" s="757" t="n"/>
      <c r="S12" s="757" t="n"/>
      <c r="T12" s="757" t="n"/>
      <c r="U12" s="761" t="n"/>
      <c r="V12" s="761" t="n"/>
      <c r="W12" s="758" t="n"/>
      <c r="X12" s="761" t="n"/>
      <c r="Y12" s="761" t="n"/>
      <c r="Z12" s="763" t="n"/>
      <c r="AA12" s="745">
        <f>SUM(B12:C12)</f>
        <v/>
      </c>
      <c r="AD12" s="744">
        <f>SUM(D12:Z12)</f>
        <v/>
      </c>
      <c r="AL12" s="139" t="n"/>
      <c r="AM12" s="139" t="n"/>
      <c r="AN12" s="139" t="n"/>
    </row>
    <row r="13">
      <c r="A13" s="760" t="n">
        <v>41791</v>
      </c>
      <c r="B13" s="761" t="n">
        <v>273000.0000000001</v>
      </c>
      <c r="C13" s="761" t="n"/>
      <c r="D13" s="762" t="n">
        <v>2000</v>
      </c>
      <c r="E13" s="761">
        <f>4700</f>
        <v/>
      </c>
      <c r="F13" s="761" t="n">
        <v>450</v>
      </c>
      <c r="G13" s="761" t="n"/>
      <c r="H13" s="761" t="n">
        <v>400</v>
      </c>
      <c r="I13" s="761" t="n"/>
      <c r="J13" s="756" t="n">
        <v>14.836</v>
      </c>
      <c r="K13" s="761" t="n"/>
      <c r="L13" s="761" t="n"/>
      <c r="M13" s="756" t="n">
        <v>800</v>
      </c>
      <c r="N13" s="756" t="n">
        <v>400</v>
      </c>
      <c r="O13" s="757" t="inlineStr">
        <is>
          <t>-</t>
        </is>
      </c>
      <c r="P13" s="757">
        <f>0.67*112</f>
        <v/>
      </c>
      <c r="Q13" s="756" t="n">
        <v>0</v>
      </c>
      <c r="R13" s="757" t="n"/>
      <c r="S13" s="757" t="n"/>
      <c r="T13" s="757" t="n"/>
      <c r="U13" s="761" t="n"/>
      <c r="V13" s="761" t="n"/>
      <c r="W13" s="758" t="n"/>
      <c r="X13" s="761" t="n"/>
      <c r="Y13" s="761" t="n"/>
      <c r="Z13" s="763" t="n"/>
      <c r="AA13" s="745">
        <f>SUM(B13:C13)</f>
        <v/>
      </c>
      <c r="AB13" s="744">
        <f>SUM(AA2:AA13)</f>
        <v/>
      </c>
      <c r="AC13" s="746">
        <f>AB13/12</f>
        <v/>
      </c>
      <c r="AD13" s="744">
        <f>SUM(D13:Z13)</f>
        <v/>
      </c>
      <c r="AE13" s="744">
        <f>SUM(AD2:AD13)</f>
        <v/>
      </c>
      <c r="AF13" s="746">
        <f>AE13/12</f>
        <v/>
      </c>
      <c r="AH13" s="764">
        <f>AB13+AE13</f>
        <v/>
      </c>
      <c r="AL13" s="139" t="n"/>
      <c r="AM13" s="139" t="n"/>
      <c r="AN13" s="139" t="n"/>
    </row>
    <row r="14">
      <c r="A14" s="760" t="n">
        <v>41821</v>
      </c>
      <c r="B14" s="758" t="n">
        <v>282100</v>
      </c>
      <c r="C14" s="758" t="n"/>
      <c r="D14" s="765" t="n">
        <v>2000</v>
      </c>
      <c r="E14" s="758">
        <f>4520</f>
        <v/>
      </c>
      <c r="F14" s="758" t="n">
        <v>150</v>
      </c>
      <c r="G14" s="758" t="n"/>
      <c r="H14" s="758" t="n">
        <v>370</v>
      </c>
      <c r="I14" s="758" t="n"/>
      <c r="J14" s="766" t="n">
        <v>27.087</v>
      </c>
      <c r="K14" s="758" t="n"/>
      <c r="L14" s="758" t="n"/>
      <c r="M14" s="766" t="n">
        <v>1000</v>
      </c>
      <c r="N14" s="766" t="n">
        <v>600</v>
      </c>
      <c r="O14" s="767" t="inlineStr">
        <is>
          <t>-</t>
        </is>
      </c>
      <c r="P14" s="767">
        <f>0.67*114</f>
        <v/>
      </c>
      <c r="Q14" s="766" t="n">
        <v>0</v>
      </c>
      <c r="R14" s="767" t="n"/>
      <c r="S14" s="767" t="n"/>
      <c r="T14" s="767" t="n"/>
      <c r="U14" s="758" t="n"/>
      <c r="V14" s="758" t="n"/>
      <c r="W14" s="758" t="n"/>
      <c r="X14" s="758" t="n"/>
      <c r="Y14" s="758" t="n"/>
      <c r="Z14" s="768" t="n"/>
      <c r="AA14" s="745">
        <f>SUM(B14:C14)</f>
        <v/>
      </c>
      <c r="AB14" s="744">
        <f>SUM(AA3:AA14)</f>
        <v/>
      </c>
      <c r="AC14" s="746">
        <f>AB14/12</f>
        <v/>
      </c>
      <c r="AD14" s="744">
        <f>SUM(D14:Z14)</f>
        <v/>
      </c>
      <c r="AE14" s="744">
        <f>SUM(AD3:AD14)</f>
        <v/>
      </c>
      <c r="AF14" s="746">
        <f>AE14/12</f>
        <v/>
      </c>
      <c r="AL14" s="139" t="n"/>
      <c r="AM14" s="139" t="n"/>
      <c r="AN14" s="139" t="n"/>
    </row>
    <row r="15">
      <c r="A15" s="760" t="n">
        <v>41852</v>
      </c>
      <c r="B15" s="758" t="n">
        <v>282100</v>
      </c>
      <c r="C15" s="758" t="n"/>
      <c r="D15" s="765" t="n">
        <v>2000</v>
      </c>
      <c r="E15" s="758">
        <f>4610</f>
        <v/>
      </c>
      <c r="F15" s="758" t="n">
        <v>140</v>
      </c>
      <c r="G15" s="758" t="n"/>
      <c r="H15" s="758" t="n">
        <v>400</v>
      </c>
      <c r="I15" s="758" t="n"/>
      <c r="J15" s="766" t="n">
        <v>16.097</v>
      </c>
      <c r="K15" s="758" t="n">
        <v>626</v>
      </c>
      <c r="L15" s="758" t="n"/>
      <c r="M15" s="766" t="n">
        <v>800</v>
      </c>
      <c r="N15" s="766" t="n">
        <v>400</v>
      </c>
      <c r="O15" s="767" t="inlineStr">
        <is>
          <t>-</t>
        </is>
      </c>
      <c r="P15" s="767">
        <f>0.67*86</f>
        <v/>
      </c>
      <c r="Q15" s="766" t="n">
        <v>0</v>
      </c>
      <c r="R15" s="767" t="n"/>
      <c r="S15" s="767" t="n"/>
      <c r="T15" s="767" t="n"/>
      <c r="U15" s="758" t="n"/>
      <c r="V15" s="758" t="n"/>
      <c r="W15" s="758" t="n"/>
      <c r="X15" s="758" t="n"/>
      <c r="Y15" s="758" t="n"/>
      <c r="Z15" s="768" t="n"/>
      <c r="AA15" s="745">
        <f>SUM(B15:C15)</f>
        <v/>
      </c>
      <c r="AB15" s="744">
        <f>SUM(AA4:AA15)</f>
        <v/>
      </c>
      <c r="AC15" s="746">
        <f>AB15/12</f>
        <v/>
      </c>
      <c r="AD15" s="744">
        <f>SUM(D15:Z15)</f>
        <v/>
      </c>
      <c r="AE15" s="744">
        <f>SUM(AD4:AD15)</f>
        <v/>
      </c>
      <c r="AF15" s="746">
        <f>AE15/12</f>
        <v/>
      </c>
    </row>
    <row r="16">
      <c r="A16" s="760" t="n">
        <v>41883</v>
      </c>
      <c r="B16" s="758" t="n">
        <v>273000.0000000001</v>
      </c>
      <c r="C16" s="758" t="n"/>
      <c r="D16" s="765" t="n">
        <v>2000</v>
      </c>
      <c r="E16" s="758">
        <f>4500</f>
        <v/>
      </c>
      <c r="F16" s="758" t="n">
        <v>350</v>
      </c>
      <c r="G16" s="758" t="n"/>
      <c r="H16" s="758" t="n">
        <v>390</v>
      </c>
      <c r="I16" s="758" t="n"/>
      <c r="J16" s="766" t="n">
        <v>4.022</v>
      </c>
      <c r="K16" s="758" t="n">
        <v>827</v>
      </c>
      <c r="L16" s="758" t="n"/>
      <c r="M16" s="766" t="n">
        <v>800</v>
      </c>
      <c r="N16" s="766" t="n">
        <v>400</v>
      </c>
      <c r="O16" s="767" t="inlineStr">
        <is>
          <t>-</t>
        </is>
      </c>
      <c r="P16" s="767">
        <f>0.67*139</f>
        <v/>
      </c>
      <c r="Q16" s="766" t="n">
        <v>0</v>
      </c>
      <c r="R16" s="767" t="n"/>
      <c r="S16" s="767" t="n"/>
      <c r="T16" s="767" t="n"/>
      <c r="U16" s="758" t="n"/>
      <c r="V16" s="758" t="n"/>
      <c r="W16" s="758" t="n"/>
      <c r="X16" s="758" t="n"/>
      <c r="Y16" s="758" t="n"/>
      <c r="Z16" s="768" t="n"/>
      <c r="AA16" s="745">
        <f>SUM(B16:C16)</f>
        <v/>
      </c>
      <c r="AB16" s="744">
        <f>SUM(AA5:AA16)</f>
        <v/>
      </c>
      <c r="AC16" s="746">
        <f>AB16/12</f>
        <v/>
      </c>
      <c r="AD16" s="744">
        <f>SUM(D16:Z16)</f>
        <v/>
      </c>
      <c r="AE16" s="744">
        <f>SUM(AD5:AD16)</f>
        <v/>
      </c>
      <c r="AF16" s="746">
        <f>AE16/12</f>
        <v/>
      </c>
    </row>
    <row r="17">
      <c r="A17" s="760" t="n">
        <v>41913</v>
      </c>
      <c r="B17" s="758" t="n">
        <v>282100</v>
      </c>
      <c r="C17" s="758" t="n"/>
      <c r="D17" s="765" t="n">
        <v>2000</v>
      </c>
      <c r="E17" s="758">
        <f>4100</f>
        <v/>
      </c>
      <c r="F17" s="758" t="n">
        <v>90</v>
      </c>
      <c r="G17" s="758" t="n"/>
      <c r="H17" s="758" t="n">
        <v>420</v>
      </c>
      <c r="I17" s="758" t="n"/>
      <c r="J17" s="766" t="n">
        <v>0.526</v>
      </c>
      <c r="K17" s="758" t="n">
        <v>728</v>
      </c>
      <c r="L17" s="758" t="n">
        <v>0</v>
      </c>
      <c r="M17" s="766" t="n">
        <v>800</v>
      </c>
      <c r="N17" s="766" t="n">
        <v>400</v>
      </c>
      <c r="O17" s="767" t="inlineStr">
        <is>
          <t>-</t>
        </is>
      </c>
      <c r="P17" s="767">
        <f>0.67*100</f>
        <v/>
      </c>
      <c r="Q17" s="766" t="n">
        <v>25</v>
      </c>
      <c r="R17" s="767" t="n"/>
      <c r="S17" s="767" t="n"/>
      <c r="T17" s="767" t="n"/>
      <c r="U17" s="758" t="n"/>
      <c r="V17" s="758" t="n"/>
      <c r="W17" s="758" t="n"/>
      <c r="X17" s="758" t="n"/>
      <c r="Y17" s="758" t="n"/>
      <c r="Z17" s="768" t="n"/>
      <c r="AA17" s="745">
        <f>SUM(B17:C17)</f>
        <v/>
      </c>
      <c r="AB17" s="744">
        <f>SUM(AA6:AA17)</f>
        <v/>
      </c>
      <c r="AC17" s="746">
        <f>AB17/12</f>
        <v/>
      </c>
      <c r="AD17" s="744">
        <f>SUM(D17:Z17)</f>
        <v/>
      </c>
      <c r="AE17" s="744">
        <f>SUM(AD6:AD17)</f>
        <v/>
      </c>
      <c r="AF17" s="746">
        <f>AE17/12</f>
        <v/>
      </c>
    </row>
    <row r="18">
      <c r="A18" s="760" t="n">
        <v>41944</v>
      </c>
      <c r="B18" s="758" t="n">
        <v>273000.0000000001</v>
      </c>
      <c r="C18" s="758" t="n"/>
      <c r="D18" s="765" t="n">
        <v>2000</v>
      </c>
      <c r="E18" s="758">
        <f>4900</f>
        <v/>
      </c>
      <c r="F18" s="758" t="n">
        <v>110</v>
      </c>
      <c r="G18" s="758" t="n"/>
      <c r="H18" s="758" t="n">
        <v>390</v>
      </c>
      <c r="I18" s="758" t="n"/>
      <c r="J18" s="766" t="n">
        <v>2.475</v>
      </c>
      <c r="K18" s="758" t="n">
        <v>1653</v>
      </c>
      <c r="L18" s="758" t="n">
        <v>0</v>
      </c>
      <c r="M18" s="766" t="n">
        <v>800</v>
      </c>
      <c r="N18" s="766" t="n">
        <v>400</v>
      </c>
      <c r="O18" s="767" t="inlineStr">
        <is>
          <t>-</t>
        </is>
      </c>
      <c r="P18" s="767">
        <f>0.67*100</f>
        <v/>
      </c>
      <c r="Q18" s="766" t="n">
        <v>0</v>
      </c>
      <c r="R18" s="767" t="n"/>
      <c r="S18" s="767" t="n"/>
      <c r="T18" s="767" t="n"/>
      <c r="U18" s="758" t="n"/>
      <c r="V18" s="758" t="n"/>
      <c r="W18" s="758" t="n"/>
      <c r="X18" s="758" t="n"/>
      <c r="Y18" s="758" t="n"/>
      <c r="Z18" s="768" t="n"/>
      <c r="AA18" s="745">
        <f>SUM(B18:C18)</f>
        <v/>
      </c>
      <c r="AB18" s="744">
        <f>SUM(AA7:AA18)</f>
        <v/>
      </c>
      <c r="AC18" s="746">
        <f>AB18/12</f>
        <v/>
      </c>
      <c r="AD18" s="744">
        <f>SUM(D18:Z18)</f>
        <v/>
      </c>
      <c r="AE18" s="744">
        <f>SUM(AD7:AD18)</f>
        <v/>
      </c>
      <c r="AF18" s="746">
        <f>AE18/12</f>
        <v/>
      </c>
    </row>
    <row r="19">
      <c r="A19" s="760" t="n">
        <v>41974</v>
      </c>
      <c r="B19" s="758" t="n">
        <v>282100</v>
      </c>
      <c r="C19" s="758" t="n"/>
      <c r="D19" s="765" t="n">
        <v>2000</v>
      </c>
      <c r="E19" s="758">
        <f>4750</f>
        <v/>
      </c>
      <c r="F19" s="758" t="n">
        <v>100</v>
      </c>
      <c r="G19" s="758" t="n"/>
      <c r="H19" s="758" t="n">
        <v>420</v>
      </c>
      <c r="I19" s="758" t="n"/>
      <c r="J19" s="766" t="n">
        <v>2.521</v>
      </c>
      <c r="K19" s="758" t="n">
        <v>875</v>
      </c>
      <c r="L19" s="758" t="n">
        <v>160</v>
      </c>
      <c r="M19" s="766" t="n">
        <v>1000</v>
      </c>
      <c r="N19" s="766" t="n">
        <v>400</v>
      </c>
      <c r="O19" s="767">
        <f>0.05*117</f>
        <v/>
      </c>
      <c r="P19" s="767">
        <f>0.67*93</f>
        <v/>
      </c>
      <c r="Q19" s="766" t="n">
        <v>0</v>
      </c>
      <c r="R19" s="767" t="n"/>
      <c r="S19" s="767" t="n"/>
      <c r="T19" s="767" t="n"/>
      <c r="U19" s="758" t="n"/>
      <c r="V19" s="758" t="n"/>
      <c r="W19" s="758" t="n"/>
      <c r="X19" s="758" t="n"/>
      <c r="Y19" s="758" t="n"/>
      <c r="Z19" s="768" t="n"/>
      <c r="AA19" s="745">
        <f>SUM(B19:C19)</f>
        <v/>
      </c>
      <c r="AB19" s="744">
        <f>SUM(AA8:AA19)</f>
        <v/>
      </c>
      <c r="AC19" s="746">
        <f>AB19/12</f>
        <v/>
      </c>
      <c r="AD19" s="744">
        <f>SUM(D19:Z19)</f>
        <v/>
      </c>
      <c r="AE19" s="744">
        <f>SUM(AD8:AD19)</f>
        <v/>
      </c>
      <c r="AF19" s="746">
        <f>AE19/12</f>
        <v/>
      </c>
    </row>
    <row r="20">
      <c r="A20" s="760" t="n">
        <v>42005</v>
      </c>
      <c r="B20" s="758" t="n">
        <v>282100</v>
      </c>
      <c r="C20" s="758" t="n"/>
      <c r="D20" s="765" t="n">
        <v>2000</v>
      </c>
      <c r="E20" s="758">
        <f>4640</f>
        <v/>
      </c>
      <c r="F20" s="758" t="n">
        <v>370</v>
      </c>
      <c r="G20" s="758" t="n"/>
      <c r="H20" s="758" t="n">
        <v>390</v>
      </c>
      <c r="I20" s="758" t="n"/>
      <c r="J20" s="766" t="n">
        <v>4.687</v>
      </c>
      <c r="K20" s="758" t="n">
        <v>870</v>
      </c>
      <c r="L20" s="758" t="n">
        <v>70</v>
      </c>
      <c r="M20" s="766" t="n">
        <v>800</v>
      </c>
      <c r="N20" s="766" t="n">
        <v>400</v>
      </c>
      <c r="O20" s="767" t="inlineStr">
        <is>
          <t>-</t>
        </is>
      </c>
      <c r="P20" s="767">
        <f>0.67*146</f>
        <v/>
      </c>
      <c r="Q20" s="766" t="n">
        <v>0</v>
      </c>
      <c r="R20" s="767" t="n"/>
      <c r="S20" s="767" t="n"/>
      <c r="T20" s="767" t="n"/>
      <c r="U20" s="758" t="n"/>
      <c r="V20" s="758" t="n"/>
      <c r="W20" s="758" t="n"/>
      <c r="X20" s="758" t="n"/>
      <c r="Y20" s="758" t="n"/>
      <c r="Z20" s="768" t="n"/>
      <c r="AA20" s="745">
        <f>SUM(B20:C20)</f>
        <v/>
      </c>
      <c r="AB20" s="744">
        <f>SUM(AA9:AA20)</f>
        <v/>
      </c>
      <c r="AC20" s="746">
        <f>AB20/12</f>
        <v/>
      </c>
      <c r="AD20" s="744">
        <f>SUM(D20:Z20)</f>
        <v/>
      </c>
      <c r="AE20" s="744">
        <f>SUM(AD9:AD20)</f>
        <v/>
      </c>
      <c r="AF20" s="746">
        <f>AE20/12</f>
        <v/>
      </c>
    </row>
    <row r="21">
      <c r="A21" s="760" t="n">
        <v>42036</v>
      </c>
      <c r="B21" s="758" t="n">
        <v>254800</v>
      </c>
      <c r="C21" s="758" t="n"/>
      <c r="D21" s="765" t="n">
        <v>2000</v>
      </c>
      <c r="E21" s="758">
        <f>4540</f>
        <v/>
      </c>
      <c r="F21" s="758" t="n">
        <v>110</v>
      </c>
      <c r="G21" s="758" t="n"/>
      <c r="H21" s="758" t="n">
        <v>380</v>
      </c>
      <c r="I21" s="758" t="n"/>
      <c r="J21" s="766" t="n">
        <v>14.617</v>
      </c>
      <c r="K21" s="758" t="n">
        <v>856</v>
      </c>
      <c r="L21" s="758" t="n">
        <v>0</v>
      </c>
      <c r="M21" s="766" t="n">
        <v>800</v>
      </c>
      <c r="N21" s="766" t="n">
        <v>400</v>
      </c>
      <c r="O21" s="767" t="inlineStr">
        <is>
          <t>-</t>
        </is>
      </c>
      <c r="P21" s="767">
        <f>0.67*97</f>
        <v/>
      </c>
      <c r="Q21" s="766" t="n">
        <v>21</v>
      </c>
      <c r="R21" s="767" t="n"/>
      <c r="S21" s="767" t="n"/>
      <c r="T21" s="767" t="n"/>
      <c r="U21" s="758" t="n"/>
      <c r="V21" s="758" t="n"/>
      <c r="W21" s="758" t="n"/>
      <c r="X21" s="758" t="n"/>
      <c r="Y21" s="758" t="n"/>
      <c r="Z21" s="768" t="n"/>
      <c r="AA21" s="745">
        <f>SUM(B21:C21)</f>
        <v/>
      </c>
      <c r="AB21" s="744">
        <f>SUM(AA10:AA21)</f>
        <v/>
      </c>
      <c r="AC21" s="746">
        <f>AB21/12</f>
        <v/>
      </c>
      <c r="AD21" s="744">
        <f>SUM(D21:Z21)</f>
        <v/>
      </c>
      <c r="AE21" s="744">
        <f>SUM(AD10:AD21)</f>
        <v/>
      </c>
      <c r="AF21" s="746">
        <f>AE21/12</f>
        <v/>
      </c>
    </row>
    <row r="22">
      <c r="A22" s="760" t="n">
        <v>42064</v>
      </c>
      <c r="B22" s="758" t="n">
        <v>282100</v>
      </c>
      <c r="C22" s="758" t="n"/>
      <c r="D22" s="765" t="n">
        <v>2000</v>
      </c>
      <c r="E22" s="758">
        <f>4140</f>
        <v/>
      </c>
      <c r="F22" s="758" t="n">
        <v>140</v>
      </c>
      <c r="G22" s="758" t="n"/>
      <c r="H22" s="758" t="n">
        <v>410</v>
      </c>
      <c r="I22" s="758" t="n"/>
      <c r="J22" s="766" t="n">
        <v>4.378</v>
      </c>
      <c r="K22" s="758" t="n">
        <v>1953</v>
      </c>
      <c r="L22" s="758" t="n">
        <v>0</v>
      </c>
      <c r="M22" s="766" t="n">
        <v>800</v>
      </c>
      <c r="N22" s="766" t="n">
        <v>400</v>
      </c>
      <c r="O22" s="767" t="inlineStr">
        <is>
          <t>-</t>
        </is>
      </c>
      <c r="P22" s="767">
        <f>0.67*127</f>
        <v/>
      </c>
      <c r="Q22" s="766" t="n">
        <v>0</v>
      </c>
      <c r="R22" s="767" t="n"/>
      <c r="S22" s="767" t="n"/>
      <c r="T22" s="767" t="n"/>
      <c r="U22" s="758" t="n"/>
      <c r="V22" s="758" t="n"/>
      <c r="W22" s="758" t="n"/>
      <c r="X22" s="758" t="n"/>
      <c r="Y22" s="758" t="n"/>
      <c r="Z22" s="768" t="n"/>
      <c r="AA22" s="745">
        <f>SUM(B22:C22)</f>
        <v/>
      </c>
      <c r="AB22" s="744">
        <f>SUM(AA11:AA22)</f>
        <v/>
      </c>
      <c r="AC22" s="746">
        <f>AB22/12</f>
        <v/>
      </c>
      <c r="AD22" s="744">
        <f>SUM(D22:Z22)</f>
        <v/>
      </c>
      <c r="AE22" s="744">
        <f>SUM(AD11:AD22)</f>
        <v/>
      </c>
      <c r="AF22" s="746">
        <f>AE22/12</f>
        <v/>
      </c>
    </row>
    <row r="23">
      <c r="A23" s="760" t="n">
        <v>42095</v>
      </c>
      <c r="B23" s="758" t="n">
        <v>273000.0000000001</v>
      </c>
      <c r="C23" s="758" t="n"/>
      <c r="D23" s="765" t="n">
        <v>2000</v>
      </c>
      <c r="E23" s="758">
        <f>4040</f>
        <v/>
      </c>
      <c r="F23" s="758" t="n">
        <v>110</v>
      </c>
      <c r="G23" s="758" t="n"/>
      <c r="H23" s="758" t="n">
        <v>500</v>
      </c>
      <c r="I23" s="758" t="n"/>
      <c r="J23" s="766" t="n">
        <v>0.65</v>
      </c>
      <c r="K23" s="758" t="n">
        <v>1067</v>
      </c>
      <c r="L23" s="758" t="n">
        <v>240</v>
      </c>
      <c r="M23" s="766" t="n">
        <v>1000</v>
      </c>
      <c r="N23" s="766" t="n">
        <v>400</v>
      </c>
      <c r="O23" s="767" t="inlineStr">
        <is>
          <t>-</t>
        </is>
      </c>
      <c r="P23" s="767">
        <f>0.67*88</f>
        <v/>
      </c>
      <c r="Q23" s="766" t="n">
        <v>0</v>
      </c>
      <c r="R23" s="767" t="n"/>
      <c r="S23" s="767" t="n"/>
      <c r="T23" s="767" t="n"/>
      <c r="U23" s="758" t="n"/>
      <c r="V23" s="758" t="n"/>
      <c r="W23" s="758" t="n"/>
      <c r="X23" s="758" t="n"/>
      <c r="Y23" s="758" t="n"/>
      <c r="Z23" s="768" t="n"/>
      <c r="AA23" s="745">
        <f>SUM(B23:C23)</f>
        <v/>
      </c>
      <c r="AB23" s="744">
        <f>SUM(AA12:AA23)</f>
        <v/>
      </c>
      <c r="AC23" s="746">
        <f>AB23/12</f>
        <v/>
      </c>
      <c r="AD23" s="744">
        <f>SUM(D23:Z23)</f>
        <v/>
      </c>
      <c r="AE23" s="744">
        <f>SUM(AD12:AD23)</f>
        <v/>
      </c>
      <c r="AF23" s="746">
        <f>AE23/12</f>
        <v/>
      </c>
    </row>
    <row r="24">
      <c r="A24" s="760" t="n">
        <v>42125</v>
      </c>
      <c r="B24" s="758" t="n">
        <v>282100</v>
      </c>
      <c r="C24" s="758" t="n"/>
      <c r="D24" s="765" t="n">
        <v>2000</v>
      </c>
      <c r="E24" s="758">
        <f>4090</f>
        <v/>
      </c>
      <c r="F24" s="758" t="n">
        <v>550</v>
      </c>
      <c r="G24" s="758" t="n"/>
      <c r="H24" s="758" t="n">
        <v>460</v>
      </c>
      <c r="I24" s="758" t="n"/>
      <c r="J24" s="766" t="n">
        <v>3.357</v>
      </c>
      <c r="K24" s="758" t="n">
        <v>1074</v>
      </c>
      <c r="L24" s="758" t="n">
        <v>400</v>
      </c>
      <c r="M24" s="766" t="n">
        <v>800</v>
      </c>
      <c r="N24" s="766" t="n">
        <v>400</v>
      </c>
      <c r="O24" s="767" t="inlineStr">
        <is>
          <t>-</t>
        </is>
      </c>
      <c r="P24" s="767">
        <f>0.67*115</f>
        <v/>
      </c>
      <c r="Q24" s="766" t="n">
        <v>0</v>
      </c>
      <c r="R24" s="767" t="n"/>
      <c r="S24" s="767" t="n"/>
      <c r="T24" s="767" t="n"/>
      <c r="U24" s="758" t="n"/>
      <c r="V24" s="758" t="n"/>
      <c r="W24" s="758" t="n"/>
      <c r="X24" s="758" t="n"/>
      <c r="Y24" s="758" t="n"/>
      <c r="Z24" s="768" t="n"/>
      <c r="AA24" s="745">
        <f>SUM(B24:C24)</f>
        <v/>
      </c>
      <c r="AB24" s="744">
        <f>SUM(AA13:AA24)</f>
        <v/>
      </c>
      <c r="AC24" s="746">
        <f>AB24/12</f>
        <v/>
      </c>
      <c r="AD24" s="744">
        <f>SUM(D24:Z24)</f>
        <v/>
      </c>
      <c r="AE24" s="744">
        <f>SUM(AD13:AD24)</f>
        <v/>
      </c>
      <c r="AF24" s="746">
        <f>AE24/12</f>
        <v/>
      </c>
    </row>
    <row r="25">
      <c r="A25" s="760" t="n">
        <v>42156</v>
      </c>
      <c r="B25" s="758" t="n">
        <v>273000.0000000001</v>
      </c>
      <c r="C25" s="758" t="n"/>
      <c r="D25" s="765" t="n">
        <v>2000</v>
      </c>
      <c r="E25" s="758">
        <f>4000</f>
        <v/>
      </c>
      <c r="F25" s="758" t="n">
        <v>150</v>
      </c>
      <c r="G25" s="758" t="n"/>
      <c r="H25" s="758" t="n">
        <v>410</v>
      </c>
      <c r="I25" s="758" t="n"/>
      <c r="J25" s="766" t="n">
        <v>1.764</v>
      </c>
      <c r="K25" s="758" t="n">
        <v>1038</v>
      </c>
      <c r="L25" s="758" t="n">
        <v>270</v>
      </c>
      <c r="M25" s="766" t="n">
        <v>800</v>
      </c>
      <c r="N25" s="766" t="n">
        <v>400</v>
      </c>
      <c r="O25" s="767" t="inlineStr">
        <is>
          <t>-</t>
        </is>
      </c>
      <c r="P25" s="767">
        <f>0.67*138</f>
        <v/>
      </c>
      <c r="Q25" s="766" t="n">
        <v>0</v>
      </c>
      <c r="R25" s="767" t="n"/>
      <c r="S25" s="767" t="n"/>
      <c r="T25" s="767" t="n"/>
      <c r="U25" s="758" t="n"/>
      <c r="V25" s="758" t="n"/>
      <c r="W25" s="758" t="n"/>
      <c r="X25" s="758" t="n"/>
      <c r="Y25" s="758" t="n"/>
      <c r="Z25" s="768" t="n"/>
      <c r="AA25" s="745">
        <f>SUM(B25:C25)</f>
        <v/>
      </c>
      <c r="AB25" s="744">
        <f>SUM(AA14:AA25)</f>
        <v/>
      </c>
      <c r="AC25" s="746">
        <f>AB25/12</f>
        <v/>
      </c>
      <c r="AD25" s="744">
        <f>SUM(D25:Z25)</f>
        <v/>
      </c>
      <c r="AE25" s="744">
        <f>SUM(AD14:AD25)</f>
        <v/>
      </c>
      <c r="AF25" s="746">
        <f>AE25/12</f>
        <v/>
      </c>
      <c r="AH25" s="764">
        <f>AB25+AE25</f>
        <v/>
      </c>
      <c r="AI25" s="744">
        <f>AE25/AB25</f>
        <v/>
      </c>
    </row>
    <row r="26">
      <c r="A26" s="760" t="n">
        <v>42186</v>
      </c>
      <c r="B26" s="761" t="n">
        <v>231390</v>
      </c>
      <c r="C26" s="761" t="n"/>
      <c r="D26" s="762" t="n">
        <v>2000</v>
      </c>
      <c r="E26" s="761">
        <f>4150</f>
        <v/>
      </c>
      <c r="F26" s="761" t="n">
        <v>110</v>
      </c>
      <c r="G26" s="761" t="n"/>
      <c r="H26" s="761" t="n">
        <v>510</v>
      </c>
      <c r="I26" s="761" t="n"/>
      <c r="J26" s="756" t="n">
        <v>0.062</v>
      </c>
      <c r="K26" s="761" t="n">
        <v>957</v>
      </c>
      <c r="L26" s="761" t="n">
        <v>0</v>
      </c>
      <c r="M26" s="756" t="n">
        <v>1000</v>
      </c>
      <c r="N26" s="756" t="n">
        <v>600</v>
      </c>
      <c r="O26" s="757" t="inlineStr">
        <is>
          <t>-</t>
        </is>
      </c>
      <c r="P26" s="757">
        <f>0.67*155</f>
        <v/>
      </c>
      <c r="Q26" s="756" t="n">
        <v>0</v>
      </c>
      <c r="R26" s="757" t="n"/>
      <c r="S26" s="757" t="n"/>
      <c r="T26" s="757" t="n"/>
      <c r="U26" s="761" t="n"/>
      <c r="V26" s="761" t="n"/>
      <c r="W26" s="758" t="n"/>
      <c r="X26" s="761" t="n"/>
      <c r="Y26" s="761" t="n"/>
      <c r="Z26" s="763" t="n"/>
      <c r="AA26" s="745">
        <f>SUM(B26:C26)</f>
        <v/>
      </c>
      <c r="AB26" s="744">
        <f>SUM(AA15:AA26)</f>
        <v/>
      </c>
      <c r="AC26" s="746">
        <f>AB26/12</f>
        <v/>
      </c>
      <c r="AD26" s="744">
        <f>SUM(D26:Z26)</f>
        <v/>
      </c>
      <c r="AE26" s="744">
        <f>SUM(AD15:AD26)</f>
        <v/>
      </c>
      <c r="AF26" s="746">
        <f>AE26/12</f>
        <v/>
      </c>
    </row>
    <row r="27">
      <c r="A27" s="760" t="n">
        <v>42217</v>
      </c>
      <c r="B27" s="761" t="n">
        <v>281540</v>
      </c>
      <c r="C27" s="761" t="n"/>
      <c r="D27" s="762" t="n">
        <v>2000</v>
      </c>
      <c r="E27" s="761">
        <f>4020</f>
        <v/>
      </c>
      <c r="F27" s="761" t="n">
        <v>130</v>
      </c>
      <c r="G27" s="761" t="n"/>
      <c r="H27" s="761" t="n">
        <v>480</v>
      </c>
      <c r="I27" s="761" t="n"/>
      <c r="J27" s="756" t="n">
        <v>5.006</v>
      </c>
      <c r="K27" s="761" t="n">
        <v>827</v>
      </c>
      <c r="L27" s="761" t="n">
        <v>270</v>
      </c>
      <c r="M27" s="756" t="n">
        <v>800</v>
      </c>
      <c r="N27" s="756" t="n">
        <v>400</v>
      </c>
      <c r="O27" s="757" t="inlineStr">
        <is>
          <t>-</t>
        </is>
      </c>
      <c r="P27" s="757">
        <f>0.67*105</f>
        <v/>
      </c>
      <c r="Q27" s="756" t="n">
        <v>0</v>
      </c>
      <c r="R27" s="757" t="n"/>
      <c r="S27" s="757" t="n"/>
      <c r="T27" s="757" t="n"/>
      <c r="U27" s="761" t="n"/>
      <c r="V27" s="761" t="n"/>
      <c r="W27" s="758" t="n"/>
      <c r="X27" s="761" t="n"/>
      <c r="Y27" s="761" t="n"/>
      <c r="Z27" s="763" t="n"/>
      <c r="AA27" s="745">
        <f>SUM(B27:C27)</f>
        <v/>
      </c>
      <c r="AB27" s="744">
        <f>SUM(AA16:AA27)</f>
        <v/>
      </c>
      <c r="AC27" s="746">
        <f>AB27/12</f>
        <v/>
      </c>
      <c r="AD27" s="744">
        <f>SUM(D27:Z27)</f>
        <v/>
      </c>
      <c r="AE27" s="744">
        <f>SUM(AD16:AD27)</f>
        <v/>
      </c>
      <c r="AF27" s="746">
        <f>AE27/12</f>
        <v/>
      </c>
    </row>
    <row r="28">
      <c r="A28" s="760" t="n">
        <v>42248</v>
      </c>
      <c r="B28" s="761" t="n">
        <v>272880</v>
      </c>
      <c r="C28" s="761" t="n"/>
      <c r="D28" s="762" t="n">
        <v>2000</v>
      </c>
      <c r="E28" s="761">
        <f>3810</f>
        <v/>
      </c>
      <c r="F28" s="761" t="n">
        <v>100</v>
      </c>
      <c r="G28" s="761" t="n"/>
      <c r="H28" s="761" t="n">
        <v>390</v>
      </c>
      <c r="I28" s="761" t="n"/>
      <c r="J28" s="756" t="n">
        <v>1.578</v>
      </c>
      <c r="K28" s="761" t="n">
        <v>1956</v>
      </c>
      <c r="L28" s="761" t="n">
        <v>120</v>
      </c>
      <c r="M28" s="756" t="n">
        <v>1000</v>
      </c>
      <c r="N28" s="756" t="n">
        <v>400</v>
      </c>
      <c r="O28" s="757" t="inlineStr">
        <is>
          <t>-</t>
        </is>
      </c>
      <c r="P28" s="757">
        <f>0.67*128</f>
        <v/>
      </c>
      <c r="Q28" s="756" t="n">
        <v>0</v>
      </c>
      <c r="R28" s="757" t="n"/>
      <c r="S28" s="757" t="n"/>
      <c r="T28" s="757" t="n"/>
      <c r="U28" s="761" t="n"/>
      <c r="V28" s="761" t="n"/>
      <c r="W28" s="758" t="n"/>
      <c r="X28" s="761" t="n"/>
      <c r="Y28" s="761" t="n"/>
      <c r="Z28" s="763" t="n"/>
      <c r="AA28" s="745">
        <f>SUM(B28:C28)</f>
        <v/>
      </c>
      <c r="AB28" s="744">
        <f>SUM(AA17:AA28)</f>
        <v/>
      </c>
      <c r="AC28" s="746">
        <f>AB28/12</f>
        <v/>
      </c>
      <c r="AD28" s="744">
        <f>SUM(D28:Z28)</f>
        <v/>
      </c>
      <c r="AE28" s="744">
        <f>SUM(AD17:AD28)</f>
        <v/>
      </c>
      <c r="AF28" s="746">
        <f>AE28/12</f>
        <v/>
      </c>
    </row>
    <row r="29">
      <c r="A29" s="760" t="n">
        <v>42278</v>
      </c>
      <c r="B29" s="761" t="n">
        <v>281000</v>
      </c>
      <c r="C29" s="761" t="n"/>
      <c r="D29" s="762" t="n">
        <v>2000</v>
      </c>
      <c r="E29" s="761">
        <f>3970</f>
        <v/>
      </c>
      <c r="F29" s="761" t="n">
        <v>90</v>
      </c>
      <c r="G29" s="761" t="n"/>
      <c r="H29" s="761" t="n">
        <v>480</v>
      </c>
      <c r="I29" s="761" t="n"/>
      <c r="J29" s="756" t="n">
        <v>2.042</v>
      </c>
      <c r="K29" s="761" t="n">
        <v>3297</v>
      </c>
      <c r="L29" s="761" t="n">
        <v>160</v>
      </c>
      <c r="M29" s="756" t="n">
        <v>800</v>
      </c>
      <c r="N29" s="756" t="n">
        <v>200</v>
      </c>
      <c r="O29" s="757" t="inlineStr">
        <is>
          <t>-</t>
        </is>
      </c>
      <c r="P29" s="757">
        <f>0.67*103</f>
        <v/>
      </c>
      <c r="Q29" s="756" t="n">
        <v>0</v>
      </c>
      <c r="R29" s="757" t="n"/>
      <c r="S29" s="757" t="n"/>
      <c r="T29" s="757" t="n"/>
      <c r="U29" s="761" t="n"/>
      <c r="V29" s="761" t="n"/>
      <c r="W29" s="758" t="n"/>
      <c r="X29" s="761" t="n"/>
      <c r="Y29" s="761" t="n"/>
      <c r="Z29" s="763" t="n"/>
      <c r="AA29" s="745">
        <f>SUM(B29:C29)</f>
        <v/>
      </c>
      <c r="AB29" s="744">
        <f>SUM(AA18:AA29)</f>
        <v/>
      </c>
      <c r="AC29" s="746">
        <f>AB29/12</f>
        <v/>
      </c>
      <c r="AD29" s="744">
        <f>SUM(D29:Z29)</f>
        <v/>
      </c>
      <c r="AE29" s="744">
        <f>SUM(AD18:AD29)</f>
        <v/>
      </c>
      <c r="AF29" s="746">
        <f>AE29/12</f>
        <v/>
      </c>
    </row>
    <row r="30">
      <c r="A30" s="760" t="n">
        <v>42309</v>
      </c>
      <c r="B30" s="761" t="n">
        <v>274289.9999999999</v>
      </c>
      <c r="C30" s="761" t="n"/>
      <c r="D30" s="762" t="n">
        <v>2000</v>
      </c>
      <c r="E30" s="761">
        <f>3890</f>
        <v/>
      </c>
      <c r="F30" s="761" t="n">
        <v>100</v>
      </c>
      <c r="G30" s="761" t="n"/>
      <c r="H30" s="761" t="n">
        <v>450</v>
      </c>
      <c r="I30" s="761" t="n"/>
      <c r="J30" s="756" t="n">
        <v>0.062</v>
      </c>
      <c r="K30" s="761" t="n">
        <v>1785</v>
      </c>
      <c r="L30" s="761" t="n">
        <v>50</v>
      </c>
      <c r="M30" s="756" t="n">
        <v>800</v>
      </c>
      <c r="N30" s="756" t="n">
        <v>600</v>
      </c>
      <c r="O30" s="757" t="inlineStr">
        <is>
          <t>-</t>
        </is>
      </c>
      <c r="P30" s="757">
        <f>0.67*143</f>
        <v/>
      </c>
      <c r="Q30" s="756" t="n">
        <v>0</v>
      </c>
      <c r="R30" s="757" t="n"/>
      <c r="S30" s="757" t="n"/>
      <c r="T30" s="757" t="n"/>
      <c r="U30" s="761" t="n"/>
      <c r="V30" s="761" t="n"/>
      <c r="W30" s="758" t="n"/>
      <c r="X30" s="761" t="n"/>
      <c r="Y30" s="761" t="n"/>
      <c r="Z30" s="763" t="n"/>
      <c r="AA30" s="745">
        <f>SUM(B30:C30)</f>
        <v/>
      </c>
      <c r="AB30" s="744">
        <f>SUM(AA19:AA30)</f>
        <v/>
      </c>
      <c r="AC30" s="746">
        <f>AB30/12</f>
        <v/>
      </c>
      <c r="AD30" s="744">
        <f>SUM(D30:Z30)</f>
        <v/>
      </c>
      <c r="AE30" s="744">
        <f>SUM(AD19:AD30)</f>
        <v/>
      </c>
      <c r="AF30" s="746">
        <f>AE30/12</f>
        <v/>
      </c>
    </row>
    <row r="31">
      <c r="A31" s="760" t="n">
        <v>42339</v>
      </c>
      <c r="B31" s="761" t="n">
        <v>267880</v>
      </c>
      <c r="C31" s="761" t="n"/>
      <c r="D31" s="762" t="n">
        <v>2000</v>
      </c>
      <c r="E31" s="761">
        <f>3810</f>
        <v/>
      </c>
      <c r="F31" s="761" t="n">
        <v>250</v>
      </c>
      <c r="G31" s="761" t="n"/>
      <c r="H31" s="761" t="n">
        <v>370</v>
      </c>
      <c r="I31" s="761" t="n"/>
      <c r="J31" s="756" t="n">
        <v>3.224</v>
      </c>
      <c r="K31" s="761" t="n">
        <v>1400</v>
      </c>
      <c r="L31" s="761" t="n">
        <v>250</v>
      </c>
      <c r="M31" s="756" t="n">
        <v>1200</v>
      </c>
      <c r="N31" s="756" t="n">
        <v>1200</v>
      </c>
      <c r="O31" s="757">
        <f>0.05*97</f>
        <v/>
      </c>
      <c r="P31" s="757">
        <f>0.67*130</f>
        <v/>
      </c>
      <c r="Q31" s="756" t="n">
        <v>0</v>
      </c>
      <c r="R31" s="757" t="n"/>
      <c r="S31" s="757" t="n"/>
      <c r="T31" s="757" t="n"/>
      <c r="U31" s="761" t="n"/>
      <c r="V31" s="761" t="n"/>
      <c r="W31" s="758" t="n"/>
      <c r="X31" s="761" t="n"/>
      <c r="Y31" s="761" t="n"/>
      <c r="Z31" s="763" t="n"/>
      <c r="AA31" s="745">
        <f>SUM(B31:C31)</f>
        <v/>
      </c>
      <c r="AB31" s="744">
        <f>SUM(AA20:AA31)</f>
        <v/>
      </c>
      <c r="AC31" s="746">
        <f>AB31/12</f>
        <v/>
      </c>
      <c r="AD31" s="744">
        <f>SUM(D31:Z31)</f>
        <v/>
      </c>
      <c r="AE31" s="744">
        <f>SUM(AD20:AD31)</f>
        <v/>
      </c>
      <c r="AF31" s="746">
        <f>AE31/12</f>
        <v/>
      </c>
    </row>
    <row r="32">
      <c r="A32" s="760" t="n">
        <v>42370</v>
      </c>
      <c r="B32" s="761" t="n">
        <v>269800</v>
      </c>
      <c r="C32" s="761" t="n"/>
      <c r="D32" s="762">
        <f>2000+177.808333</f>
        <v/>
      </c>
      <c r="E32" s="761">
        <f>4230</f>
        <v/>
      </c>
      <c r="F32" s="761" t="n">
        <v>300</v>
      </c>
      <c r="G32" s="761" t="n"/>
      <c r="H32" s="761" t="n">
        <v>460</v>
      </c>
      <c r="I32" s="761" t="n"/>
      <c r="J32" s="756" t="n">
        <v>0.17</v>
      </c>
      <c r="K32" s="761" t="n">
        <v>1647</v>
      </c>
      <c r="L32" s="761" t="n">
        <v>100</v>
      </c>
      <c r="M32" s="562" t="n">
        <v>1200</v>
      </c>
      <c r="N32" s="562" t="n">
        <v>400</v>
      </c>
      <c r="O32" s="757" t="inlineStr">
        <is>
          <t>-</t>
        </is>
      </c>
      <c r="P32" s="757">
        <f>0.67*77</f>
        <v/>
      </c>
      <c r="Q32" s="756" t="n">
        <v>20</v>
      </c>
      <c r="R32" s="757" t="n"/>
      <c r="S32" s="757" t="n"/>
      <c r="T32" s="757" t="n"/>
      <c r="U32" s="761" t="n"/>
      <c r="V32" s="761" t="n"/>
      <c r="W32" s="758" t="n"/>
      <c r="X32" s="761" t="n"/>
      <c r="Y32" s="761" t="n"/>
      <c r="Z32" s="763" t="n"/>
      <c r="AA32" s="745">
        <f>SUM(B32:C32)</f>
        <v/>
      </c>
      <c r="AB32" s="744">
        <f>SUM(AA21:AA32)</f>
        <v/>
      </c>
      <c r="AC32" s="746">
        <f>AB32/12</f>
        <v/>
      </c>
      <c r="AD32" s="744">
        <f>SUM(D32:Z32)</f>
        <v/>
      </c>
      <c r="AE32" s="744">
        <f>SUM(AD21:AD32)</f>
        <v/>
      </c>
      <c r="AF32" s="746">
        <f>AE32/12</f>
        <v/>
      </c>
    </row>
    <row r="33">
      <c r="A33" s="760" t="n">
        <v>42401</v>
      </c>
      <c r="B33" s="761" t="n">
        <v>240500</v>
      </c>
      <c r="C33" s="761" t="n"/>
      <c r="D33" s="762">
        <f>2000+177.808333</f>
        <v/>
      </c>
      <c r="E33" s="761">
        <f>4070</f>
        <v/>
      </c>
      <c r="F33" s="761" t="n">
        <v>250</v>
      </c>
      <c r="G33" s="761" t="n"/>
      <c r="H33" s="761" t="n">
        <v>490</v>
      </c>
      <c r="I33" s="761" t="n"/>
      <c r="J33" s="756" t="n">
        <v>0.108</v>
      </c>
      <c r="K33" s="761" t="n">
        <v>3015</v>
      </c>
      <c r="L33" s="761" t="n">
        <v>160</v>
      </c>
      <c r="M33" s="562" t="n">
        <v>600</v>
      </c>
      <c r="N33" s="562" t="n">
        <v>200</v>
      </c>
      <c r="O33" s="757" t="inlineStr">
        <is>
          <t>-</t>
        </is>
      </c>
      <c r="P33" s="757">
        <f>0.67*57</f>
        <v/>
      </c>
      <c r="Q33" s="756" t="n">
        <v>0</v>
      </c>
      <c r="R33" s="757" t="n"/>
      <c r="S33" s="757" t="n"/>
      <c r="T33" s="757" t="n"/>
      <c r="U33" s="761" t="n"/>
      <c r="V33" s="761" t="n"/>
      <c r="W33" s="758" t="n"/>
      <c r="X33" s="761" t="n"/>
      <c r="Y33" s="761" t="n"/>
      <c r="Z33" s="763" t="n"/>
      <c r="AA33" s="745">
        <f>SUM(B33:C33)</f>
        <v/>
      </c>
      <c r="AB33" s="744">
        <f>SUM(AA22:AA33)</f>
        <v/>
      </c>
      <c r="AC33" s="746">
        <f>AB33/12</f>
        <v/>
      </c>
      <c r="AD33" s="744">
        <f>SUM(D33:Z33)</f>
        <v/>
      </c>
      <c r="AE33" s="744">
        <f>SUM(AD22:AD33)</f>
        <v/>
      </c>
      <c r="AF33" s="746">
        <f>AE33/12</f>
        <v/>
      </c>
    </row>
    <row r="34">
      <c r="A34" s="760" t="n">
        <v>42430</v>
      </c>
      <c r="B34" s="761" t="n">
        <v>263290</v>
      </c>
      <c r="C34" s="761" t="n"/>
      <c r="D34" s="762">
        <f>2000+177.808333</f>
        <v/>
      </c>
      <c r="E34" s="761">
        <f>4120</f>
        <v/>
      </c>
      <c r="F34" s="761" t="n">
        <v>170</v>
      </c>
      <c r="G34" s="761" t="n"/>
      <c r="H34" s="761" t="n">
        <v>500</v>
      </c>
      <c r="I34" s="761" t="n"/>
      <c r="J34" s="756" t="n">
        <v>1.436</v>
      </c>
      <c r="K34" s="761" t="n">
        <v>1168</v>
      </c>
      <c r="L34" s="761" t="n">
        <v>30</v>
      </c>
      <c r="M34" s="562" t="n">
        <v>1200</v>
      </c>
      <c r="N34" s="562" t="n">
        <v>400</v>
      </c>
      <c r="O34" s="757" t="inlineStr">
        <is>
          <t>-</t>
        </is>
      </c>
      <c r="P34" s="757">
        <f>0.67*130</f>
        <v/>
      </c>
      <c r="Q34" s="756" t="n">
        <v>0</v>
      </c>
      <c r="R34" s="757" t="n"/>
      <c r="S34" s="757" t="n"/>
      <c r="T34" s="757" t="n"/>
      <c r="U34" s="761" t="n"/>
      <c r="V34" s="761" t="n"/>
      <c r="W34" s="758" t="n"/>
      <c r="X34" s="761" t="n"/>
      <c r="Y34" s="761" t="n"/>
      <c r="Z34" s="763" t="n"/>
      <c r="AA34" s="745">
        <f>SUM(B34:C34)</f>
        <v/>
      </c>
      <c r="AB34" s="744">
        <f>SUM(AA23:AA34)</f>
        <v/>
      </c>
      <c r="AC34" s="746">
        <f>AB34/12</f>
        <v/>
      </c>
      <c r="AD34" s="744">
        <f>SUM(D34:Z34)</f>
        <v/>
      </c>
      <c r="AE34" s="744">
        <f>SUM(AD23:AD34)</f>
        <v/>
      </c>
      <c r="AF34" s="746">
        <f>AE34/12</f>
        <v/>
      </c>
    </row>
    <row r="35">
      <c r="A35" s="760" t="n">
        <v>42461</v>
      </c>
      <c r="B35" s="761" t="n">
        <v>260100</v>
      </c>
      <c r="C35" s="761" t="n"/>
      <c r="D35" s="762">
        <f>2000+177.808333</f>
        <v/>
      </c>
      <c r="E35" s="761">
        <f>4050</f>
        <v/>
      </c>
      <c r="F35" s="761" t="n">
        <v>140</v>
      </c>
      <c r="G35" s="761" t="n"/>
      <c r="H35" s="761" t="n">
        <v>410</v>
      </c>
      <c r="I35" s="761" t="n"/>
      <c r="J35" s="756" t="n">
        <v>1.764</v>
      </c>
      <c r="K35" s="761" t="n">
        <v>1397</v>
      </c>
      <c r="L35" s="761" t="n">
        <v>100</v>
      </c>
      <c r="M35" s="562" t="n">
        <v>600</v>
      </c>
      <c r="N35" s="562" t="n">
        <v>400</v>
      </c>
      <c r="O35" s="757" t="inlineStr">
        <is>
          <t>-</t>
        </is>
      </c>
      <c r="P35" s="757">
        <f>0.67*81</f>
        <v/>
      </c>
      <c r="Q35" s="756" t="n">
        <v>0</v>
      </c>
      <c r="R35" s="757" t="n"/>
      <c r="S35" s="757" t="n"/>
      <c r="T35" s="757" t="n"/>
      <c r="U35" s="761" t="n"/>
      <c r="V35" s="761" t="n"/>
      <c r="W35" s="758" t="n"/>
      <c r="X35" s="761" t="n"/>
      <c r="Y35" s="761" t="n"/>
      <c r="Z35" s="763" t="n"/>
      <c r="AA35" s="745">
        <f>SUM(B35:C35)</f>
        <v/>
      </c>
      <c r="AB35" s="744">
        <f>SUM(AA24:AA35)</f>
        <v/>
      </c>
      <c r="AC35" s="746">
        <f>AB35/12</f>
        <v/>
      </c>
      <c r="AD35" s="744">
        <f>SUM(D35:Z35)</f>
        <v/>
      </c>
      <c r="AE35" s="744">
        <f>SUM(AD24:AD35)</f>
        <v/>
      </c>
      <c r="AF35" s="746">
        <f>AE35/12</f>
        <v/>
      </c>
    </row>
    <row r="36">
      <c r="A36" s="760" t="n">
        <v>42491</v>
      </c>
      <c r="B36" s="761" t="n">
        <v>279280.0000000001</v>
      </c>
      <c r="C36" s="761" t="n"/>
      <c r="D36" s="762">
        <f>2000+177.808333</f>
        <v/>
      </c>
      <c r="E36" s="761">
        <f>4080</f>
        <v/>
      </c>
      <c r="F36" s="761" t="n">
        <v>110</v>
      </c>
      <c r="G36" s="761" t="n"/>
      <c r="H36" s="761" t="n">
        <v>500</v>
      </c>
      <c r="I36" s="761" t="n"/>
      <c r="J36" s="756" t="n">
        <v>0</v>
      </c>
      <c r="K36" s="761" t="n">
        <v>1824</v>
      </c>
      <c r="L36" s="761" t="n">
        <v>150</v>
      </c>
      <c r="M36" s="562" t="n">
        <v>1000</v>
      </c>
      <c r="N36" s="562" t="n">
        <v>400</v>
      </c>
      <c r="O36" s="757" t="inlineStr">
        <is>
          <t>-</t>
        </is>
      </c>
      <c r="P36" s="757">
        <f>0.67*52</f>
        <v/>
      </c>
      <c r="Q36" s="756" t="n">
        <v>9</v>
      </c>
      <c r="R36" s="757" t="n"/>
      <c r="S36" s="757" t="n"/>
      <c r="T36" s="757" t="n"/>
      <c r="U36" s="761" t="n"/>
      <c r="V36" s="761" t="n"/>
      <c r="W36" s="758" t="n"/>
      <c r="X36" s="761" t="n"/>
      <c r="Y36" s="761" t="n"/>
      <c r="Z36" s="763" t="n"/>
      <c r="AA36" s="745">
        <f>SUM(B36:C36)</f>
        <v/>
      </c>
      <c r="AB36" s="744">
        <f>SUM(AA25:AA36)</f>
        <v/>
      </c>
      <c r="AC36" s="746">
        <f>AB36/12</f>
        <v/>
      </c>
      <c r="AD36" s="744">
        <f>SUM(D36:Z36)</f>
        <v/>
      </c>
      <c r="AE36" s="744">
        <f>SUM(AD25:AD36)</f>
        <v/>
      </c>
      <c r="AF36" s="746">
        <f>AE36/12</f>
        <v/>
      </c>
    </row>
    <row r="37">
      <c r="A37" s="760" t="n">
        <v>42522</v>
      </c>
      <c r="B37" s="761" t="n">
        <v>265300</v>
      </c>
      <c r="C37" s="761" t="n"/>
      <c r="D37" s="762">
        <f>2000+177.808333</f>
        <v/>
      </c>
      <c r="E37" s="761">
        <f>4120</f>
        <v/>
      </c>
      <c r="F37" s="761" t="n">
        <v>270</v>
      </c>
      <c r="G37" s="761" t="n"/>
      <c r="H37" s="761" t="n">
        <v>490</v>
      </c>
      <c r="I37" s="761" t="n"/>
      <c r="J37" s="756" t="n">
        <v>0</v>
      </c>
      <c r="K37" s="761" t="n">
        <v>1672</v>
      </c>
      <c r="L37" s="761" t="n">
        <v>340</v>
      </c>
      <c r="M37" s="562" t="n">
        <v>800</v>
      </c>
      <c r="N37" s="562" t="n">
        <v>400</v>
      </c>
      <c r="O37" s="757" t="inlineStr">
        <is>
          <t>-</t>
        </is>
      </c>
      <c r="P37" s="757" t="n">
        <v>0</v>
      </c>
      <c r="Q37" s="756" t="n">
        <v>0</v>
      </c>
      <c r="R37" s="757" t="n"/>
      <c r="S37" s="757" t="n"/>
      <c r="T37" s="757" t="n"/>
      <c r="U37" s="761" t="n"/>
      <c r="V37" s="761" t="n"/>
      <c r="W37" s="758" t="n"/>
      <c r="X37" s="761" t="n">
        <v>0</v>
      </c>
      <c r="Y37" s="761" t="n"/>
      <c r="Z37" s="763" t="n"/>
      <c r="AA37" s="745">
        <f>SUM(B37:C37)</f>
        <v/>
      </c>
      <c r="AB37" s="744">
        <f>SUM(AA26:AA37)</f>
        <v/>
      </c>
      <c r="AC37" s="746">
        <f>AB37/12</f>
        <v/>
      </c>
      <c r="AD37" s="744">
        <f>SUM(D37:Z37)</f>
        <v/>
      </c>
      <c r="AE37" s="744">
        <f>SUM(AD26:AD37)</f>
        <v/>
      </c>
      <c r="AF37" s="746">
        <f>AE37/12</f>
        <v/>
      </c>
      <c r="AH37" s="764">
        <f>AB37+AE37</f>
        <v/>
      </c>
    </row>
    <row r="38">
      <c r="A38" s="760" t="n">
        <v>42552</v>
      </c>
      <c r="B38" s="758" t="n">
        <v>230700</v>
      </c>
      <c r="C38" s="758" t="n"/>
      <c r="D38" s="758">
        <f>2480+177.808333</f>
        <v/>
      </c>
      <c r="E38" s="758" t="n">
        <v>2980</v>
      </c>
      <c r="F38" s="758" t="n">
        <v>260</v>
      </c>
      <c r="G38" s="758" t="n"/>
      <c r="H38" s="758" t="n">
        <v>510</v>
      </c>
      <c r="I38" s="758" t="n"/>
      <c r="J38" s="766" t="n">
        <v>0</v>
      </c>
      <c r="K38" s="758" t="n">
        <v>2495</v>
      </c>
      <c r="L38" s="758" t="n">
        <v>0</v>
      </c>
      <c r="M38" s="564" t="n">
        <v>1000</v>
      </c>
      <c r="N38" s="564" t="n">
        <v>600</v>
      </c>
      <c r="O38" s="767" t="inlineStr">
        <is>
          <t>-</t>
        </is>
      </c>
      <c r="P38" s="767" t="n">
        <v>0</v>
      </c>
      <c r="Q38" s="766" t="n">
        <v>0</v>
      </c>
      <c r="R38" s="767" t="n"/>
      <c r="S38" s="767" t="n"/>
      <c r="T38" s="767" t="n"/>
      <c r="U38" s="758" t="n"/>
      <c r="V38" s="758" t="n"/>
      <c r="W38" s="758" t="n"/>
      <c r="X38" s="758" t="n"/>
      <c r="Y38" s="758" t="n"/>
      <c r="Z38" s="768" t="n"/>
      <c r="AA38" s="745">
        <f>SUM(B38:C38)</f>
        <v/>
      </c>
      <c r="AB38" s="744">
        <f>SUM(AA27:AA38)</f>
        <v/>
      </c>
      <c r="AC38" s="746">
        <f>AB38/12</f>
        <v/>
      </c>
      <c r="AD38" s="744">
        <f>SUM(D38:Z38)</f>
        <v/>
      </c>
      <c r="AE38" s="744">
        <f>SUM(AD27:AD38)</f>
        <v/>
      </c>
      <c r="AF38" s="746">
        <f>AE38/12</f>
        <v/>
      </c>
    </row>
    <row r="39">
      <c r="A39" s="760" t="n">
        <v>42583</v>
      </c>
      <c r="B39" s="758" t="n">
        <v>249380</v>
      </c>
      <c r="C39" s="758" t="n"/>
      <c r="D39" s="758">
        <f>2580+177.808333</f>
        <v/>
      </c>
      <c r="E39" s="758">
        <f>7160</f>
        <v/>
      </c>
      <c r="F39" s="758" t="n">
        <v>400</v>
      </c>
      <c r="G39" s="758" t="n"/>
      <c r="H39" s="758" t="n">
        <v>577.5</v>
      </c>
      <c r="I39" s="758" t="n"/>
      <c r="J39" s="766" t="n">
        <v>0</v>
      </c>
      <c r="K39" s="758" t="n">
        <v>1142</v>
      </c>
      <c r="L39" s="758" t="n">
        <v>200</v>
      </c>
      <c r="M39" s="564" t="n">
        <v>2400</v>
      </c>
      <c r="N39" s="564" t="n">
        <v>200</v>
      </c>
      <c r="O39" s="767" t="inlineStr">
        <is>
          <t>-</t>
        </is>
      </c>
      <c r="P39" s="767" t="n">
        <v>0</v>
      </c>
      <c r="Q39" s="766" t="n">
        <v>0</v>
      </c>
      <c r="R39" s="767" t="n"/>
      <c r="S39" s="767" t="n"/>
      <c r="T39" s="767" t="n"/>
      <c r="U39" s="758" t="n"/>
      <c r="V39" s="758" t="n"/>
      <c r="W39" s="758" t="n"/>
      <c r="X39" s="758" t="n"/>
      <c r="Y39" s="758" t="n"/>
      <c r="Z39" s="768" t="n"/>
      <c r="AA39" s="745">
        <f>SUM(B39:C39)</f>
        <v/>
      </c>
      <c r="AB39" s="744">
        <f>SUM(AA28:AA39)</f>
        <v/>
      </c>
      <c r="AC39" s="746">
        <f>AB39/12</f>
        <v/>
      </c>
      <c r="AD39" s="744">
        <f>SUM(D39:Z39)</f>
        <v/>
      </c>
      <c r="AE39" s="744">
        <f>SUM(AD28:AD39)</f>
        <v/>
      </c>
      <c r="AF39" s="746">
        <f>AE39/12</f>
        <v/>
      </c>
    </row>
    <row r="40">
      <c r="A40" s="760" t="n">
        <v>42614</v>
      </c>
      <c r="B40" s="758" t="n">
        <v>261650</v>
      </c>
      <c r="C40" s="758" t="n"/>
      <c r="D40" s="758">
        <f>2830+177.808333</f>
        <v/>
      </c>
      <c r="E40" s="758" t="n">
        <v>7820</v>
      </c>
      <c r="F40" s="758" t="n">
        <v>250</v>
      </c>
      <c r="G40" s="758" t="n"/>
      <c r="H40" s="758" t="n">
        <v>1119.8</v>
      </c>
      <c r="I40" s="758" t="n"/>
      <c r="J40" s="766" t="n">
        <v>0</v>
      </c>
      <c r="K40" s="758" t="n">
        <v>2204</v>
      </c>
      <c r="L40" s="758" t="n">
        <v>220</v>
      </c>
      <c r="M40" s="564" t="n">
        <v>1800</v>
      </c>
      <c r="N40" s="564" t="n">
        <v>400</v>
      </c>
      <c r="O40" s="767" t="inlineStr">
        <is>
          <t>-</t>
        </is>
      </c>
      <c r="P40" s="767">
        <f>0.67*253</f>
        <v/>
      </c>
      <c r="Q40" s="766" t="n">
        <v>0</v>
      </c>
      <c r="R40" s="767" t="n"/>
      <c r="S40" s="767" t="n"/>
      <c r="T40" s="767" t="n"/>
      <c r="U40" s="758" t="n"/>
      <c r="V40" s="758" t="n"/>
      <c r="W40" s="758" t="n"/>
      <c r="X40" s="758" t="n">
        <v>0</v>
      </c>
      <c r="Y40" s="758" t="n"/>
      <c r="Z40" s="768" t="n"/>
      <c r="AA40" s="745">
        <f>SUM(B40:C40)</f>
        <v/>
      </c>
      <c r="AB40" s="744">
        <f>SUM(AA29:AA40)</f>
        <v/>
      </c>
      <c r="AC40" s="746">
        <f>AB40/12</f>
        <v/>
      </c>
      <c r="AD40" s="744">
        <f>SUM(D40:Z40)</f>
        <v/>
      </c>
      <c r="AE40" s="744">
        <f>SUM(AD29:AD40)</f>
        <v/>
      </c>
      <c r="AF40" s="746">
        <f>AE40/12</f>
        <v/>
      </c>
    </row>
    <row r="41">
      <c r="A41" s="760" t="n">
        <v>42644</v>
      </c>
      <c r="B41" s="758" t="n">
        <v>258900</v>
      </c>
      <c r="C41" s="758" t="n"/>
      <c r="D41" s="758" t="n">
        <v>177.8083333333333</v>
      </c>
      <c r="E41" s="758" t="n">
        <v>9300</v>
      </c>
      <c r="F41" s="758" t="n">
        <v>150</v>
      </c>
      <c r="G41" s="758" t="n"/>
      <c r="H41" s="758" t="n">
        <v>2310</v>
      </c>
      <c r="I41" s="758" t="n"/>
      <c r="J41" s="766" t="n">
        <v>13.462</v>
      </c>
      <c r="K41" s="758" t="n">
        <v>1653</v>
      </c>
      <c r="L41" s="758" t="n">
        <v>0</v>
      </c>
      <c r="M41" s="564" t="n">
        <v>2000</v>
      </c>
      <c r="N41" s="564" t="n">
        <v>200</v>
      </c>
      <c r="O41" s="767" t="inlineStr">
        <is>
          <t>-</t>
        </is>
      </c>
      <c r="P41" s="767" t="n">
        <v>0</v>
      </c>
      <c r="Q41" s="766" t="n">
        <v>0</v>
      </c>
      <c r="R41" s="767" t="n"/>
      <c r="S41" s="767" t="n"/>
      <c r="T41" s="767" t="n"/>
      <c r="U41" s="758" t="n"/>
      <c r="V41" s="758" t="n"/>
      <c r="W41" s="758">
        <f>'Raw Food Data (KG)'!Q2</f>
        <v/>
      </c>
      <c r="X41" s="758" t="n">
        <v>0</v>
      </c>
      <c r="Y41" s="758" t="n"/>
      <c r="Z41" s="768" t="n"/>
      <c r="AA41" s="745">
        <f>SUM(B41:C41)</f>
        <v/>
      </c>
      <c r="AB41" s="744">
        <f>SUM(AA30:AA41)</f>
        <v/>
      </c>
      <c r="AC41" s="746">
        <f>AB41/12</f>
        <v/>
      </c>
      <c r="AD41" s="744">
        <f>SUM(D41:Z41)</f>
        <v/>
      </c>
      <c r="AE41" s="744">
        <f>SUM(AD30:AD41)</f>
        <v/>
      </c>
      <c r="AF41" s="746">
        <f>AE41/12</f>
        <v/>
      </c>
    </row>
    <row r="42">
      <c r="A42" s="760" t="n">
        <v>42675</v>
      </c>
      <c r="B42" s="758" t="n">
        <v>262650</v>
      </c>
      <c r="C42" s="758" t="n"/>
      <c r="D42" s="758" t="n">
        <v>177.8083333333333</v>
      </c>
      <c r="E42" s="758" t="n">
        <v>9900</v>
      </c>
      <c r="F42" s="758" t="n">
        <v>110</v>
      </c>
      <c r="G42" s="758" t="n"/>
      <c r="H42" s="758" t="n">
        <v>2627.5</v>
      </c>
      <c r="I42" s="758" t="n"/>
      <c r="J42" s="766" t="n">
        <v>0</v>
      </c>
      <c r="K42" s="758" t="n">
        <v>3458</v>
      </c>
      <c r="L42" s="758" t="n">
        <v>0</v>
      </c>
      <c r="M42" s="564" t="n">
        <v>1600</v>
      </c>
      <c r="N42" s="564" t="n">
        <v>400</v>
      </c>
      <c r="O42" s="767" t="inlineStr">
        <is>
          <t>-</t>
        </is>
      </c>
      <c r="P42" s="767">
        <f>0.67*221</f>
        <v/>
      </c>
      <c r="Q42" s="766" t="n">
        <v>0</v>
      </c>
      <c r="R42" s="767" t="n"/>
      <c r="S42" s="767" t="n"/>
      <c r="T42" s="767" t="n"/>
      <c r="U42" s="758" t="n"/>
      <c r="V42" s="758" t="n"/>
      <c r="W42" s="758">
        <f>'Raw Food Data (KG)'!Q3</f>
        <v/>
      </c>
      <c r="X42" s="758" t="n">
        <v>66</v>
      </c>
      <c r="Y42" s="758" t="n"/>
      <c r="Z42" s="768" t="n"/>
      <c r="AA42" s="745">
        <f>SUM(B42:C42)</f>
        <v/>
      </c>
      <c r="AB42" s="744">
        <f>SUM(AA31:AA42)</f>
        <v/>
      </c>
      <c r="AC42" s="746">
        <f>AB42/12</f>
        <v/>
      </c>
      <c r="AD42" s="744">
        <f>SUM(D42:Z42)</f>
        <v/>
      </c>
      <c r="AE42" s="744">
        <f>SUM(AD31:AD42)</f>
        <v/>
      </c>
      <c r="AF42" s="746">
        <f>AE42/12</f>
        <v/>
      </c>
    </row>
    <row r="43">
      <c r="A43" s="760" t="n">
        <v>42705</v>
      </c>
      <c r="B43" s="758" t="n">
        <v>247410</v>
      </c>
      <c r="C43" s="758" t="n"/>
      <c r="D43" s="758" t="n">
        <v>177.8083333333333</v>
      </c>
      <c r="E43" s="758" t="n">
        <v>9450</v>
      </c>
      <c r="F43" s="758" t="n">
        <v>270</v>
      </c>
      <c r="G43" s="758" t="n"/>
      <c r="H43" s="758" t="n">
        <v>1472.5</v>
      </c>
      <c r="I43" s="758" t="n"/>
      <c r="J43" s="766" t="n">
        <v>0</v>
      </c>
      <c r="K43" s="758" t="n">
        <v>1465</v>
      </c>
      <c r="L43" s="758" t="n">
        <v>50</v>
      </c>
      <c r="M43" s="564" t="n">
        <v>1400</v>
      </c>
      <c r="N43" s="564" t="n">
        <v>200</v>
      </c>
      <c r="O43" s="767">
        <f>0.05*113</f>
        <v/>
      </c>
      <c r="P43" s="767" t="n">
        <v>0</v>
      </c>
      <c r="Q43" s="766" t="n">
        <v>0</v>
      </c>
      <c r="R43" s="767" t="n"/>
      <c r="S43" s="767" t="n"/>
      <c r="T43" s="767" t="n"/>
      <c r="U43" s="758" t="n"/>
      <c r="V43" s="758" t="n"/>
      <c r="W43" s="758">
        <f>'Raw Food Data (KG)'!Q4</f>
        <v/>
      </c>
      <c r="X43" s="758" t="n">
        <v>62.5</v>
      </c>
      <c r="Y43" s="758" t="n"/>
      <c r="Z43" s="768" t="n"/>
      <c r="AA43" s="745">
        <f>SUM(B43:C43)</f>
        <v/>
      </c>
      <c r="AB43" s="744">
        <f>SUM(AA32:AA43)</f>
        <v/>
      </c>
      <c r="AC43" s="746">
        <f>AB43/12</f>
        <v/>
      </c>
      <c r="AD43" s="744">
        <f>SUM(D43:Z43)</f>
        <v/>
      </c>
      <c r="AE43" s="744">
        <f>SUM(AD32:AD43)</f>
        <v/>
      </c>
      <c r="AF43" s="746">
        <f>AE43/12</f>
        <v/>
      </c>
    </row>
    <row r="44">
      <c r="A44" s="760" t="n">
        <v>42736</v>
      </c>
      <c r="B44" s="758" t="n">
        <v>186070</v>
      </c>
      <c r="C44" s="758" t="n">
        <v>41470</v>
      </c>
      <c r="D44" s="758" t="n">
        <v>2093.875</v>
      </c>
      <c r="E44" s="758" t="n">
        <v>10200</v>
      </c>
      <c r="F44" s="758" t="n">
        <v>180</v>
      </c>
      <c r="G44" s="758" t="n"/>
      <c r="H44" s="758" t="n">
        <v>1682</v>
      </c>
      <c r="I44" s="758" t="n"/>
      <c r="J44" s="766">
        <f>8231/1000</f>
        <v/>
      </c>
      <c r="K44" s="758" t="n">
        <v>1726</v>
      </c>
      <c r="L44" s="758" t="n">
        <v>0</v>
      </c>
      <c r="M44" s="564" t="n">
        <v>1400</v>
      </c>
      <c r="N44" s="564" t="n">
        <v>0</v>
      </c>
      <c r="O44" s="767" t="inlineStr">
        <is>
          <t>-</t>
        </is>
      </c>
      <c r="P44" s="767">
        <f>0.67*206</f>
        <v/>
      </c>
      <c r="Q44" s="766" t="n">
        <v>0</v>
      </c>
      <c r="R44" s="767" t="n"/>
      <c r="S44" s="767" t="n"/>
      <c r="T44" s="767" t="n"/>
      <c r="U44" s="758" t="n"/>
      <c r="V44" s="758" t="n"/>
      <c r="W44" s="758">
        <f>'Raw Food Data (KG)'!Q5</f>
        <v/>
      </c>
      <c r="X44" s="758" t="n">
        <v>0</v>
      </c>
      <c r="Y44" s="758" t="n"/>
      <c r="Z44" s="768" t="n"/>
      <c r="AA44" s="745">
        <f>SUM(B44:C44)</f>
        <v/>
      </c>
      <c r="AB44" s="744">
        <f>SUM(AA33:AA44)</f>
        <v/>
      </c>
      <c r="AC44" s="746">
        <f>AB44/12</f>
        <v/>
      </c>
      <c r="AD44" s="744">
        <f>SUM(D44:Z44)</f>
        <v/>
      </c>
      <c r="AE44" s="744">
        <f>SUM(AD33:AD44)</f>
        <v/>
      </c>
      <c r="AF44" s="746">
        <f>AE44/12</f>
        <v/>
      </c>
    </row>
    <row r="45">
      <c r="A45" s="760" t="n">
        <v>42767</v>
      </c>
      <c r="B45" s="758" t="n">
        <v>189900</v>
      </c>
      <c r="C45" s="758" t="n">
        <v>54160</v>
      </c>
      <c r="D45" s="758" t="n">
        <v>2093.875</v>
      </c>
      <c r="E45" s="758" t="n">
        <v>9070</v>
      </c>
      <c r="F45" s="758" t="n">
        <v>210</v>
      </c>
      <c r="G45" s="758" t="n"/>
      <c r="H45" s="758" t="n">
        <v>1845.5</v>
      </c>
      <c r="I45" s="758" t="n"/>
      <c r="J45" s="766" t="n">
        <v>0</v>
      </c>
      <c r="K45" s="758" t="n">
        <v>1475</v>
      </c>
      <c r="L45" s="758" t="n">
        <v>120</v>
      </c>
      <c r="M45" s="564" t="n">
        <v>2800</v>
      </c>
      <c r="N45" s="564" t="n">
        <v>400</v>
      </c>
      <c r="O45" s="767" t="inlineStr">
        <is>
          <t>-</t>
        </is>
      </c>
      <c r="P45" s="767" t="n">
        <v>0</v>
      </c>
      <c r="Q45" s="766" t="n">
        <v>0</v>
      </c>
      <c r="R45" s="767" t="n"/>
      <c r="S45" s="767" t="n"/>
      <c r="T45" s="767" t="n"/>
      <c r="U45" s="758" t="n"/>
      <c r="V45" s="758" t="n"/>
      <c r="W45" s="758">
        <f>'Raw Food Data (KG)'!Q6</f>
        <v/>
      </c>
      <c r="X45" s="758" t="n">
        <v>0</v>
      </c>
      <c r="Y45" s="758" t="n"/>
      <c r="Z45" s="768" t="n"/>
      <c r="AA45" s="745">
        <f>SUM(B45:C45)</f>
        <v/>
      </c>
      <c r="AB45" s="744">
        <f>SUM(AA34:AA45)</f>
        <v/>
      </c>
      <c r="AC45" s="746">
        <f>AB45/12</f>
        <v/>
      </c>
      <c r="AD45" s="744">
        <f>SUM(D45:Z45)</f>
        <v/>
      </c>
      <c r="AE45" s="744">
        <f>SUM(AD34:AD45)</f>
        <v/>
      </c>
      <c r="AF45" s="746">
        <f>AE45/12</f>
        <v/>
      </c>
    </row>
    <row r="46">
      <c r="A46" s="760" t="n">
        <v>42795</v>
      </c>
      <c r="B46" s="758" t="n">
        <v>218930</v>
      </c>
      <c r="C46" s="758" t="n">
        <v>32240</v>
      </c>
      <c r="D46" s="758" t="n">
        <v>2093.875</v>
      </c>
      <c r="E46" s="758" t="n">
        <v>9840</v>
      </c>
      <c r="F46" s="758" t="n">
        <v>210</v>
      </c>
      <c r="G46" s="758" t="n"/>
      <c r="H46" s="758" t="n">
        <v>1991</v>
      </c>
      <c r="I46" s="758" t="n"/>
      <c r="J46" s="766" t="n">
        <v>0</v>
      </c>
      <c r="K46" s="758" t="n">
        <v>1816</v>
      </c>
      <c r="L46" s="758" t="n">
        <v>0</v>
      </c>
      <c r="M46" s="564" t="n">
        <v>3000</v>
      </c>
      <c r="N46" s="564" t="n">
        <v>0</v>
      </c>
      <c r="O46" s="767" t="inlineStr">
        <is>
          <t>-</t>
        </is>
      </c>
      <c r="P46" s="767">
        <f>0.67*121</f>
        <v/>
      </c>
      <c r="Q46" s="766" t="n">
        <v>0</v>
      </c>
      <c r="R46" s="767" t="n"/>
      <c r="S46" s="767" t="n"/>
      <c r="T46" s="767" t="n"/>
      <c r="U46" s="758" t="n"/>
      <c r="V46" s="758" t="n"/>
      <c r="W46" s="758">
        <f>'Raw Food Data (KG)'!Q7</f>
        <v/>
      </c>
      <c r="X46" s="758" t="n">
        <v>0</v>
      </c>
      <c r="Y46" s="758" t="n"/>
      <c r="Z46" s="768" t="n"/>
      <c r="AA46" s="745">
        <f>SUM(B46:C46)</f>
        <v/>
      </c>
      <c r="AB46" s="744">
        <f>SUM(AA35:AA46)</f>
        <v/>
      </c>
      <c r="AC46" s="746">
        <f>AB46/12</f>
        <v/>
      </c>
      <c r="AD46" s="744">
        <f>SUM(D46:Z46)</f>
        <v/>
      </c>
      <c r="AE46" s="744">
        <f>SUM(AD35:AD46)</f>
        <v/>
      </c>
      <c r="AF46" s="746">
        <f>AE46/12</f>
        <v/>
      </c>
    </row>
    <row r="47">
      <c r="A47" s="760" t="n">
        <v>42826</v>
      </c>
      <c r="B47" s="758" t="n">
        <v>200140</v>
      </c>
      <c r="C47" s="758" t="n">
        <v>35860</v>
      </c>
      <c r="D47" s="758" t="n">
        <v>2093.875</v>
      </c>
      <c r="E47" s="758" t="n">
        <v>10420</v>
      </c>
      <c r="F47" s="758" t="n">
        <v>290</v>
      </c>
      <c r="G47" s="758" t="n"/>
      <c r="H47" s="758" t="n">
        <v>2070.2</v>
      </c>
      <c r="I47" s="758" t="n"/>
      <c r="J47" s="766" t="n">
        <v>0</v>
      </c>
      <c r="K47" s="758" t="n">
        <v>1894</v>
      </c>
      <c r="L47" s="758" t="n">
        <v>150</v>
      </c>
      <c r="M47" s="564" t="n">
        <v>1400</v>
      </c>
      <c r="N47" s="564" t="n">
        <v>400</v>
      </c>
      <c r="O47" s="767" t="inlineStr">
        <is>
          <t>-</t>
        </is>
      </c>
      <c r="P47" s="767" t="n">
        <v>0</v>
      </c>
      <c r="Q47" s="766" t="n">
        <v>0</v>
      </c>
      <c r="R47" s="767">
        <f>0.34*1900</f>
        <v/>
      </c>
      <c r="S47" s="767">
        <f>0.13*40</f>
        <v/>
      </c>
      <c r="T47" s="767">
        <f>0.15*60</f>
        <v/>
      </c>
      <c r="U47" s="758" t="n"/>
      <c r="V47" s="758" t="n"/>
      <c r="W47" s="758">
        <f>'Raw Food Data (KG)'!Q8</f>
        <v/>
      </c>
      <c r="X47" s="758" t="n">
        <v>0</v>
      </c>
      <c r="Y47" s="758" t="n"/>
      <c r="Z47" s="768" t="n"/>
      <c r="AA47" s="745">
        <f>SUM(B47:C47)</f>
        <v/>
      </c>
      <c r="AB47" s="744">
        <f>SUM(AA36:AA47)</f>
        <v/>
      </c>
      <c r="AC47" s="746">
        <f>AB47/12</f>
        <v/>
      </c>
      <c r="AD47" s="744">
        <f>SUM(D47:Z47)</f>
        <v/>
      </c>
      <c r="AE47" s="744">
        <f>SUM(AD36:AD47)</f>
        <v/>
      </c>
      <c r="AF47" s="746">
        <f>AE47/12</f>
        <v/>
      </c>
    </row>
    <row r="48">
      <c r="A48" s="760" t="n">
        <v>42856</v>
      </c>
      <c r="B48" s="758" t="n">
        <v>194190</v>
      </c>
      <c r="C48" s="758" t="n">
        <v>41550</v>
      </c>
      <c r="D48" s="758" t="n">
        <v>2093.875</v>
      </c>
      <c r="E48" s="758" t="n">
        <v>11250</v>
      </c>
      <c r="F48" s="758" t="n">
        <v>260</v>
      </c>
      <c r="G48" s="758" t="n"/>
      <c r="H48" s="758" t="n">
        <v>1900</v>
      </c>
      <c r="I48" s="758" t="n"/>
      <c r="J48" s="766">
        <f>29-8-13</f>
        <v/>
      </c>
      <c r="K48" s="758" t="n">
        <v>1563</v>
      </c>
      <c r="L48" s="758" t="n">
        <v>250</v>
      </c>
      <c r="M48" s="564" t="n">
        <v>3400</v>
      </c>
      <c r="N48" s="564" t="n">
        <v>400</v>
      </c>
      <c r="O48" s="767" t="inlineStr">
        <is>
          <t>-</t>
        </is>
      </c>
      <c r="P48" s="767">
        <f>0.67*129</f>
        <v/>
      </c>
      <c r="Q48" s="766" t="n">
        <v>0</v>
      </c>
      <c r="R48" s="767" t="n"/>
      <c r="S48" s="767" t="n"/>
      <c r="T48" s="767" t="n"/>
      <c r="U48" s="758" t="n"/>
      <c r="V48" s="758" t="n"/>
      <c r="W48" s="758">
        <f>'Raw Food Data (KG)'!Q9</f>
        <v/>
      </c>
      <c r="X48" s="758" t="n">
        <v>0</v>
      </c>
      <c r="Y48" s="758" t="n"/>
      <c r="Z48" s="768" t="n"/>
      <c r="AA48" s="745">
        <f>SUM(B48:C48)</f>
        <v/>
      </c>
      <c r="AB48" s="744">
        <f>SUM(AA37:AA48)</f>
        <v/>
      </c>
      <c r="AC48" s="746">
        <f>AB48/12</f>
        <v/>
      </c>
      <c r="AD48" s="744">
        <f>SUM(D48:Z48)</f>
        <v/>
      </c>
      <c r="AE48" s="744">
        <f>SUM(AD37:AD48)</f>
        <v/>
      </c>
      <c r="AF48" s="746">
        <f>AE48/12</f>
        <v/>
      </c>
    </row>
    <row r="49">
      <c r="A49" s="760" t="n">
        <v>42887</v>
      </c>
      <c r="B49" s="758" t="n">
        <v>204680</v>
      </c>
      <c r="C49" s="758" t="n">
        <v>51440</v>
      </c>
      <c r="D49" s="758" t="n">
        <v>2093.875</v>
      </c>
      <c r="E49" s="758" t="n">
        <v>7160</v>
      </c>
      <c r="F49" s="758" t="n">
        <v>400</v>
      </c>
      <c r="G49" s="758" t="n"/>
      <c r="H49" s="758">
        <f>1991+1020</f>
        <v/>
      </c>
      <c r="I49" s="758" t="n"/>
      <c r="J49" s="766" t="n">
        <v>0</v>
      </c>
      <c r="K49" s="758" t="n">
        <v>1981</v>
      </c>
      <c r="L49" s="758" t="n">
        <v>250</v>
      </c>
      <c r="M49" s="564" t="n">
        <v>800</v>
      </c>
      <c r="N49" s="564" t="n">
        <v>400</v>
      </c>
      <c r="O49" s="767" t="inlineStr">
        <is>
          <t>-</t>
        </is>
      </c>
      <c r="P49" s="767" t="n">
        <v>0</v>
      </c>
      <c r="Q49" s="766" t="n">
        <v>0</v>
      </c>
      <c r="R49" s="767">
        <f>0.34*1000</f>
        <v/>
      </c>
      <c r="S49" s="767" t="n"/>
      <c r="T49" s="767" t="n"/>
      <c r="U49" s="758" t="n"/>
      <c r="V49" s="758" t="n"/>
      <c r="W49" s="758">
        <f>'Raw Food Data (KG)'!Q10</f>
        <v/>
      </c>
      <c r="X49" s="758" t="n">
        <v>0</v>
      </c>
      <c r="Y49" s="758" t="n"/>
      <c r="Z49" s="768" t="n"/>
      <c r="AA49" s="745">
        <f>SUM(B49:C49)</f>
        <v/>
      </c>
      <c r="AB49" s="744">
        <f>SUM(AA38:AA49)</f>
        <v/>
      </c>
      <c r="AC49" s="746">
        <f>AB49/12</f>
        <v/>
      </c>
      <c r="AD49" s="744">
        <f>SUM(D49:Z49)</f>
        <v/>
      </c>
      <c r="AE49" s="744">
        <f>SUM(AD38:AD49)</f>
        <v/>
      </c>
      <c r="AF49" s="746">
        <f>AE49/12</f>
        <v/>
      </c>
      <c r="AH49" s="764">
        <f>AB49+AE49</f>
        <v/>
      </c>
    </row>
    <row r="50">
      <c r="A50" s="760" t="n">
        <v>42917</v>
      </c>
      <c r="B50" s="761" t="n">
        <v>180020</v>
      </c>
      <c r="C50" s="761" t="n">
        <v>45550</v>
      </c>
      <c r="D50" s="761" t="n">
        <v>2093.875</v>
      </c>
      <c r="E50" s="761" t="n">
        <v>10930</v>
      </c>
      <c r="F50" s="761" t="n">
        <v>270</v>
      </c>
      <c r="G50" s="761" t="n"/>
      <c r="H50" s="761" t="n">
        <v>1863.5</v>
      </c>
      <c r="I50" s="761" t="n"/>
      <c r="J50" s="756" t="n">
        <v>2.568</v>
      </c>
      <c r="K50" s="761" t="n">
        <v>1948</v>
      </c>
      <c r="L50" s="761" t="n">
        <v>100</v>
      </c>
      <c r="M50" s="562" t="n">
        <v>3200</v>
      </c>
      <c r="N50" s="562" t="n">
        <v>400</v>
      </c>
      <c r="O50" s="757" t="inlineStr">
        <is>
          <t>-</t>
        </is>
      </c>
      <c r="P50" s="757">
        <f>0.67*148</f>
        <v/>
      </c>
      <c r="Q50" s="756" t="n">
        <v>3</v>
      </c>
      <c r="R50" s="757" t="n"/>
      <c r="S50" s="757" t="n"/>
      <c r="T50" s="757" t="n"/>
      <c r="U50" s="761" t="n"/>
      <c r="V50" s="761" t="n"/>
      <c r="W50" s="758">
        <f>'Raw Food Data (KG)'!Q11</f>
        <v/>
      </c>
      <c r="X50" s="761" t="n">
        <v>0</v>
      </c>
      <c r="Y50" s="761" t="n"/>
      <c r="Z50" s="763" t="n"/>
      <c r="AA50" s="745">
        <f>SUM(B50:C50)</f>
        <v/>
      </c>
      <c r="AB50" s="744">
        <f>SUM(AA39:AA50)</f>
        <v/>
      </c>
      <c r="AC50" s="746">
        <f>AB50/12</f>
        <v/>
      </c>
      <c r="AD50" s="744">
        <f>SUM(D50:Z50)</f>
        <v/>
      </c>
      <c r="AE50" s="744">
        <f>SUM(AD39:AD50)</f>
        <v/>
      </c>
      <c r="AF50" s="746">
        <f>AE50/12</f>
        <v/>
      </c>
    </row>
    <row r="51">
      <c r="A51" s="760" t="n">
        <v>42948</v>
      </c>
      <c r="B51" s="761" t="n">
        <v>205980</v>
      </c>
      <c r="C51" s="761" t="n">
        <v>48250</v>
      </c>
      <c r="D51" s="761" t="n">
        <v>2093.875</v>
      </c>
      <c r="E51" s="761" t="n">
        <v>10700</v>
      </c>
      <c r="F51" s="761" t="n">
        <v>210</v>
      </c>
      <c r="G51" s="761" t="n"/>
      <c r="H51" s="761" t="n">
        <v>975</v>
      </c>
      <c r="I51" s="761" t="n"/>
      <c r="J51" s="756" t="n">
        <v>0</v>
      </c>
      <c r="K51" s="761" t="n">
        <v>1726</v>
      </c>
      <c r="L51" s="761" t="n">
        <v>0</v>
      </c>
      <c r="M51" s="562" t="n">
        <v>800</v>
      </c>
      <c r="N51" s="562" t="n">
        <v>400</v>
      </c>
      <c r="O51" s="757" t="inlineStr">
        <is>
          <t>-</t>
        </is>
      </c>
      <c r="P51" s="757" t="n">
        <v>0</v>
      </c>
      <c r="Q51" s="756" t="n">
        <v>0</v>
      </c>
      <c r="R51" s="757">
        <f>0.34*700</f>
        <v/>
      </c>
      <c r="S51" s="757">
        <f>0.13*300</f>
        <v/>
      </c>
      <c r="T51" s="757" t="n"/>
      <c r="U51" s="761" t="n"/>
      <c r="V51" s="761" t="n"/>
      <c r="W51" s="758">
        <f>'Raw Food Data (KG)'!Q12</f>
        <v/>
      </c>
      <c r="X51" s="761" t="n">
        <v>0</v>
      </c>
      <c r="Y51" s="761" t="n"/>
      <c r="Z51" s="763" t="n"/>
      <c r="AA51" s="745">
        <f>SUM(B51:C51)</f>
        <v/>
      </c>
      <c r="AB51" s="744">
        <f>SUM(AA40:AA51)</f>
        <v/>
      </c>
      <c r="AC51" s="746">
        <f>AB51/12</f>
        <v/>
      </c>
      <c r="AD51" s="744">
        <f>SUM(D51:Z51)</f>
        <v/>
      </c>
      <c r="AE51" s="744">
        <f>SUM(AD40:AD51)</f>
        <v/>
      </c>
      <c r="AF51" s="746">
        <f>AE51/12</f>
        <v/>
      </c>
    </row>
    <row r="52">
      <c r="A52" s="760" t="n">
        <v>42979</v>
      </c>
      <c r="B52" s="761" t="n">
        <v>204680</v>
      </c>
      <c r="C52" s="761" t="n">
        <v>55310</v>
      </c>
      <c r="D52" s="761" t="n">
        <v>721</v>
      </c>
      <c r="E52" s="761" t="n">
        <v>7160</v>
      </c>
      <c r="F52" s="761" t="n">
        <v>400</v>
      </c>
      <c r="G52" s="761" t="n"/>
      <c r="H52" s="761" t="n">
        <v>975</v>
      </c>
      <c r="I52" s="761" t="n"/>
      <c r="J52" s="756" t="n">
        <v>3.434</v>
      </c>
      <c r="K52" s="761" t="n">
        <v>3290</v>
      </c>
      <c r="L52" s="761" t="n">
        <v>200</v>
      </c>
      <c r="M52" s="562" t="n">
        <v>800</v>
      </c>
      <c r="N52" s="562" t="n">
        <v>400</v>
      </c>
      <c r="O52" s="757" t="inlineStr">
        <is>
          <t>-</t>
        </is>
      </c>
      <c r="P52" s="757" t="n">
        <v>0</v>
      </c>
      <c r="Q52" s="756" t="n">
        <v>0</v>
      </c>
      <c r="R52" s="757" t="n"/>
      <c r="S52" s="757" t="n"/>
      <c r="T52" s="757" t="n"/>
      <c r="U52" s="761" t="n"/>
      <c r="V52" s="761" t="n"/>
      <c r="W52" s="758">
        <f>'Raw Food Data (KG)'!Q13</f>
        <v/>
      </c>
      <c r="X52" s="761" t="n">
        <v>0</v>
      </c>
      <c r="Y52" s="761" t="n"/>
      <c r="Z52" s="763" t="n"/>
      <c r="AA52" s="745">
        <f>SUM(B52:C52)</f>
        <v/>
      </c>
      <c r="AB52" s="744">
        <f>SUM(AA41:AA52)</f>
        <v/>
      </c>
      <c r="AC52" s="746">
        <f>AB52/12</f>
        <v/>
      </c>
      <c r="AD52" s="744">
        <f>SUM(D52:Z52)</f>
        <v/>
      </c>
      <c r="AE52" s="744">
        <f>SUM(AD41:AD52)</f>
        <v/>
      </c>
      <c r="AF52" s="746">
        <f>AE52/12</f>
        <v/>
      </c>
    </row>
    <row r="53">
      <c r="A53" s="760" t="n">
        <v>43009</v>
      </c>
      <c r="B53" s="761" t="n">
        <v>205980</v>
      </c>
      <c r="C53" s="761" t="n">
        <v>65260.00000000001</v>
      </c>
      <c r="D53" s="761" t="n">
        <v>423</v>
      </c>
      <c r="E53" s="761" t="n">
        <v>9910</v>
      </c>
      <c r="F53" s="761" t="n">
        <v>200</v>
      </c>
      <c r="G53" s="761" t="n"/>
      <c r="H53" s="761" t="n">
        <v>1691</v>
      </c>
      <c r="I53" s="761" t="n"/>
      <c r="J53" s="756" t="n">
        <v>0</v>
      </c>
      <c r="K53" s="761" t="n">
        <v>0</v>
      </c>
      <c r="L53" s="761" t="n">
        <v>70</v>
      </c>
      <c r="M53" s="562" t="n">
        <v>800</v>
      </c>
      <c r="N53" s="562" t="n">
        <v>400</v>
      </c>
      <c r="O53" s="757" t="inlineStr">
        <is>
          <t>-</t>
        </is>
      </c>
      <c r="P53" s="757">
        <f>0.67*193</f>
        <v/>
      </c>
      <c r="Q53" s="756" t="n">
        <v>7</v>
      </c>
      <c r="R53" s="757" t="n"/>
      <c r="S53" s="757" t="n"/>
      <c r="T53" s="757" t="n"/>
      <c r="U53" s="761" t="n"/>
      <c r="V53" s="761" t="n"/>
      <c r="W53" s="758">
        <f>'Raw Food Data (KG)'!Q14</f>
        <v/>
      </c>
      <c r="X53" s="761" t="n">
        <v>0</v>
      </c>
      <c r="Y53" s="761" t="n"/>
      <c r="Z53" s="763" t="n"/>
      <c r="AA53" s="745">
        <f>SUM(B53:C53)</f>
        <v/>
      </c>
      <c r="AB53" s="744">
        <f>SUM(AA42:AA53)</f>
        <v/>
      </c>
      <c r="AC53" s="746">
        <f>AB53/12</f>
        <v/>
      </c>
      <c r="AD53" s="744">
        <f>SUM(D53:Z53)</f>
        <v/>
      </c>
      <c r="AE53" s="744">
        <f>SUM(AD42:AD53)</f>
        <v/>
      </c>
      <c r="AF53" s="746">
        <f>AE53/12</f>
        <v/>
      </c>
    </row>
    <row r="54">
      <c r="A54" s="760" t="n">
        <v>43040</v>
      </c>
      <c r="B54" s="761" t="n">
        <v>227040</v>
      </c>
      <c r="C54" s="761" t="n">
        <v>65069.99999999999</v>
      </c>
      <c r="D54" s="761" t="n">
        <v>828</v>
      </c>
      <c r="E54" s="761" t="n">
        <v>9740</v>
      </c>
      <c r="F54" s="761" t="n">
        <v>210</v>
      </c>
      <c r="G54" s="761" t="n"/>
      <c r="H54" s="761" t="n">
        <v>975</v>
      </c>
      <c r="I54" s="761" t="n"/>
      <c r="J54" s="756" t="n">
        <v>2.011</v>
      </c>
      <c r="K54" s="761" t="n">
        <v>3956</v>
      </c>
      <c r="L54" s="761" t="n">
        <v>100</v>
      </c>
      <c r="M54" s="562" t="n">
        <v>1200</v>
      </c>
      <c r="N54" s="562" t="n">
        <v>600</v>
      </c>
      <c r="O54" s="757" t="inlineStr">
        <is>
          <t>-</t>
        </is>
      </c>
      <c r="P54" s="757" t="n">
        <v>0</v>
      </c>
      <c r="Q54" s="756" t="n">
        <v>0</v>
      </c>
      <c r="R54" s="757">
        <f>0.34*700</f>
        <v/>
      </c>
      <c r="S54" s="757">
        <f>0.13*300</f>
        <v/>
      </c>
      <c r="T54" s="757" t="n"/>
      <c r="U54" s="761" t="n"/>
      <c r="V54" s="761" t="n"/>
      <c r="W54" s="758">
        <f>'Raw Food Data (KG)'!Q15</f>
        <v/>
      </c>
      <c r="X54" s="761" t="n">
        <v>0</v>
      </c>
      <c r="Y54" s="761" t="n"/>
      <c r="Z54" s="763" t="n"/>
      <c r="AA54" s="745">
        <f>SUM(B54:C54)</f>
        <v/>
      </c>
      <c r="AB54" s="744">
        <f>SUM(AA43:AA54)</f>
        <v/>
      </c>
      <c r="AC54" s="746">
        <f>AB54/12</f>
        <v/>
      </c>
      <c r="AD54" s="744">
        <f>SUM(D54:Z54)</f>
        <v/>
      </c>
      <c r="AE54" s="744">
        <f>SUM(AD43:AD54)</f>
        <v/>
      </c>
      <c r="AF54" s="746">
        <f>AE54/12</f>
        <v/>
      </c>
    </row>
    <row r="55">
      <c r="A55" s="760" t="n">
        <v>43070</v>
      </c>
      <c r="B55" s="761" t="n">
        <v>212210</v>
      </c>
      <c r="C55" s="761" t="n">
        <v>24760</v>
      </c>
      <c r="D55" s="761" t="n">
        <v>1935</v>
      </c>
      <c r="E55" s="761" t="n">
        <v>8410</v>
      </c>
      <c r="F55" s="761" t="n">
        <v>150</v>
      </c>
      <c r="G55" s="761" t="n"/>
      <c r="H55" s="761" t="n">
        <v>1882</v>
      </c>
      <c r="I55" s="761" t="n">
        <v>110.05</v>
      </c>
      <c r="J55" s="756" t="n">
        <v>0</v>
      </c>
      <c r="K55" s="761" t="n">
        <v>4858</v>
      </c>
      <c r="L55" s="761" t="n">
        <v>100</v>
      </c>
      <c r="M55" s="562" t="n">
        <v>1800</v>
      </c>
      <c r="N55" s="562" t="n">
        <v>400</v>
      </c>
      <c r="O55" s="757">
        <f>0.05*92</f>
        <v/>
      </c>
      <c r="P55" s="757">
        <f>0.67*193</f>
        <v/>
      </c>
      <c r="Q55" s="756" t="n">
        <v>0</v>
      </c>
      <c r="R55" s="757">
        <f>0.34*500</f>
        <v/>
      </c>
      <c r="S55" s="757" t="n"/>
      <c r="T55" s="757">
        <f>0.15*500</f>
        <v/>
      </c>
      <c r="U55" s="761" t="n"/>
      <c r="V55" s="761" t="n"/>
      <c r="W55" s="758">
        <f>'Raw Food Data (KG)'!Q16</f>
        <v/>
      </c>
      <c r="X55" s="761" t="n">
        <v>0</v>
      </c>
      <c r="Y55" s="761" t="n"/>
      <c r="Z55" s="763" t="n"/>
      <c r="AA55" s="745">
        <f>SUM(B55:C55)</f>
        <v/>
      </c>
      <c r="AB55" s="744">
        <f>SUM(AA44:AA55)</f>
        <v/>
      </c>
      <c r="AC55" s="746">
        <f>AB55/12</f>
        <v/>
      </c>
      <c r="AD55" s="744">
        <f>SUM(D55:Z55)</f>
        <v/>
      </c>
      <c r="AE55" s="744">
        <f>SUM(AD44:AD55)</f>
        <v/>
      </c>
      <c r="AF55" s="746">
        <f>AE55/12</f>
        <v/>
      </c>
    </row>
    <row r="56">
      <c r="A56" s="760" t="n">
        <v>43101</v>
      </c>
      <c r="B56" s="761" t="n">
        <v>214260</v>
      </c>
      <c r="C56" s="761" t="n">
        <v>65069.99999999999</v>
      </c>
      <c r="D56" s="761" t="n">
        <v>196</v>
      </c>
      <c r="E56" s="761" t="n">
        <v>9740</v>
      </c>
      <c r="F56" s="761" t="n">
        <v>210</v>
      </c>
      <c r="G56" s="761" t="n"/>
      <c r="H56" s="761" t="n">
        <v>975</v>
      </c>
      <c r="I56" s="761" t="n">
        <v>58.3</v>
      </c>
      <c r="J56" s="756" t="n">
        <v>0</v>
      </c>
      <c r="K56" s="761" t="n">
        <v>0</v>
      </c>
      <c r="L56" s="761" t="n">
        <v>150</v>
      </c>
      <c r="M56" s="562" t="n">
        <v>1600</v>
      </c>
      <c r="N56" s="562" t="n">
        <v>400</v>
      </c>
      <c r="O56" s="757" t="inlineStr">
        <is>
          <t>-</t>
        </is>
      </c>
      <c r="P56" s="757" t="n">
        <v>0</v>
      </c>
      <c r="Q56" s="756" t="n">
        <v>0</v>
      </c>
      <c r="R56" s="757" t="n"/>
      <c r="S56" s="757" t="n"/>
      <c r="T56" s="757" t="n"/>
      <c r="U56" s="761" t="n"/>
      <c r="V56" s="761" t="n"/>
      <c r="W56" s="758">
        <f>'Raw Food Data (KG)'!Q17</f>
        <v/>
      </c>
      <c r="X56" s="761" t="n">
        <v>0</v>
      </c>
      <c r="Y56" s="761" t="n"/>
      <c r="Z56" s="763" t="n"/>
      <c r="AA56" s="745">
        <f>SUM(B56:C56)</f>
        <v/>
      </c>
      <c r="AB56" s="744">
        <f>SUM(AA45:AA56)</f>
        <v/>
      </c>
      <c r="AC56" s="746">
        <f>AB56/12</f>
        <v/>
      </c>
      <c r="AD56" s="744">
        <f>SUM(D56:Z56)</f>
        <v/>
      </c>
      <c r="AE56" s="744">
        <f>SUM(AD45:AD56)</f>
        <v/>
      </c>
      <c r="AF56" s="746">
        <f>AE56/12</f>
        <v/>
      </c>
    </row>
    <row r="57">
      <c r="A57" s="760" t="n">
        <v>43132</v>
      </c>
      <c r="B57" s="761" t="n">
        <v>202080</v>
      </c>
      <c r="C57" s="761" t="n">
        <v>18960</v>
      </c>
      <c r="D57" s="761" t="n">
        <v>313</v>
      </c>
      <c r="E57" s="761" t="n">
        <v>7530</v>
      </c>
      <c r="F57" s="761" t="n">
        <v>150</v>
      </c>
      <c r="G57" s="761" t="n"/>
      <c r="H57" s="761" t="n">
        <v>140</v>
      </c>
      <c r="I57" s="761" t="n">
        <v>60.3</v>
      </c>
      <c r="J57" s="756" t="n">
        <v>0</v>
      </c>
      <c r="K57" s="761" t="n">
        <v>2040</v>
      </c>
      <c r="L57" s="761" t="n">
        <v>0</v>
      </c>
      <c r="M57" s="562" t="n">
        <v>1200</v>
      </c>
      <c r="N57" s="562" t="n">
        <v>200</v>
      </c>
      <c r="O57" s="757" t="inlineStr">
        <is>
          <t>-</t>
        </is>
      </c>
      <c r="P57" s="757" t="n">
        <v>0</v>
      </c>
      <c r="Q57" s="756" t="n">
        <v>0</v>
      </c>
      <c r="R57" s="757" t="n"/>
      <c r="S57" s="757" t="n"/>
      <c r="T57" s="757" t="n"/>
      <c r="U57" s="761" t="n"/>
      <c r="V57" s="761" t="n">
        <v>1300</v>
      </c>
      <c r="W57" s="758">
        <f>'Raw Food Data (KG)'!Q18</f>
        <v/>
      </c>
      <c r="X57" s="761" t="n">
        <v>0</v>
      </c>
      <c r="Y57" s="761" t="n"/>
      <c r="Z57" s="763" t="n"/>
      <c r="AA57" s="745">
        <f>SUM(B57:C57)</f>
        <v/>
      </c>
      <c r="AB57" s="744">
        <f>SUM(AA46:AA57)</f>
        <v/>
      </c>
      <c r="AC57" s="746">
        <f>AB57/12</f>
        <v/>
      </c>
      <c r="AD57" s="744">
        <f>SUM(D57:Z57)</f>
        <v/>
      </c>
      <c r="AE57" s="744">
        <f>SUM(AD46:AD57)</f>
        <v/>
      </c>
      <c r="AF57" s="746">
        <f>AE57/12</f>
        <v/>
      </c>
    </row>
    <row r="58">
      <c r="A58" s="760" t="n">
        <v>43160</v>
      </c>
      <c r="B58" s="761" t="n">
        <v>195120</v>
      </c>
      <c r="C58" s="761" t="n">
        <v>41590</v>
      </c>
      <c r="D58" s="761" t="n">
        <v>181</v>
      </c>
      <c r="E58" s="761" t="n">
        <v>9500</v>
      </c>
      <c r="F58" s="761" t="n">
        <v>170</v>
      </c>
      <c r="G58" s="761" t="n">
        <v>330</v>
      </c>
      <c r="H58" s="761" t="n">
        <v>450</v>
      </c>
      <c r="I58" s="761" t="n">
        <v>68.5</v>
      </c>
      <c r="J58" s="756" t="n">
        <v>0</v>
      </c>
      <c r="K58" s="761" t="n">
        <v>1740</v>
      </c>
      <c r="L58" s="761" t="n">
        <v>80</v>
      </c>
      <c r="M58" s="562" t="n">
        <v>1600</v>
      </c>
      <c r="N58" s="562" t="n">
        <v>400</v>
      </c>
      <c r="O58" s="757" t="inlineStr">
        <is>
          <t>-</t>
        </is>
      </c>
      <c r="P58" s="757">
        <f>0.67*260</f>
        <v/>
      </c>
      <c r="Q58" s="756" t="n">
        <v>7</v>
      </c>
      <c r="R58" s="757" t="n"/>
      <c r="S58" s="757" t="n"/>
      <c r="T58" s="757" t="n"/>
      <c r="U58" s="761" t="n"/>
      <c r="V58" s="761" t="n">
        <v>1500</v>
      </c>
      <c r="W58" s="758">
        <f>'Raw Food Data (KG)'!Q19</f>
        <v/>
      </c>
      <c r="X58" s="761" t="n">
        <v>0</v>
      </c>
      <c r="Y58" s="761" t="n"/>
      <c r="Z58" s="763" t="n"/>
      <c r="AA58" s="745">
        <f>SUM(B58:C58)</f>
        <v/>
      </c>
      <c r="AB58" s="744">
        <f>SUM(AA47:AA58)</f>
        <v/>
      </c>
      <c r="AC58" s="746">
        <f>AB58/12</f>
        <v/>
      </c>
      <c r="AD58" s="744">
        <f>SUM(D58:Z58)</f>
        <v/>
      </c>
      <c r="AE58" s="744">
        <f>SUM(AD47:AD58)</f>
        <v/>
      </c>
      <c r="AF58" s="746">
        <f>AE58/12</f>
        <v/>
      </c>
    </row>
    <row r="59">
      <c r="A59" s="760" t="n">
        <v>43191</v>
      </c>
      <c r="B59" s="761" t="n">
        <v>177650</v>
      </c>
      <c r="C59" s="761" t="n">
        <v>25270</v>
      </c>
      <c r="D59" s="761" t="n">
        <v>0</v>
      </c>
      <c r="E59" s="761" t="n">
        <v>9790</v>
      </c>
      <c r="F59" s="761" t="n">
        <v>170</v>
      </c>
      <c r="G59" s="761" t="n"/>
      <c r="H59" s="761" t="n">
        <v>460</v>
      </c>
      <c r="I59" s="761" t="n">
        <v>56.4</v>
      </c>
      <c r="J59" s="756" t="n">
        <v>11.511</v>
      </c>
      <c r="K59" s="761" t="n">
        <v>1490</v>
      </c>
      <c r="L59" s="761" t="n">
        <v>180</v>
      </c>
      <c r="M59" s="562" t="n">
        <v>4600</v>
      </c>
      <c r="N59" s="562" t="n">
        <v>400</v>
      </c>
      <c r="O59" s="757" t="inlineStr">
        <is>
          <t>-</t>
        </is>
      </c>
      <c r="P59" s="757" t="n">
        <v>0</v>
      </c>
      <c r="Q59" s="756" t="n">
        <v>0</v>
      </c>
      <c r="R59" s="757" t="n"/>
      <c r="S59" s="757">
        <f>0.13*(1000+1600)</f>
        <v/>
      </c>
      <c r="T59" s="757">
        <f>0.15*(1000+400)</f>
        <v/>
      </c>
      <c r="U59" s="761" t="n"/>
      <c r="V59" s="761" t="n">
        <v>1300</v>
      </c>
      <c r="W59" s="758">
        <f>'Raw Food Data (KG)'!Q20</f>
        <v/>
      </c>
      <c r="X59" s="761" t="n">
        <v>0</v>
      </c>
      <c r="Y59" s="761" t="n">
        <v>3000</v>
      </c>
      <c r="Z59" s="763" t="n"/>
      <c r="AA59" s="745">
        <f>SUM(B59:C59)</f>
        <v/>
      </c>
      <c r="AB59" s="744">
        <f>SUM(AA48:AA59)</f>
        <v/>
      </c>
      <c r="AC59" s="746">
        <f>AB59/12</f>
        <v/>
      </c>
      <c r="AD59" s="744">
        <f>SUM(D59:Z59)</f>
        <v/>
      </c>
      <c r="AE59" s="744">
        <f>SUM(AD48:AD59)</f>
        <v/>
      </c>
      <c r="AF59" s="746">
        <f>AE59/12</f>
        <v/>
      </c>
    </row>
    <row r="60">
      <c r="A60" s="760" t="n">
        <v>43221</v>
      </c>
      <c r="B60" s="761" t="n">
        <v>172500</v>
      </c>
      <c r="C60" s="761" t="n">
        <v>37170</v>
      </c>
      <c r="D60" s="761" t="n">
        <v>130</v>
      </c>
      <c r="E60" s="761" t="n">
        <v>11580</v>
      </c>
      <c r="F60" s="761" t="n">
        <v>170</v>
      </c>
      <c r="G60" s="761" t="n"/>
      <c r="H60" s="761" t="n">
        <v>670</v>
      </c>
      <c r="I60" s="761" t="n">
        <v>0</v>
      </c>
      <c r="J60" s="756" t="n">
        <v>0</v>
      </c>
      <c r="K60" s="761" t="n">
        <v>0</v>
      </c>
      <c r="L60" s="761" t="n">
        <v>170</v>
      </c>
      <c r="M60" s="562" t="n">
        <v>2400</v>
      </c>
      <c r="N60" s="562" t="n">
        <v>200</v>
      </c>
      <c r="O60" s="757" t="inlineStr">
        <is>
          <t>-</t>
        </is>
      </c>
      <c r="P60" s="757" t="n">
        <v>0</v>
      </c>
      <c r="Q60" s="756" t="n">
        <v>0</v>
      </c>
      <c r="R60" s="757" t="n"/>
      <c r="S60" s="757" t="n"/>
      <c r="T60" s="757" t="n"/>
      <c r="U60" s="761" t="n"/>
      <c r="V60" s="761" t="n">
        <v>3400</v>
      </c>
      <c r="W60" s="758">
        <f>'Raw Food Data (KG)'!Q21</f>
        <v/>
      </c>
      <c r="X60" s="761" t="n">
        <v>0</v>
      </c>
      <c r="Y60" s="761" t="n">
        <v>12000</v>
      </c>
      <c r="Z60" s="763" t="n"/>
      <c r="AA60" s="745">
        <f>SUM(B60:C60)</f>
        <v/>
      </c>
      <c r="AB60" s="744">
        <f>SUM(AA49:AA60)</f>
        <v/>
      </c>
      <c r="AC60" s="746">
        <f>AB60/12</f>
        <v/>
      </c>
      <c r="AD60" s="744">
        <f>SUM(D60:Z60)</f>
        <v/>
      </c>
      <c r="AE60" s="744">
        <f>SUM(AD49:AD60)</f>
        <v/>
      </c>
      <c r="AF60" s="746">
        <f>AE60/12</f>
        <v/>
      </c>
    </row>
    <row r="61">
      <c r="A61" s="760" t="n">
        <v>43252</v>
      </c>
      <c r="B61" s="761" t="n">
        <v>172790</v>
      </c>
      <c r="C61" s="761" t="n">
        <v>40100</v>
      </c>
      <c r="D61" s="761" t="n">
        <v>4124</v>
      </c>
      <c r="E61" s="761" t="n">
        <v>10110</v>
      </c>
      <c r="F61" s="761" t="n">
        <v>210</v>
      </c>
      <c r="G61" s="761" t="n"/>
      <c r="H61" s="761" t="n">
        <v>340</v>
      </c>
      <c r="I61" s="761" t="n">
        <v>119.65</v>
      </c>
      <c r="J61" s="756" t="n">
        <v>0</v>
      </c>
      <c r="K61" s="761" t="n">
        <v>3470</v>
      </c>
      <c r="L61" s="761" t="n">
        <v>280</v>
      </c>
      <c r="M61" s="562" t="n">
        <v>800</v>
      </c>
      <c r="N61" s="562" t="n">
        <v>400</v>
      </c>
      <c r="O61" s="757" t="inlineStr">
        <is>
          <t>-</t>
        </is>
      </c>
      <c r="P61" s="757" t="n">
        <v>0</v>
      </c>
      <c r="Q61" s="756" t="n">
        <v>0</v>
      </c>
      <c r="R61" s="757" t="n"/>
      <c r="S61" s="757" t="n"/>
      <c r="T61" s="757" t="n"/>
      <c r="U61" s="761" t="n"/>
      <c r="V61" s="761" t="n">
        <v>40370</v>
      </c>
      <c r="W61" s="758">
        <f>'Raw Food Data (KG)'!Q22</f>
        <v/>
      </c>
      <c r="X61" s="761" t="n">
        <v>0</v>
      </c>
      <c r="Y61" s="761" t="n">
        <v>6000</v>
      </c>
      <c r="Z61" s="763" t="n"/>
      <c r="AA61" s="745">
        <f>SUM(B61:C61)</f>
        <v/>
      </c>
      <c r="AB61" s="744">
        <f>SUM(AA50:AA61)</f>
        <v/>
      </c>
      <c r="AC61" s="746">
        <f>AB61/12</f>
        <v/>
      </c>
      <c r="AD61" s="744">
        <f>SUM(D61:Z61)</f>
        <v/>
      </c>
      <c r="AE61" s="744">
        <f>SUM(AD50:AD61)</f>
        <v/>
      </c>
      <c r="AF61" s="746">
        <f>AE61/12</f>
        <v/>
      </c>
      <c r="AH61" s="764">
        <f>AB61+AE61</f>
        <v/>
      </c>
    </row>
    <row r="62">
      <c r="A62" s="760" t="n">
        <v>43282</v>
      </c>
      <c r="B62" s="758" t="n">
        <v>181220</v>
      </c>
      <c r="C62" s="758" t="n">
        <v>34440</v>
      </c>
      <c r="D62" s="758" t="n">
        <v>144</v>
      </c>
      <c r="E62" s="758" t="n">
        <v>11130</v>
      </c>
      <c r="F62" s="758" t="n">
        <v>260</v>
      </c>
      <c r="G62" s="758" t="n"/>
      <c r="H62" s="758" t="n">
        <v>560</v>
      </c>
      <c r="I62" s="758" t="n">
        <v>57.8</v>
      </c>
      <c r="J62" s="766" t="n">
        <v>0</v>
      </c>
      <c r="K62" s="758" t="n">
        <v>0</v>
      </c>
      <c r="L62" s="758" t="n">
        <v>130</v>
      </c>
      <c r="M62" s="564" t="n">
        <v>800</v>
      </c>
      <c r="N62" s="564" t="n">
        <v>400</v>
      </c>
      <c r="O62" s="767" t="inlineStr">
        <is>
          <t>-</t>
        </is>
      </c>
      <c r="P62" s="767" t="n">
        <v>0</v>
      </c>
      <c r="Q62" s="766" t="n">
        <v>0</v>
      </c>
      <c r="R62" s="767" t="n">
        <v>0</v>
      </c>
      <c r="S62" s="767">
        <f>0.13*800</f>
        <v/>
      </c>
      <c r="T62" s="767">
        <f>0.15*200</f>
        <v/>
      </c>
      <c r="U62" s="758" t="n"/>
      <c r="V62" s="758" t="n">
        <v>0</v>
      </c>
      <c r="W62" s="758">
        <f>'Raw Food Data (KG)'!Q23</f>
        <v/>
      </c>
      <c r="X62" s="758" t="n">
        <v>0</v>
      </c>
      <c r="Y62" s="758" t="n">
        <v>5000</v>
      </c>
      <c r="Z62" s="768" t="n"/>
      <c r="AA62" s="745">
        <f>SUM(B62:C62)</f>
        <v/>
      </c>
      <c r="AB62" s="744">
        <f>SUM(AA51:AA62)</f>
        <v/>
      </c>
      <c r="AC62" s="746">
        <f>AB62/12</f>
        <v/>
      </c>
      <c r="AD62" s="744">
        <f>SUM(D62:Z62)</f>
        <v/>
      </c>
      <c r="AE62" s="744">
        <f>SUM(AD51:AD62)</f>
        <v/>
      </c>
      <c r="AF62" s="746">
        <f>AE62/12</f>
        <v/>
      </c>
    </row>
    <row r="63">
      <c r="A63" s="760" t="n">
        <v>43313</v>
      </c>
      <c r="B63" s="758" t="n">
        <v>176530</v>
      </c>
      <c r="C63" s="758" t="n">
        <v>29500</v>
      </c>
      <c r="D63" s="758" t="n">
        <v>66</v>
      </c>
      <c r="E63" s="758" t="n">
        <v>10170</v>
      </c>
      <c r="F63" s="758" t="n">
        <v>310</v>
      </c>
      <c r="G63" s="758" t="n"/>
      <c r="H63" s="758" t="n">
        <v>540</v>
      </c>
      <c r="I63" s="758" t="n">
        <v>29.5</v>
      </c>
      <c r="J63" s="766" t="n">
        <v>0</v>
      </c>
      <c r="K63" s="758" t="n">
        <v>2620</v>
      </c>
      <c r="L63" s="758" t="n">
        <v>0</v>
      </c>
      <c r="M63" s="564" t="n">
        <v>800</v>
      </c>
      <c r="N63" s="564" t="n">
        <v>400</v>
      </c>
      <c r="O63" s="767" t="inlineStr">
        <is>
          <t>-</t>
        </is>
      </c>
      <c r="P63" s="767" t="n">
        <v>0</v>
      </c>
      <c r="Q63" s="766" t="n">
        <v>0</v>
      </c>
      <c r="R63" s="767" t="n">
        <v>0</v>
      </c>
      <c r="S63" s="767" t="n">
        <v>0</v>
      </c>
      <c r="T63" s="767" t="n">
        <v>0</v>
      </c>
      <c r="U63" s="758">
        <f>17*27+3*35+4*4.5</f>
        <v/>
      </c>
      <c r="V63" s="758" t="n">
        <v>7200</v>
      </c>
      <c r="W63" s="758">
        <f>'Raw Food Data (KG)'!Q24</f>
        <v/>
      </c>
      <c r="X63" s="758" t="n">
        <v>0</v>
      </c>
      <c r="Y63" s="758" t="n">
        <v>3500</v>
      </c>
      <c r="Z63" s="768" t="n"/>
      <c r="AA63" s="745">
        <f>SUM(B63:C63)</f>
        <v/>
      </c>
      <c r="AB63" s="744">
        <f>SUM(AA52:AA63)</f>
        <v/>
      </c>
      <c r="AC63" s="746">
        <f>AB63/12</f>
        <v/>
      </c>
      <c r="AD63" s="744">
        <f>SUM(D63:Z63)</f>
        <v/>
      </c>
      <c r="AE63" s="744">
        <f>SUM(AD52:AD63)</f>
        <v/>
      </c>
      <c r="AF63" s="746">
        <f>AE63/12</f>
        <v/>
      </c>
    </row>
    <row r="64">
      <c r="A64" s="760" t="n">
        <v>43344</v>
      </c>
      <c r="B64" s="758" t="n">
        <v>173070</v>
      </c>
      <c r="C64" s="758" t="n">
        <v>23680</v>
      </c>
      <c r="D64" s="758" t="n">
        <v>589</v>
      </c>
      <c r="E64" s="758" t="n">
        <v>9110</v>
      </c>
      <c r="F64" s="758" t="n">
        <v>270</v>
      </c>
      <c r="G64" s="758" t="n"/>
      <c r="H64" s="758" t="n">
        <v>660</v>
      </c>
      <c r="I64" s="758" t="n">
        <v>0</v>
      </c>
      <c r="J64" s="766" t="n">
        <v>0.186</v>
      </c>
      <c r="K64" s="758" t="n">
        <v>845</v>
      </c>
      <c r="L64" s="758" t="n">
        <v>260</v>
      </c>
      <c r="M64" s="564" t="n">
        <v>800</v>
      </c>
      <c r="N64" s="564" t="n">
        <v>400</v>
      </c>
      <c r="O64" s="767" t="inlineStr">
        <is>
          <t>-</t>
        </is>
      </c>
      <c r="P64" s="767">
        <f>0.67*238</f>
        <v/>
      </c>
      <c r="Q64" s="766" t="n">
        <v>14</v>
      </c>
      <c r="R64" s="767" t="n">
        <v>0</v>
      </c>
      <c r="S64" s="767" t="n">
        <v>0</v>
      </c>
      <c r="T64" s="767" t="n">
        <v>0</v>
      </c>
      <c r="U64" s="758" t="n"/>
      <c r="V64" s="758" t="n">
        <v>3800</v>
      </c>
      <c r="W64" s="758">
        <f>'Raw Food Data (KG)'!Q25</f>
        <v/>
      </c>
      <c r="X64" s="758" t="n">
        <v>7680</v>
      </c>
      <c r="Y64" s="758" t="n">
        <v>45500</v>
      </c>
      <c r="Z64" s="768" t="n"/>
      <c r="AA64" s="745">
        <f>SUM(B64:C64)</f>
        <v/>
      </c>
      <c r="AB64" s="744">
        <f>SUM(AA53:AA64)</f>
        <v/>
      </c>
      <c r="AC64" s="746">
        <f>AB64/12</f>
        <v/>
      </c>
      <c r="AD64" s="744">
        <f>SUM(D64:Z64)</f>
        <v/>
      </c>
      <c r="AE64" s="744">
        <f>SUM(AD53:AD64)</f>
        <v/>
      </c>
      <c r="AF64" s="746">
        <f>AE64/12</f>
        <v/>
      </c>
    </row>
    <row r="65">
      <c r="A65" s="760" t="n">
        <v>43374</v>
      </c>
      <c r="B65" s="758" t="n">
        <v>177500</v>
      </c>
      <c r="C65" s="758" t="n">
        <v>28200</v>
      </c>
      <c r="D65" s="758" t="n">
        <v>225</v>
      </c>
      <c r="E65" s="758" t="n">
        <v>7540</v>
      </c>
      <c r="F65" s="758" t="n">
        <v>190</v>
      </c>
      <c r="G65" s="758" t="n"/>
      <c r="H65" s="758" t="n">
        <v>1170</v>
      </c>
      <c r="I65" s="758" t="n">
        <v>223.45</v>
      </c>
      <c r="J65" s="766" t="n">
        <v>0</v>
      </c>
      <c r="K65" s="758" t="n">
        <v>1663</v>
      </c>
      <c r="L65" s="758" t="n">
        <v>30</v>
      </c>
      <c r="M65" s="564" t="n">
        <v>2400</v>
      </c>
      <c r="N65" s="564" t="n">
        <v>600</v>
      </c>
      <c r="O65" s="767" t="inlineStr">
        <is>
          <t>-</t>
        </is>
      </c>
      <c r="P65" s="767" t="n">
        <v>0</v>
      </c>
      <c r="Q65" s="766" t="n">
        <v>0</v>
      </c>
      <c r="R65" s="767" t="n"/>
      <c r="S65" s="767" t="n"/>
      <c r="T65" s="767" t="n"/>
      <c r="U65" s="758">
        <f>12*27+1*7.5+2*4.5</f>
        <v/>
      </c>
      <c r="V65" s="758" t="n">
        <v>2700</v>
      </c>
      <c r="W65" s="758">
        <f>'Raw Food Data (KG)'!Q26</f>
        <v/>
      </c>
      <c r="X65" s="758" t="n">
        <v>7680</v>
      </c>
      <c r="Y65" s="758" t="n">
        <v>0</v>
      </c>
      <c r="Z65" s="768" t="n"/>
      <c r="AA65" s="745">
        <f>SUM(B65:C65)</f>
        <v/>
      </c>
      <c r="AB65" s="744">
        <f>SUM(AA54:AA65)</f>
        <v/>
      </c>
      <c r="AC65" s="746">
        <f>AB65/12</f>
        <v/>
      </c>
      <c r="AD65" s="744">
        <f>SUM(D65:Z65)</f>
        <v/>
      </c>
      <c r="AE65" s="744">
        <f>SUM(AD54:AD65)</f>
        <v/>
      </c>
      <c r="AF65" s="746">
        <f>AE65/12</f>
        <v/>
      </c>
    </row>
    <row r="66">
      <c r="A66" s="760" t="n">
        <v>43405</v>
      </c>
      <c r="B66" s="758" t="n">
        <v>208090</v>
      </c>
      <c r="C66" s="758" t="n">
        <v>25670</v>
      </c>
      <c r="D66" s="758" t="n">
        <v>366</v>
      </c>
      <c r="E66" s="758" t="n">
        <v>7720</v>
      </c>
      <c r="F66" s="758" t="n">
        <v>170</v>
      </c>
      <c r="G66" s="758" t="n"/>
      <c r="H66" s="758" t="n">
        <v>820</v>
      </c>
      <c r="I66" s="758" t="n">
        <v>159.65</v>
      </c>
      <c r="J66" s="766" t="n">
        <v>0.449</v>
      </c>
      <c r="K66" s="758" t="n">
        <v>812</v>
      </c>
      <c r="L66" s="758" t="n">
        <v>0</v>
      </c>
      <c r="M66" s="564" t="n">
        <v>1800</v>
      </c>
      <c r="N66" s="564" t="n">
        <v>200</v>
      </c>
      <c r="O66" s="767" t="inlineStr">
        <is>
          <t>-</t>
        </is>
      </c>
      <c r="P66" s="767" t="n">
        <v>0</v>
      </c>
      <c r="Q66" s="766" t="n">
        <v>0</v>
      </c>
      <c r="R66" s="767" t="n"/>
      <c r="S66" s="767">
        <f>0.13*2000</f>
        <v/>
      </c>
      <c r="T66" s="767" t="n"/>
      <c r="U66" s="758">
        <f>32*27+9*35</f>
        <v/>
      </c>
      <c r="V66" s="758" t="n">
        <v>3700</v>
      </c>
      <c r="W66" s="758">
        <f>'Raw Food Data (KG)'!Q27</f>
        <v/>
      </c>
      <c r="X66" s="758" t="n">
        <v>7680</v>
      </c>
      <c r="Y66" s="758" t="n">
        <v>21000</v>
      </c>
      <c r="Z66" s="768" t="n"/>
      <c r="AA66" s="745">
        <f>SUM(B66:C66)</f>
        <v/>
      </c>
      <c r="AB66" s="744">
        <f>SUM(AA55:AA66)</f>
        <v/>
      </c>
      <c r="AC66" s="746">
        <f>AB66/12</f>
        <v/>
      </c>
      <c r="AD66" s="744">
        <f>SUM(D66:Z66)</f>
        <v/>
      </c>
      <c r="AE66" s="744">
        <f>SUM(AD55:AD66)</f>
        <v/>
      </c>
      <c r="AF66" s="746">
        <f>AE66/12</f>
        <v/>
      </c>
    </row>
    <row r="67">
      <c r="A67" s="760" t="n">
        <v>43435</v>
      </c>
      <c r="B67" s="758" t="n">
        <v>202560</v>
      </c>
      <c r="C67" s="758" t="n">
        <v>31590</v>
      </c>
      <c r="D67" s="758" t="n">
        <v>739</v>
      </c>
      <c r="E67" s="758" t="n">
        <v>7080</v>
      </c>
      <c r="F67" s="758" t="n">
        <v>120</v>
      </c>
      <c r="G67" s="758" t="n"/>
      <c r="H67" s="758" t="n">
        <v>830</v>
      </c>
      <c r="I67" s="758" t="n">
        <v>78</v>
      </c>
      <c r="J67" s="766" t="n">
        <v>0.186</v>
      </c>
      <c r="K67" s="758" t="n">
        <v>2191</v>
      </c>
      <c r="L67" s="758" t="n">
        <v>100</v>
      </c>
      <c r="M67" s="564" t="n">
        <v>1800</v>
      </c>
      <c r="N67" s="564" t="n">
        <v>400</v>
      </c>
      <c r="O67" s="767" t="inlineStr">
        <is>
          <t>-</t>
        </is>
      </c>
      <c r="P67" s="767">
        <f>0.67*370</f>
        <v/>
      </c>
      <c r="Q67" s="766" t="n">
        <v>20</v>
      </c>
      <c r="R67" s="767" t="n"/>
      <c r="S67" s="767" t="n"/>
      <c r="T67" s="767" t="n"/>
      <c r="U67" s="758" t="n"/>
      <c r="V67" s="758" t="n">
        <v>32700</v>
      </c>
      <c r="W67" s="758">
        <f>'Raw Food Data (KG)'!Q28</f>
        <v/>
      </c>
      <c r="X67" s="758" t="n">
        <v>7680</v>
      </c>
      <c r="Y67" s="758" t="n">
        <v>28000</v>
      </c>
      <c r="Z67" s="768" t="n"/>
      <c r="AA67" s="745">
        <f>SUM(B67:C67)</f>
        <v/>
      </c>
      <c r="AB67" s="744">
        <f>SUM(AA56:AA67)</f>
        <v/>
      </c>
      <c r="AC67" s="746">
        <f>AB67/12</f>
        <v/>
      </c>
      <c r="AD67" s="744">
        <f>SUM(D67:Z67)</f>
        <v/>
      </c>
      <c r="AE67" s="744">
        <f>SUM(AD56:AD67)</f>
        <v/>
      </c>
      <c r="AF67" s="746">
        <f>AE67/12</f>
        <v/>
      </c>
    </row>
    <row r="68">
      <c r="A68" s="760" t="n">
        <v>43466</v>
      </c>
      <c r="B68" s="758" t="n">
        <v>145940.2628</v>
      </c>
      <c r="C68" s="758" t="n">
        <v>23670</v>
      </c>
      <c r="D68" s="758" t="n">
        <v>0</v>
      </c>
      <c r="E68" s="758" t="n">
        <v>9880</v>
      </c>
      <c r="F68" s="758" t="n">
        <v>170</v>
      </c>
      <c r="G68" s="758" t="n"/>
      <c r="H68" s="758" t="n">
        <v>610</v>
      </c>
      <c r="I68" s="758" t="n">
        <v>79.5</v>
      </c>
      <c r="J68" s="766" t="n">
        <v>0</v>
      </c>
      <c r="K68" s="758" t="n">
        <v>1388</v>
      </c>
      <c r="L68" s="758" t="n">
        <v>180</v>
      </c>
      <c r="M68" s="564" t="n">
        <v>2800</v>
      </c>
      <c r="N68" s="564" t="n">
        <v>400</v>
      </c>
      <c r="O68" s="767" t="inlineStr">
        <is>
          <t>-</t>
        </is>
      </c>
      <c r="P68" s="767" t="n">
        <v>0</v>
      </c>
      <c r="Q68" s="766" t="n">
        <v>0</v>
      </c>
      <c r="R68" s="767" t="n"/>
      <c r="S68" s="767" t="n"/>
      <c r="T68" s="767" t="n"/>
      <c r="U68" s="758">
        <f>17*27+6*7.5+19*4.5+7*35+2*4.5+1*6.5</f>
        <v/>
      </c>
      <c r="V68" s="758" t="n">
        <v>7800</v>
      </c>
      <c r="W68" s="758">
        <f>'Raw Food Data (KG)'!Q29</f>
        <v/>
      </c>
      <c r="X68" s="758">
        <f>160*48</f>
        <v/>
      </c>
      <c r="Y68" s="758" t="n">
        <v>38500</v>
      </c>
      <c r="Z68" s="768" t="n"/>
      <c r="AA68" s="745">
        <f>SUM(B68:C68)</f>
        <v/>
      </c>
      <c r="AB68" s="744">
        <f>SUM(AA57:AA68)</f>
        <v/>
      </c>
      <c r="AC68" s="746">
        <f>AB68/12</f>
        <v/>
      </c>
      <c r="AD68" s="744">
        <f>SUM(D68:Z68)</f>
        <v/>
      </c>
      <c r="AE68" s="744">
        <f>SUM(AD57:AD68)</f>
        <v/>
      </c>
      <c r="AF68" s="746">
        <f>AE68/12</f>
        <v/>
      </c>
    </row>
    <row r="69">
      <c r="A69" s="760" t="n">
        <v>43497</v>
      </c>
      <c r="B69" s="758" t="n">
        <v>138993.9224</v>
      </c>
      <c r="C69" s="758" t="n">
        <v>20250</v>
      </c>
      <c r="D69" s="758" t="n">
        <v>233</v>
      </c>
      <c r="E69" s="758" t="n">
        <v>7000</v>
      </c>
      <c r="F69" s="758" t="n">
        <v>160</v>
      </c>
      <c r="G69" s="758" t="n"/>
      <c r="H69" s="758" t="n">
        <v>390</v>
      </c>
      <c r="I69" s="758" t="n">
        <v>61.5</v>
      </c>
      <c r="J69" s="766" t="n">
        <v>3.945</v>
      </c>
      <c r="K69" s="758" t="n">
        <v>1172</v>
      </c>
      <c r="L69" s="758" t="n">
        <v>0</v>
      </c>
      <c r="M69" s="564" t="n">
        <v>1400</v>
      </c>
      <c r="N69" s="564" t="n">
        <v>400</v>
      </c>
      <c r="O69" s="767" t="inlineStr">
        <is>
          <t>-</t>
        </is>
      </c>
      <c r="P69" s="767">
        <f>0.67*125</f>
        <v/>
      </c>
      <c r="Q69" s="766" t="n">
        <v>3</v>
      </c>
      <c r="R69" s="767" t="n"/>
      <c r="S69" s="767" t="n"/>
      <c r="T69" s="767" t="n"/>
      <c r="U69" s="758" t="n"/>
      <c r="V69" s="758" t="n">
        <v>1900</v>
      </c>
      <c r="W69" s="758">
        <f>'Raw Food Data (KG)'!Q30</f>
        <v/>
      </c>
      <c r="X69" s="758">
        <f>160*48</f>
        <v/>
      </c>
      <c r="Y69" s="758" t="n">
        <v>0</v>
      </c>
      <c r="Z69" s="768" t="n"/>
      <c r="AA69" s="745">
        <f>SUM(B69:C69)</f>
        <v/>
      </c>
      <c r="AB69" s="744">
        <f>SUM(AA58:AA69)</f>
        <v/>
      </c>
      <c r="AC69" s="746">
        <f>AB69/12</f>
        <v/>
      </c>
      <c r="AD69" s="744">
        <f>SUM(D69:Z69)</f>
        <v/>
      </c>
      <c r="AE69" s="744">
        <f>SUM(AD58:AD69)</f>
        <v/>
      </c>
      <c r="AF69" s="746">
        <f>AE69/12</f>
        <v/>
      </c>
    </row>
    <row r="70">
      <c r="A70" s="760" t="n">
        <v>43525</v>
      </c>
      <c r="B70" s="758" t="n">
        <v>162063.1426</v>
      </c>
      <c r="C70" s="758" t="n">
        <v>14620</v>
      </c>
      <c r="D70" s="758" t="n">
        <v>224</v>
      </c>
      <c r="E70" s="758" t="n">
        <v>9520</v>
      </c>
      <c r="F70" s="758" t="n">
        <v>180</v>
      </c>
      <c r="G70" s="758" t="n"/>
      <c r="H70" s="758" t="n">
        <v>950</v>
      </c>
      <c r="I70" s="758" t="n">
        <v>70.2</v>
      </c>
      <c r="J70" s="766" t="n">
        <v>0</v>
      </c>
      <c r="K70" s="758" t="n">
        <v>1793</v>
      </c>
      <c r="L70" s="758" t="n">
        <v>120</v>
      </c>
      <c r="M70" s="564" t="n">
        <v>800</v>
      </c>
      <c r="N70" s="564" t="n">
        <v>200</v>
      </c>
      <c r="O70" s="767" t="inlineStr">
        <is>
          <t>-</t>
        </is>
      </c>
      <c r="P70" s="767">
        <f>0.67*90</f>
        <v/>
      </c>
      <c r="Q70" s="766" t="n">
        <v>0</v>
      </c>
      <c r="R70" s="767" t="n"/>
      <c r="S70" s="767" t="n"/>
      <c r="T70" s="767" t="n"/>
      <c r="U70" s="758" t="n"/>
      <c r="V70" s="758" t="n">
        <v>2500</v>
      </c>
      <c r="W70" s="758">
        <f>'Raw Food Data (KG)'!Q31</f>
        <v/>
      </c>
      <c r="X70" s="758" t="n"/>
      <c r="Y70" s="758" t="n">
        <v>3500</v>
      </c>
      <c r="Z70" s="768" t="n"/>
      <c r="AA70" s="745">
        <f>SUM(B70:C70)</f>
        <v/>
      </c>
      <c r="AB70" s="744">
        <f>SUM(AA59:AA70)</f>
        <v/>
      </c>
      <c r="AC70" s="746">
        <f>AB70/12</f>
        <v/>
      </c>
      <c r="AD70" s="744">
        <f>SUM(D70:Z70)</f>
        <v/>
      </c>
      <c r="AE70" s="744">
        <f>SUM(AD59:AD70)</f>
        <v/>
      </c>
      <c r="AF70" s="746">
        <f>AE70/12</f>
        <v/>
      </c>
    </row>
    <row r="71">
      <c r="A71" s="760" t="n">
        <v>43556</v>
      </c>
      <c r="B71" s="758" t="n">
        <v>134497.6445</v>
      </c>
      <c r="C71" s="758" t="n">
        <v>13820</v>
      </c>
      <c r="D71" s="758" t="n">
        <v>485</v>
      </c>
      <c r="E71" s="758" t="n">
        <v>8220</v>
      </c>
      <c r="F71" s="758" t="n">
        <v>160</v>
      </c>
      <c r="G71" s="758" t="n"/>
      <c r="H71" s="758" t="n">
        <v>920</v>
      </c>
      <c r="I71" s="758" t="n">
        <v>0</v>
      </c>
      <c r="J71" s="766" t="n">
        <v>1.47</v>
      </c>
      <c r="K71" s="758" t="n">
        <v>1845</v>
      </c>
      <c r="L71" s="758" t="n">
        <v>100</v>
      </c>
      <c r="M71" s="564" t="n">
        <v>2200</v>
      </c>
      <c r="N71" s="564" t="n">
        <v>400</v>
      </c>
      <c r="O71" s="767" t="inlineStr">
        <is>
          <t>-</t>
        </is>
      </c>
      <c r="P71" s="767">
        <f>0.67*137</f>
        <v/>
      </c>
      <c r="Q71" s="766" t="n">
        <v>18</v>
      </c>
      <c r="R71" s="767" t="n"/>
      <c r="S71" s="767" t="n"/>
      <c r="T71" s="767" t="n"/>
      <c r="U71" s="758" t="n"/>
      <c r="V71" s="758" t="n">
        <v>7800</v>
      </c>
      <c r="W71" s="758">
        <f>'Raw Food Data (KG)'!Q32</f>
        <v/>
      </c>
      <c r="X71" s="758" t="n"/>
      <c r="Y71" s="758" t="n">
        <v>0</v>
      </c>
      <c r="Z71" s="768" t="n"/>
      <c r="AA71" s="745">
        <f>SUM(B71:C71)</f>
        <v/>
      </c>
      <c r="AB71" s="744">
        <f>SUM(AA60:AA71)</f>
        <v/>
      </c>
      <c r="AC71" s="746">
        <f>AB71/12</f>
        <v/>
      </c>
      <c r="AD71" s="744">
        <f>SUM(D71:Z71)</f>
        <v/>
      </c>
      <c r="AE71" s="744">
        <f>SUM(AD60:AD71)</f>
        <v/>
      </c>
      <c r="AF71" s="746">
        <f>AE71/12</f>
        <v/>
      </c>
    </row>
    <row r="72">
      <c r="A72" s="760" t="n">
        <v>43586</v>
      </c>
      <c r="B72" s="758" t="n">
        <v>155093.376</v>
      </c>
      <c r="C72" s="758" t="n">
        <v>28910</v>
      </c>
      <c r="D72" s="758" t="n">
        <v>11581</v>
      </c>
      <c r="E72" s="758" t="n">
        <v>6735</v>
      </c>
      <c r="F72" s="758" t="n">
        <v>140</v>
      </c>
      <c r="G72" s="758" t="n"/>
      <c r="H72" s="758" t="n">
        <v>1080</v>
      </c>
      <c r="I72" s="758" t="n">
        <v>62.35</v>
      </c>
      <c r="J72" s="766" t="n">
        <v>1.841</v>
      </c>
      <c r="K72" s="758" t="n">
        <v>1356</v>
      </c>
      <c r="L72" s="758" t="n">
        <v>130</v>
      </c>
      <c r="M72" s="564" t="n">
        <v>800</v>
      </c>
      <c r="N72" s="564" t="n">
        <v>200</v>
      </c>
      <c r="O72" s="767" t="inlineStr">
        <is>
          <t>-</t>
        </is>
      </c>
      <c r="P72" s="767" t="n">
        <v>0</v>
      </c>
      <c r="Q72" s="766" t="n">
        <v>0</v>
      </c>
      <c r="R72" s="767" t="n"/>
      <c r="S72" s="767" t="n"/>
      <c r="T72" s="767" t="n"/>
      <c r="U72" s="758">
        <f>27*27+9*4.5+21*35</f>
        <v/>
      </c>
      <c r="V72" s="758" t="n">
        <v>10400</v>
      </c>
      <c r="W72" s="758">
        <f>'Raw Food Data (KG)'!Q33</f>
        <v/>
      </c>
      <c r="X72" s="758" t="n"/>
      <c r="Y72" s="758" t="n">
        <v>0</v>
      </c>
      <c r="Z72" s="768" t="n"/>
      <c r="AA72" s="745">
        <f>SUM(B72:C72)</f>
        <v/>
      </c>
      <c r="AB72" s="744">
        <f>SUM(AA61:AA72)</f>
        <v/>
      </c>
      <c r="AC72" s="746">
        <f>AB72/12</f>
        <v/>
      </c>
      <c r="AD72" s="744">
        <f>SUM(D72:Z72)</f>
        <v/>
      </c>
      <c r="AE72" s="744">
        <f>SUM(AD61:AD72)</f>
        <v/>
      </c>
      <c r="AF72" s="746">
        <f>AE72/12</f>
        <v/>
      </c>
    </row>
    <row r="73">
      <c r="A73" s="760" t="n">
        <v>43617</v>
      </c>
      <c r="B73" s="758" t="n">
        <v>155588.3447</v>
      </c>
      <c r="C73" s="758" t="n">
        <v>37750</v>
      </c>
      <c r="D73" s="758" t="n">
        <v>575</v>
      </c>
      <c r="E73" s="758" t="n">
        <v>7100</v>
      </c>
      <c r="F73" s="758" t="n">
        <v>170</v>
      </c>
      <c r="G73" s="758" t="n"/>
      <c r="H73" s="758" t="n">
        <v>870</v>
      </c>
      <c r="I73" s="758" t="n">
        <v>63.8</v>
      </c>
      <c r="J73" s="766" t="n">
        <v>0</v>
      </c>
      <c r="K73" s="758" t="n">
        <v>2613</v>
      </c>
      <c r="L73" s="758" t="n">
        <v>150</v>
      </c>
      <c r="M73" s="564" t="n">
        <v>800</v>
      </c>
      <c r="N73" s="564" t="n">
        <v>200</v>
      </c>
      <c r="O73" s="767" t="inlineStr">
        <is>
          <t>-</t>
        </is>
      </c>
      <c r="P73" s="767" t="n">
        <v>0</v>
      </c>
      <c r="Q73" s="766" t="n">
        <v>0</v>
      </c>
      <c r="R73" s="767" t="n"/>
      <c r="S73" s="767" t="n"/>
      <c r="T73" s="767" t="n"/>
      <c r="U73" s="758" t="n"/>
      <c r="V73" s="758" t="n">
        <v>11000</v>
      </c>
      <c r="W73" s="758">
        <f>'Raw Food Data (KG)'!Q34</f>
        <v/>
      </c>
      <c r="X73" s="758" t="n"/>
      <c r="Y73" s="758" t="n">
        <v>0</v>
      </c>
      <c r="Z73" s="768" t="n"/>
      <c r="AA73" s="745">
        <f>SUM(B73:C73)</f>
        <v/>
      </c>
      <c r="AB73" s="744">
        <f>SUM(AA62:AA73)</f>
        <v/>
      </c>
      <c r="AC73" s="746">
        <f>AB73/12</f>
        <v/>
      </c>
      <c r="AD73" s="744">
        <f>SUM(D73:Z73)</f>
        <v/>
      </c>
      <c r="AE73" s="744">
        <f>SUM(AD62:AD73)</f>
        <v/>
      </c>
      <c r="AF73" s="746">
        <f>AE73/12</f>
        <v/>
      </c>
      <c r="AH73" s="764">
        <f>AB73+AE73</f>
        <v/>
      </c>
    </row>
    <row r="74">
      <c r="A74" s="760" t="n">
        <v>43647</v>
      </c>
      <c r="B74" s="761" t="n">
        <v>141020</v>
      </c>
      <c r="C74" s="761" t="n">
        <v>39000</v>
      </c>
      <c r="D74" s="761" t="n">
        <v>3106</v>
      </c>
      <c r="E74" s="761">
        <f>5696+6456</f>
        <v/>
      </c>
      <c r="F74" s="761" t="n">
        <v>100</v>
      </c>
      <c r="G74" s="761" t="n">
        <v>423</v>
      </c>
      <c r="H74" s="761" t="n">
        <v>390</v>
      </c>
      <c r="I74" s="761" t="n"/>
      <c r="J74" s="756" t="n">
        <v>20.067</v>
      </c>
      <c r="K74" s="761" t="n">
        <v>1388</v>
      </c>
      <c r="L74" s="761" t="n">
        <v>110</v>
      </c>
      <c r="M74" s="562" t="n">
        <v>800</v>
      </c>
      <c r="N74" s="562" t="n">
        <v>400</v>
      </c>
      <c r="O74" s="757" t="inlineStr">
        <is>
          <t>-</t>
        </is>
      </c>
      <c r="P74" s="757">
        <f>0.67*112</f>
        <v/>
      </c>
      <c r="Q74" s="756" t="n">
        <v>0</v>
      </c>
      <c r="R74" s="757" t="n"/>
      <c r="S74" s="757" t="n"/>
      <c r="T74" s="757" t="n"/>
      <c r="U74" s="761" t="n"/>
      <c r="V74" s="761" t="n">
        <v>19200</v>
      </c>
      <c r="W74" s="758">
        <f>'Raw Food Data (KG)'!Q35</f>
        <v/>
      </c>
      <c r="X74" s="761" t="n"/>
      <c r="Y74" s="761" t="n">
        <v>0</v>
      </c>
      <c r="Z74" s="763" t="n"/>
      <c r="AA74" s="745">
        <f>SUM(B74:C74)</f>
        <v/>
      </c>
      <c r="AB74" s="744">
        <f>SUM(AA63:AA74)</f>
        <v/>
      </c>
      <c r="AC74" s="746">
        <f>AB74/12</f>
        <v/>
      </c>
      <c r="AD74" s="744">
        <f>SUM(D74:Z74)</f>
        <v/>
      </c>
      <c r="AE74" s="744">
        <f>SUM(AD63:AD74)</f>
        <v/>
      </c>
      <c r="AF74" s="746">
        <f>AE74/12</f>
        <v/>
      </c>
    </row>
    <row r="75">
      <c r="A75" s="760" t="n">
        <v>43678</v>
      </c>
      <c r="B75" s="761" t="n">
        <v>150570</v>
      </c>
      <c r="C75" s="761" t="n">
        <v>51750</v>
      </c>
      <c r="D75" s="761" t="n">
        <v>4099.200000000001</v>
      </c>
      <c r="E75" s="761" t="n">
        <v>5646</v>
      </c>
      <c r="F75" s="761" t="n">
        <v>51</v>
      </c>
      <c r="G75" s="761" t="n">
        <v>267</v>
      </c>
      <c r="H75" s="761" t="n">
        <v>302</v>
      </c>
      <c r="I75" s="761" t="n">
        <v>67.09999999999999</v>
      </c>
      <c r="J75" s="756" t="n">
        <v>0</v>
      </c>
      <c r="K75" s="761" t="n">
        <v>2411</v>
      </c>
      <c r="L75" s="761" t="n">
        <v>70</v>
      </c>
      <c r="M75" s="562" t="n">
        <v>600</v>
      </c>
      <c r="N75" s="562" t="n">
        <v>400</v>
      </c>
      <c r="O75" s="757" t="inlineStr">
        <is>
          <t>-</t>
        </is>
      </c>
      <c r="P75" s="757" t="n">
        <v>0</v>
      </c>
      <c r="Q75" s="756" t="n">
        <v>0</v>
      </c>
      <c r="R75" s="757" t="n"/>
      <c r="S75" s="757" t="n"/>
      <c r="T75" s="757" t="n"/>
      <c r="U75" s="761" t="n"/>
      <c r="V75" s="761" t="n">
        <v>25600</v>
      </c>
      <c r="W75" s="758">
        <f>'Raw Food Data (KG)'!Q36</f>
        <v/>
      </c>
      <c r="X75" s="761" t="n"/>
      <c r="Y75" s="761" t="n">
        <v>0</v>
      </c>
      <c r="Z75" s="763" t="n"/>
      <c r="AA75" s="745">
        <f>SUM(B75:C75)</f>
        <v/>
      </c>
      <c r="AB75" s="744">
        <f>SUM(AA64:AA75)</f>
        <v/>
      </c>
      <c r="AC75" s="746">
        <f>AB75/12</f>
        <v/>
      </c>
      <c r="AD75" s="744">
        <f>SUM(D75:Z75)</f>
        <v/>
      </c>
      <c r="AE75" s="744">
        <f>SUM(AD64:AD75)</f>
        <v/>
      </c>
      <c r="AF75" s="746">
        <f>AE75/12</f>
        <v/>
      </c>
    </row>
    <row r="76">
      <c r="A76" s="760" t="n">
        <v>43709</v>
      </c>
      <c r="B76" s="761" t="n">
        <v>138430</v>
      </c>
      <c r="C76" s="761" t="n">
        <v>62990</v>
      </c>
      <c r="D76" s="761" t="n">
        <v>7886.399999999999</v>
      </c>
      <c r="E76" s="761">
        <f>6755+4050</f>
        <v/>
      </c>
      <c r="F76" s="761" t="n">
        <v>83</v>
      </c>
      <c r="G76" s="761" t="n">
        <v>169</v>
      </c>
      <c r="H76" s="761" t="n">
        <v>380</v>
      </c>
      <c r="I76" s="761" t="n">
        <v>157.25</v>
      </c>
      <c r="J76" s="756" t="n">
        <v>0.789</v>
      </c>
      <c r="K76" s="761" t="n">
        <v>2352</v>
      </c>
      <c r="L76" s="761" t="n">
        <v>40</v>
      </c>
      <c r="M76" s="562" t="n">
        <v>800</v>
      </c>
      <c r="N76" s="562" t="n">
        <v>600</v>
      </c>
      <c r="O76" s="757" t="inlineStr">
        <is>
          <t>-</t>
        </is>
      </c>
      <c r="P76" s="757">
        <f>0.67*105</f>
        <v/>
      </c>
      <c r="Q76" s="756" t="n">
        <v>20</v>
      </c>
      <c r="R76" s="757" t="n"/>
      <c r="S76" s="757" t="n"/>
      <c r="T76" s="757" t="n"/>
      <c r="U76" s="761">
        <f>31*27+2*7.5</f>
        <v/>
      </c>
      <c r="V76" s="761" t="n">
        <v>24100</v>
      </c>
      <c r="W76" s="758">
        <f>'Raw Food Data (KG)'!Q37</f>
        <v/>
      </c>
      <c r="X76" s="761">
        <f>10560</f>
        <v/>
      </c>
      <c r="Y76" s="761" t="n">
        <v>17500</v>
      </c>
      <c r="Z76" s="763" t="n"/>
      <c r="AA76" s="745">
        <f>SUM(B76:C76)</f>
        <v/>
      </c>
      <c r="AB76" s="744">
        <f>SUM(AA65:AA76)</f>
        <v/>
      </c>
      <c r="AC76" s="746">
        <f>AB76/12</f>
        <v/>
      </c>
      <c r="AD76" s="744">
        <f>SUM(D76:Z76)</f>
        <v/>
      </c>
      <c r="AE76" s="744">
        <f>SUM(AD65:AD76)</f>
        <v/>
      </c>
      <c r="AF76" s="746">
        <f>AE76/12</f>
        <v/>
      </c>
    </row>
    <row r="77">
      <c r="A77" s="760" t="n">
        <v>43739</v>
      </c>
      <c r="B77" s="761" t="n">
        <v>133570</v>
      </c>
      <c r="C77" s="761" t="n">
        <v>59480</v>
      </c>
      <c r="D77" s="761" t="n">
        <v>622</v>
      </c>
      <c r="E77" s="761" t="n">
        <v>14330</v>
      </c>
      <c r="F77" s="761" t="n">
        <v>107</v>
      </c>
      <c r="G77" s="761" t="n">
        <v>179</v>
      </c>
      <c r="H77" s="761" t="n">
        <v>462</v>
      </c>
      <c r="I77" s="761" t="n">
        <v>81</v>
      </c>
      <c r="J77" s="756" t="n">
        <v>15.38</v>
      </c>
      <c r="K77" s="761" t="n">
        <v>2259</v>
      </c>
      <c r="L77" s="761" t="n">
        <v>40</v>
      </c>
      <c r="M77" s="562" t="n">
        <v>400</v>
      </c>
      <c r="N77" s="562" t="n">
        <v>400</v>
      </c>
      <c r="O77" s="757" t="inlineStr">
        <is>
          <t>-</t>
        </is>
      </c>
      <c r="P77" s="757">
        <f>0.67*120</f>
        <v/>
      </c>
      <c r="Q77" s="756" t="n">
        <v>9</v>
      </c>
      <c r="R77" s="757" t="n">
        <v>0</v>
      </c>
      <c r="S77" s="757" t="n">
        <v>0</v>
      </c>
      <c r="T77" s="757" t="n">
        <v>0</v>
      </c>
      <c r="U77" s="761" t="n">
        <v>0</v>
      </c>
      <c r="V77" s="761" t="n">
        <v>14400</v>
      </c>
      <c r="W77" s="758">
        <f>'Raw Food Data (KG)'!Q38</f>
        <v/>
      </c>
      <c r="X77" s="761" t="n">
        <v>10560</v>
      </c>
      <c r="Y77" s="761" t="n">
        <v>10500</v>
      </c>
      <c r="Z77" s="763" t="n"/>
      <c r="AA77" s="745">
        <f>SUM(B77:C77)</f>
        <v/>
      </c>
      <c r="AB77" s="744">
        <f>SUM(AA66:AA77)</f>
        <v/>
      </c>
      <c r="AC77" s="746">
        <f>AB77/12</f>
        <v/>
      </c>
      <c r="AD77" s="744">
        <f>SUM(D77:Z77)</f>
        <v/>
      </c>
      <c r="AE77" s="744">
        <f>SUM(AD66:AD77)</f>
        <v/>
      </c>
      <c r="AF77" s="746">
        <f>AE77/12</f>
        <v/>
      </c>
    </row>
    <row r="78">
      <c r="A78" s="760" t="n">
        <v>43770</v>
      </c>
      <c r="B78" s="761" t="n">
        <v>106670</v>
      </c>
      <c r="C78" s="761" t="n">
        <v>49040</v>
      </c>
      <c r="D78" s="761" t="n">
        <v>2214</v>
      </c>
      <c r="E78" s="761" t="n">
        <v>12030</v>
      </c>
      <c r="F78" s="761" t="n">
        <v>107</v>
      </c>
      <c r="G78" s="761" t="n">
        <v>220</v>
      </c>
      <c r="H78" s="761" t="n">
        <v>401</v>
      </c>
      <c r="I78" s="761" t="n">
        <v>391.95</v>
      </c>
      <c r="J78" s="756" t="n">
        <v>3.4</v>
      </c>
      <c r="K78" s="761" t="n">
        <v>542</v>
      </c>
      <c r="L78" s="761" t="n">
        <v>30</v>
      </c>
      <c r="M78" s="562" t="n">
        <v>800</v>
      </c>
      <c r="N78" s="562" t="n">
        <v>400</v>
      </c>
      <c r="O78" s="757" t="inlineStr">
        <is>
          <t>-</t>
        </is>
      </c>
      <c r="P78" s="757">
        <f>0.67*95</f>
        <v/>
      </c>
      <c r="Q78" s="756" t="n">
        <v>6</v>
      </c>
      <c r="R78" s="757" t="n"/>
      <c r="S78" s="757" t="n"/>
      <c r="T78" s="757" t="n"/>
      <c r="U78" s="761" t="n"/>
      <c r="V78" s="761" t="n">
        <v>10500</v>
      </c>
      <c r="W78" s="758">
        <f>'Raw Food Data (KG)'!Q39</f>
        <v/>
      </c>
      <c r="X78" s="761" t="n">
        <v>10240</v>
      </c>
      <c r="Y78" s="761" t="n">
        <v>14000</v>
      </c>
      <c r="Z78" s="763" t="n"/>
      <c r="AA78" s="745">
        <f>SUM(B78:C78)</f>
        <v/>
      </c>
      <c r="AB78" s="744">
        <f>SUM(AA67:AA78)</f>
        <v/>
      </c>
      <c r="AC78" s="746">
        <f>AB78/12</f>
        <v/>
      </c>
      <c r="AD78" s="744">
        <f>SUM(D78:Z78)</f>
        <v/>
      </c>
      <c r="AE78" s="744">
        <f>SUM(AD67:AD78)</f>
        <v/>
      </c>
      <c r="AF78" s="746">
        <f>AE78/12</f>
        <v/>
      </c>
    </row>
    <row r="79">
      <c r="A79" s="760" t="n">
        <v>43800</v>
      </c>
      <c r="B79" s="761" t="n">
        <v>114530</v>
      </c>
      <c r="C79" s="761" t="n">
        <v>56380</v>
      </c>
      <c r="D79" s="761" t="n">
        <v>909</v>
      </c>
      <c r="E79" s="761" t="n">
        <v>13715</v>
      </c>
      <c r="F79" s="761" t="n">
        <v>94</v>
      </c>
      <c r="G79" s="761" t="n">
        <v>197</v>
      </c>
      <c r="H79" s="761" t="n">
        <v>340</v>
      </c>
      <c r="I79" s="761" t="n">
        <v>72.34999999999999</v>
      </c>
      <c r="J79" s="756" t="n">
        <v>5.57</v>
      </c>
      <c r="K79" s="761" t="n">
        <v>874</v>
      </c>
      <c r="L79" s="761" t="n">
        <v>50</v>
      </c>
      <c r="M79" s="562" t="n">
        <v>800</v>
      </c>
      <c r="N79" s="562" t="n">
        <v>400</v>
      </c>
      <c r="O79" s="757" t="inlineStr">
        <is>
          <t>-</t>
        </is>
      </c>
      <c r="P79" s="757">
        <f>0.67*74</f>
        <v/>
      </c>
      <c r="Q79" s="756" t="n">
        <v>11</v>
      </c>
      <c r="R79" s="757" t="n"/>
      <c r="S79" s="757" t="n"/>
      <c r="T79" s="757" t="n"/>
      <c r="U79" s="761">
        <f>36*27+1*4.5+22*35</f>
        <v/>
      </c>
      <c r="V79" s="761" t="n">
        <v>10100</v>
      </c>
      <c r="W79" s="758">
        <f>'Raw Food Data (KG)'!Q40</f>
        <v/>
      </c>
      <c r="X79" s="761" t="n">
        <v>10240</v>
      </c>
      <c r="Y79" s="761" t="n">
        <v>24500</v>
      </c>
      <c r="Z79" s="763" t="n"/>
      <c r="AA79" s="745">
        <f>SUM(B79:C79)</f>
        <v/>
      </c>
      <c r="AB79" s="744">
        <f>SUM(AA68:AA79)</f>
        <v/>
      </c>
      <c r="AC79" s="746">
        <f>AB79/12</f>
        <v/>
      </c>
      <c r="AD79" s="744">
        <f>SUM(D79:Z79)</f>
        <v/>
      </c>
      <c r="AE79" s="744">
        <f>SUM(AD68:AD79)</f>
        <v/>
      </c>
      <c r="AF79" s="746">
        <f>AE79/12</f>
        <v/>
      </c>
    </row>
    <row r="80">
      <c r="A80" s="760" t="n">
        <v>43831</v>
      </c>
      <c r="B80" s="761" t="n">
        <v>86780</v>
      </c>
      <c r="C80" s="761" t="n">
        <v>27790</v>
      </c>
      <c r="D80" s="761" t="n">
        <v>1011</v>
      </c>
      <c r="E80" s="761" t="n">
        <v>12753</v>
      </c>
      <c r="F80" s="761" t="n">
        <v>80</v>
      </c>
      <c r="G80" s="761" t="n">
        <v>214</v>
      </c>
      <c r="H80" s="761" t="n">
        <v>280</v>
      </c>
      <c r="I80" s="761" t="n">
        <v>76.84999999999999</v>
      </c>
      <c r="J80" s="756" t="n">
        <v>0</v>
      </c>
      <c r="K80" s="761" t="n">
        <v>0</v>
      </c>
      <c r="L80" s="761" t="n">
        <v>80</v>
      </c>
      <c r="M80" s="562" t="n">
        <v>800</v>
      </c>
      <c r="N80" s="562" t="n">
        <v>400</v>
      </c>
      <c r="O80" s="757" t="inlineStr">
        <is>
          <t>-</t>
        </is>
      </c>
      <c r="P80" s="757" t="n">
        <v>0</v>
      </c>
      <c r="Q80" s="756" t="n">
        <v>0</v>
      </c>
      <c r="R80" s="757" t="n"/>
      <c r="S80" s="757" t="n"/>
      <c r="T80" s="757" t="n"/>
      <c r="U80" s="761" t="n">
        <v>0</v>
      </c>
      <c r="V80" s="761" t="n">
        <v>11200</v>
      </c>
      <c r="W80" s="758">
        <f>'Raw Food Data (KG)'!Q41</f>
        <v/>
      </c>
      <c r="X80" s="761" t="n">
        <v>5120</v>
      </c>
      <c r="Y80" s="761" t="n">
        <v>21000</v>
      </c>
      <c r="Z80" s="763" t="n"/>
      <c r="AA80" s="745">
        <f>SUM(B80:C80)</f>
        <v/>
      </c>
      <c r="AB80" s="744">
        <f>SUM(AA69:AA80)</f>
        <v/>
      </c>
      <c r="AC80" s="746">
        <f>AB80/12</f>
        <v/>
      </c>
      <c r="AD80" s="744">
        <f>SUM(D80:Z80)</f>
        <v/>
      </c>
      <c r="AE80" s="744">
        <f>SUM(AD69:AD80)</f>
        <v/>
      </c>
      <c r="AF80" s="746">
        <f>AE80/12</f>
        <v/>
      </c>
    </row>
    <row r="81">
      <c r="A81" s="760" t="n">
        <v>43862</v>
      </c>
      <c r="B81" s="761" t="n">
        <v>68320</v>
      </c>
      <c r="C81" s="761" t="n">
        <v>16600</v>
      </c>
      <c r="D81" s="761" t="n">
        <v>0</v>
      </c>
      <c r="E81" s="761" t="n">
        <v>7410</v>
      </c>
      <c r="F81" s="761" t="n">
        <v>56</v>
      </c>
      <c r="G81" s="761" t="n">
        <v>164</v>
      </c>
      <c r="H81" s="761" t="n">
        <v>250</v>
      </c>
      <c r="I81" s="761" t="n">
        <v>71.90000000000001</v>
      </c>
      <c r="J81" s="756" t="n">
        <v>0</v>
      </c>
      <c r="K81" s="761" t="n">
        <v>0</v>
      </c>
      <c r="L81" s="761" t="n">
        <v>0</v>
      </c>
      <c r="M81" s="562" t="n">
        <v>400</v>
      </c>
      <c r="N81" s="562" t="n">
        <v>200</v>
      </c>
      <c r="O81" s="757" t="inlineStr">
        <is>
          <t>-</t>
        </is>
      </c>
      <c r="P81" s="757" t="n">
        <v>0</v>
      </c>
      <c r="Q81" s="756" t="n">
        <v>0</v>
      </c>
      <c r="R81" s="757" t="n"/>
      <c r="S81" s="757" t="n"/>
      <c r="T81" s="757" t="n"/>
      <c r="U81" s="761" t="n">
        <v>0</v>
      </c>
      <c r="V81" s="761" t="n">
        <v>7900</v>
      </c>
      <c r="W81" s="758">
        <f>'Raw Food Data (KG)'!Q42</f>
        <v/>
      </c>
      <c r="X81" s="761" t="n">
        <v>6400</v>
      </c>
      <c r="Y81" s="761" t="n">
        <v>21000</v>
      </c>
      <c r="Z81" s="763" t="n"/>
      <c r="AA81" s="745">
        <f>SUM(B81:C81)</f>
        <v/>
      </c>
      <c r="AB81" s="744">
        <f>SUM(AA70:AA81)</f>
        <v/>
      </c>
      <c r="AC81" s="746">
        <f>AB81/12</f>
        <v/>
      </c>
      <c r="AD81" s="744">
        <f>SUM(D81:Z81)</f>
        <v/>
      </c>
      <c r="AE81" s="744">
        <f>SUM(AD70:AD81)</f>
        <v/>
      </c>
      <c r="AF81" s="746">
        <f>AE81/12</f>
        <v/>
      </c>
    </row>
    <row r="82">
      <c r="A82" s="760" t="n">
        <v>43891</v>
      </c>
      <c r="B82" s="761" t="n">
        <v>74000</v>
      </c>
      <c r="C82" s="761" t="n">
        <v>24090</v>
      </c>
      <c r="D82" s="761" t="n">
        <v>190</v>
      </c>
      <c r="E82" s="761" t="n">
        <v>10071</v>
      </c>
      <c r="F82" s="761" t="n">
        <v>77</v>
      </c>
      <c r="G82" s="761" t="n">
        <v>211</v>
      </c>
      <c r="H82" s="761" t="n">
        <v>356</v>
      </c>
      <c r="I82" s="761" t="n">
        <v>82.09999999999999</v>
      </c>
      <c r="J82" s="756" t="n">
        <v>0</v>
      </c>
      <c r="K82" s="761" t="n">
        <v>1020</v>
      </c>
      <c r="L82" s="761" t="n">
        <v>0</v>
      </c>
      <c r="M82" s="562" t="n">
        <v>400</v>
      </c>
      <c r="N82" s="562" t="n">
        <v>200</v>
      </c>
      <c r="O82" s="757" t="inlineStr">
        <is>
          <t>-</t>
        </is>
      </c>
      <c r="P82" s="757" t="n">
        <v>0</v>
      </c>
      <c r="Q82" s="756" t="n">
        <v>0</v>
      </c>
      <c r="R82" s="757" t="n"/>
      <c r="S82" s="757" t="n"/>
      <c r="T82" s="757" t="n"/>
      <c r="U82" s="761" t="n">
        <v>0</v>
      </c>
      <c r="V82" s="761" t="n">
        <v>10000</v>
      </c>
      <c r="W82" s="758">
        <f>'Raw Food Data (KG)'!Q43</f>
        <v/>
      </c>
      <c r="X82" s="761" t="n">
        <v>4800</v>
      </c>
      <c r="Y82" s="761" t="n">
        <v>21000</v>
      </c>
      <c r="Z82" s="763" t="n"/>
      <c r="AA82" s="745">
        <f>SUM(B82:C82)</f>
        <v/>
      </c>
      <c r="AB82" s="744">
        <f>SUM(AA71:AA82)</f>
        <v/>
      </c>
      <c r="AC82" s="746">
        <f>AB82/12</f>
        <v/>
      </c>
      <c r="AD82" s="744">
        <f>SUM(D82:Z82)</f>
        <v/>
      </c>
      <c r="AE82" s="744">
        <f>SUM(AD71:AD82)</f>
        <v/>
      </c>
      <c r="AF82" s="746">
        <f>AE82/12</f>
        <v/>
      </c>
    </row>
    <row r="83">
      <c r="A83" s="760" t="n">
        <v>43922</v>
      </c>
      <c r="B83" s="761" t="n">
        <v>77800</v>
      </c>
      <c r="C83" s="761" t="n">
        <v>24780</v>
      </c>
      <c r="D83" s="761" t="n">
        <v>174</v>
      </c>
      <c r="E83" s="761" t="n">
        <v>8981</v>
      </c>
      <c r="F83" s="761" t="n">
        <v>67</v>
      </c>
      <c r="G83" s="761" t="n">
        <v>214</v>
      </c>
      <c r="H83" s="761" t="n">
        <v>284</v>
      </c>
      <c r="I83" s="761" t="n">
        <v>136</v>
      </c>
      <c r="J83" s="756" t="n">
        <v>0</v>
      </c>
      <c r="K83" s="761" t="n">
        <v>0</v>
      </c>
      <c r="L83" s="761" t="n">
        <v>0</v>
      </c>
      <c r="M83" s="562" t="n">
        <v>400</v>
      </c>
      <c r="N83" s="562" t="n">
        <v>200</v>
      </c>
      <c r="O83" s="757" t="inlineStr">
        <is>
          <t>-</t>
        </is>
      </c>
      <c r="P83" s="757" t="n">
        <v>0</v>
      </c>
      <c r="Q83" s="756" t="n">
        <v>0</v>
      </c>
      <c r="R83" s="757" t="n"/>
      <c r="S83" s="757" t="n"/>
      <c r="T83" s="757" t="n"/>
      <c r="U83" s="761" t="n"/>
      <c r="V83" s="761" t="n">
        <v>5200</v>
      </c>
      <c r="W83" s="758">
        <f>'Raw Food Data (KG)'!Q44</f>
        <v/>
      </c>
      <c r="X83" s="761" t="n">
        <v>4800</v>
      </c>
      <c r="Y83" s="761" t="n">
        <v>24500</v>
      </c>
      <c r="Z83" s="763" t="n"/>
      <c r="AA83" s="745">
        <f>SUM(B83:C83)</f>
        <v/>
      </c>
      <c r="AB83" s="744">
        <f>SUM(AA72:AA83)</f>
        <v/>
      </c>
      <c r="AC83" s="746">
        <f>AB83/12</f>
        <v/>
      </c>
      <c r="AD83" s="744">
        <f>SUM(D83:Z83)</f>
        <v/>
      </c>
      <c r="AE83" s="744">
        <f>SUM(AD72:AD83)</f>
        <v/>
      </c>
      <c r="AF83" s="746">
        <f>AE83/12</f>
        <v/>
      </c>
    </row>
    <row r="84">
      <c r="A84" s="760" t="n">
        <v>43952</v>
      </c>
      <c r="B84" s="761" t="n">
        <v>95690</v>
      </c>
      <c r="C84" s="761" t="n">
        <v>46630</v>
      </c>
      <c r="D84" s="761" t="n">
        <v>862</v>
      </c>
      <c r="E84" s="761" t="n">
        <v>9906</v>
      </c>
      <c r="F84" s="761" t="n">
        <v>76</v>
      </c>
      <c r="G84" s="761" t="n">
        <v>1743</v>
      </c>
      <c r="H84" s="761" t="n">
        <v>291</v>
      </c>
      <c r="I84" s="761" t="n">
        <v>223.15</v>
      </c>
      <c r="J84" s="756" t="n">
        <v>10.829</v>
      </c>
      <c r="K84" s="761" t="n">
        <v>863</v>
      </c>
      <c r="L84" s="761" t="n">
        <v>0</v>
      </c>
      <c r="M84" s="562" t="n">
        <v>800</v>
      </c>
      <c r="N84" s="562" t="n">
        <v>400</v>
      </c>
      <c r="O84" s="757" t="inlineStr">
        <is>
          <t>-</t>
        </is>
      </c>
      <c r="P84" s="757">
        <f>0.67*163</f>
        <v/>
      </c>
      <c r="Q84" s="756" t="n">
        <v>2</v>
      </c>
      <c r="R84" s="757" t="n"/>
      <c r="S84" s="757" t="n"/>
      <c r="T84" s="757" t="n"/>
      <c r="U84" s="761">
        <f>27*27</f>
        <v/>
      </c>
      <c r="V84" s="761" t="n">
        <v>11500</v>
      </c>
      <c r="W84" s="758">
        <f>'Raw Food Data (KG)'!Q45</f>
        <v/>
      </c>
      <c r="X84" s="761" t="n">
        <v>6400</v>
      </c>
      <c r="Y84" s="761" t="n">
        <v>28000</v>
      </c>
      <c r="Z84" s="763" t="n"/>
      <c r="AA84" s="745">
        <f>SUM(B84:C84)</f>
        <v/>
      </c>
      <c r="AB84" s="744">
        <f>SUM(AA73:AA84)</f>
        <v/>
      </c>
      <c r="AC84" s="746">
        <f>AB84/12</f>
        <v/>
      </c>
      <c r="AD84" s="744">
        <f>SUM(D84:Z84)</f>
        <v/>
      </c>
      <c r="AE84" s="744">
        <f>SUM(AD73:AD84)</f>
        <v/>
      </c>
      <c r="AF84" s="746">
        <f>AE84/12</f>
        <v/>
      </c>
    </row>
    <row r="85">
      <c r="A85" s="760" t="n">
        <v>43983</v>
      </c>
      <c r="B85" s="761" t="n">
        <v>100890</v>
      </c>
      <c r="C85" s="761" t="n">
        <v>43240</v>
      </c>
      <c r="D85" s="761" t="n">
        <v>657</v>
      </c>
      <c r="E85" s="761" t="n">
        <v>12620</v>
      </c>
      <c r="F85" s="761" t="n">
        <v>88</v>
      </c>
      <c r="G85" s="761" t="n">
        <v>2264</v>
      </c>
      <c r="H85" s="761" t="n">
        <v>322</v>
      </c>
      <c r="I85" s="761" t="n">
        <v>145.1</v>
      </c>
      <c r="J85" s="756" t="n">
        <v>10.52</v>
      </c>
      <c r="K85" s="761" t="n">
        <v>982</v>
      </c>
      <c r="L85" s="761" t="n">
        <v>180</v>
      </c>
      <c r="M85" s="562" t="n">
        <v>1600</v>
      </c>
      <c r="N85" s="562" t="n">
        <v>400</v>
      </c>
      <c r="O85" s="757" t="inlineStr">
        <is>
          <t>-</t>
        </is>
      </c>
      <c r="P85" s="757">
        <f>0.67*250</f>
        <v/>
      </c>
      <c r="Q85" s="756" t="n">
        <v>0</v>
      </c>
      <c r="R85" s="757" t="n"/>
      <c r="S85" s="757" t="n"/>
      <c r="T85" s="757" t="n"/>
      <c r="U85" s="761">
        <f>23*27+1*4.5+12*35</f>
        <v/>
      </c>
      <c r="V85" s="761" t="n">
        <v>7200</v>
      </c>
      <c r="W85" s="758">
        <f>'Raw Food Data (KG)'!Q46</f>
        <v/>
      </c>
      <c r="X85" s="761" t="n">
        <v>6400</v>
      </c>
      <c r="Y85" s="761" t="n">
        <v>28000</v>
      </c>
      <c r="Z85" s="763" t="n"/>
      <c r="AA85" s="745">
        <f>SUM(B85:C85)</f>
        <v/>
      </c>
      <c r="AB85" s="744">
        <f>SUM(AA74:AA85)</f>
        <v/>
      </c>
      <c r="AC85" s="746">
        <f>AB85/12</f>
        <v/>
      </c>
      <c r="AD85" s="744">
        <f>SUM(D85:Z85)</f>
        <v/>
      </c>
      <c r="AE85" s="744">
        <f>SUM(AD74:AD85)</f>
        <v/>
      </c>
      <c r="AF85" s="746">
        <f>AE85/12</f>
        <v/>
      </c>
      <c r="AG85" s="745">
        <f>(AC87-AC25)/AC25</f>
        <v/>
      </c>
    </row>
    <row r="86">
      <c r="A86" s="760" t="n">
        <v>44013</v>
      </c>
      <c r="B86" s="758" t="n">
        <v>99540</v>
      </c>
      <c r="C86" s="758" t="n">
        <v>25450</v>
      </c>
      <c r="D86" s="758" t="n">
        <v>481</v>
      </c>
      <c r="E86" s="758" t="n">
        <v>12224</v>
      </c>
      <c r="F86" s="758" t="n">
        <v>107</v>
      </c>
      <c r="G86" s="758" t="n">
        <v>1459</v>
      </c>
      <c r="H86" s="758" t="n">
        <v>340</v>
      </c>
      <c r="I86" s="758" t="n">
        <v>233.8</v>
      </c>
      <c r="J86" s="766" t="n">
        <v>0.851</v>
      </c>
      <c r="K86" s="758" t="n">
        <v>0</v>
      </c>
      <c r="L86" s="758" t="n">
        <v>70</v>
      </c>
      <c r="M86" s="564" t="n">
        <v>400</v>
      </c>
      <c r="N86" s="564" t="n">
        <v>200</v>
      </c>
      <c r="O86" s="767" t="inlineStr">
        <is>
          <t>-</t>
        </is>
      </c>
      <c r="P86" s="767">
        <f>0.67*220</f>
        <v/>
      </c>
      <c r="Q86" s="766" t="n">
        <v>6</v>
      </c>
      <c r="R86" s="767" t="n"/>
      <c r="S86" s="767" t="n"/>
      <c r="T86" s="767" t="n"/>
      <c r="U86" s="758" t="n">
        <v>0</v>
      </c>
      <c r="V86" s="758" t="n">
        <v>12300</v>
      </c>
      <c r="W86" s="758">
        <f>'Raw Food Data (KG)'!Q47</f>
        <v/>
      </c>
      <c r="X86" s="758" t="n">
        <v>4800</v>
      </c>
      <c r="Y86" s="758" t="n">
        <v>17500</v>
      </c>
      <c r="Z86" s="768" t="n"/>
      <c r="AA86" s="745">
        <f>SUM(B86:C86)</f>
        <v/>
      </c>
      <c r="AB86" s="744">
        <f>SUM(AA75:AA86)</f>
        <v/>
      </c>
      <c r="AC86" s="746">
        <f>AB86/12</f>
        <v/>
      </c>
      <c r="AD86" s="744">
        <f>SUM(D86:Z86)</f>
        <v/>
      </c>
      <c r="AE86" s="744">
        <f>SUM(AD75:AD86)</f>
        <v/>
      </c>
      <c r="AF86" s="746">
        <f>AE86/12</f>
        <v/>
      </c>
    </row>
    <row r="87">
      <c r="A87" s="760" t="n">
        <v>44044</v>
      </c>
      <c r="B87" s="758" t="n">
        <v>98190</v>
      </c>
      <c r="C87" s="758" t="n">
        <v>25100</v>
      </c>
      <c r="D87" s="758" t="n">
        <v>735</v>
      </c>
      <c r="E87" s="758" t="n">
        <v>11764</v>
      </c>
      <c r="F87" s="758" t="n">
        <v>107</v>
      </c>
      <c r="G87" s="758" t="n">
        <v>1874</v>
      </c>
      <c r="H87" s="758" t="n">
        <v>343</v>
      </c>
      <c r="I87" s="758" t="n">
        <v>137.15</v>
      </c>
      <c r="J87" s="766" t="n">
        <v>0</v>
      </c>
      <c r="K87" s="758" t="n">
        <v>734</v>
      </c>
      <c r="L87" s="758" t="n">
        <v>100</v>
      </c>
      <c r="M87" s="564" t="n">
        <v>1200</v>
      </c>
      <c r="N87" s="564" t="n">
        <v>600</v>
      </c>
      <c r="O87" s="767" t="inlineStr">
        <is>
          <t>-</t>
        </is>
      </c>
      <c r="P87" s="767" t="n">
        <v>0</v>
      </c>
      <c r="Q87" s="766" t="n">
        <v>0</v>
      </c>
      <c r="R87" s="767" t="n"/>
      <c r="S87" s="767" t="n"/>
      <c r="T87" s="767" t="n"/>
      <c r="U87" s="758">
        <f>5*27+27*35</f>
        <v/>
      </c>
      <c r="V87" s="758" t="n">
        <v>12400</v>
      </c>
      <c r="W87" s="758">
        <f>'Raw Food Data (KG)'!Q48</f>
        <v/>
      </c>
      <c r="X87" s="758" t="n">
        <v>4800</v>
      </c>
      <c r="Y87" s="758" t="n">
        <v>24000</v>
      </c>
      <c r="Z87" s="768" t="n"/>
      <c r="AA87" s="745">
        <f>SUM(B87:C87)</f>
        <v/>
      </c>
      <c r="AB87" s="744">
        <f>SUM(AA76:AA87)</f>
        <v/>
      </c>
      <c r="AC87" s="746">
        <f>AB87/12</f>
        <v/>
      </c>
      <c r="AD87" s="744">
        <f>SUM(D87:Z87)</f>
        <v/>
      </c>
      <c r="AE87" s="744">
        <f>SUM(AD76:AD87)</f>
        <v/>
      </c>
      <c r="AF87" s="746">
        <f>AE87/12</f>
        <v/>
      </c>
    </row>
    <row r="88">
      <c r="A88" s="760" t="n">
        <v>44075</v>
      </c>
      <c r="B88" s="758" t="n">
        <v>103480</v>
      </c>
      <c r="C88" s="758" t="n">
        <v>26450</v>
      </c>
      <c r="D88" s="758" t="n">
        <v>2051</v>
      </c>
      <c r="E88" s="758" t="n">
        <v>12331</v>
      </c>
      <c r="F88" s="758" t="n">
        <v>105</v>
      </c>
      <c r="G88" s="758" t="n">
        <v>266</v>
      </c>
      <c r="H88" s="758" t="n">
        <v>344</v>
      </c>
      <c r="I88" s="758" t="n">
        <v>168.75</v>
      </c>
      <c r="J88" s="766" t="n">
        <v>0.789</v>
      </c>
      <c r="K88" s="758" t="n">
        <v>643</v>
      </c>
      <c r="L88" s="758" t="n">
        <v>0</v>
      </c>
      <c r="M88" s="564" t="n">
        <v>800</v>
      </c>
      <c r="N88" s="564" t="n">
        <v>400</v>
      </c>
      <c r="O88" s="767" t="inlineStr">
        <is>
          <t>-</t>
        </is>
      </c>
      <c r="P88" s="767">
        <f>0.67*123</f>
        <v/>
      </c>
      <c r="Q88" s="766" t="n">
        <v>0</v>
      </c>
      <c r="R88" s="767" t="n"/>
      <c r="S88" s="767" t="n"/>
      <c r="T88" s="767" t="n"/>
      <c r="U88" s="758" t="n">
        <v>0</v>
      </c>
      <c r="V88" s="758" t="n">
        <v>10400</v>
      </c>
      <c r="W88" s="758">
        <f>'Raw Food Data (KG)'!Q49</f>
        <v/>
      </c>
      <c r="X88" s="758" t="n">
        <v>6400</v>
      </c>
      <c r="Y88" s="758" t="n">
        <v>21000</v>
      </c>
      <c r="Z88" s="768" t="n"/>
      <c r="AA88" s="745">
        <f>SUM(B88:C88)</f>
        <v/>
      </c>
      <c r="AB88" s="744">
        <f>SUM(AA77:AA88)</f>
        <v/>
      </c>
      <c r="AC88" s="746">
        <f>AB88/12</f>
        <v/>
      </c>
      <c r="AD88" s="744">
        <f>SUM(D88:Z88)</f>
        <v/>
      </c>
      <c r="AE88" s="744">
        <f>SUM(AD77:AD88)</f>
        <v/>
      </c>
      <c r="AF88" s="746">
        <f>AE88/12</f>
        <v/>
      </c>
    </row>
    <row r="89">
      <c r="A89" s="760" t="n">
        <v>44105</v>
      </c>
      <c r="B89" s="758" t="n">
        <v>99600</v>
      </c>
      <c r="C89" s="758" t="n">
        <v>18840</v>
      </c>
      <c r="D89" s="758" t="n">
        <v>807</v>
      </c>
      <c r="E89" s="758" t="n">
        <v>13196</v>
      </c>
      <c r="F89" s="758" t="n">
        <v>96</v>
      </c>
      <c r="G89" s="758" t="n">
        <v>249</v>
      </c>
      <c r="H89" s="758" t="n">
        <v>348</v>
      </c>
      <c r="I89" s="758" t="n">
        <v>162.7</v>
      </c>
      <c r="J89" s="766" t="n">
        <v>0</v>
      </c>
      <c r="K89" s="758" t="n">
        <v>971</v>
      </c>
      <c r="L89" s="758" t="n">
        <v>0</v>
      </c>
      <c r="M89" s="564" t="n">
        <v>400</v>
      </c>
      <c r="N89" s="564" t="n">
        <v>400</v>
      </c>
      <c r="O89" s="767" t="inlineStr">
        <is>
          <t>-</t>
        </is>
      </c>
      <c r="P89" s="767">
        <f>0.67*86</f>
        <v/>
      </c>
      <c r="Q89" s="766" t="n">
        <v>6</v>
      </c>
      <c r="R89" s="767" t="n"/>
      <c r="S89" s="767" t="n"/>
      <c r="T89" s="767" t="n"/>
      <c r="U89" s="758">
        <f>29*27+2*4.5</f>
        <v/>
      </c>
      <c r="V89" s="758" t="n">
        <v>12200</v>
      </c>
      <c r="W89" s="758">
        <f>'Raw Food Data (KG)'!Q50</f>
        <v/>
      </c>
      <c r="X89" s="758" t="n">
        <v>4800</v>
      </c>
      <c r="Y89" s="758" t="n">
        <v>24500</v>
      </c>
      <c r="Z89" s="768" t="n"/>
      <c r="AA89" s="745">
        <f>SUM(B89:C89)</f>
        <v/>
      </c>
      <c r="AB89" s="744">
        <f>SUM(AA78:AA89)</f>
        <v/>
      </c>
      <c r="AC89" s="746">
        <f>AB89/12</f>
        <v/>
      </c>
      <c r="AD89" s="744">
        <f>SUM(D89:Z89)</f>
        <v/>
      </c>
      <c r="AE89" s="744">
        <f>SUM(AD78:AD89)</f>
        <v/>
      </c>
      <c r="AF89" s="746">
        <f>AE89/12</f>
        <v/>
      </c>
    </row>
    <row r="90">
      <c r="A90" s="760" t="n">
        <v>44136</v>
      </c>
      <c r="B90" s="758" t="n">
        <v>100780</v>
      </c>
      <c r="C90" s="758" t="n">
        <v>20400</v>
      </c>
      <c r="D90" s="758" t="n">
        <v>866</v>
      </c>
      <c r="E90" s="758" t="n">
        <v>11978</v>
      </c>
      <c r="F90" s="758" t="n">
        <v>100</v>
      </c>
      <c r="G90" s="758" t="n">
        <v>321</v>
      </c>
      <c r="H90" s="758" t="n">
        <v>477</v>
      </c>
      <c r="I90" s="758" t="n">
        <v>242.15</v>
      </c>
      <c r="J90" s="766" t="n">
        <v>0.464</v>
      </c>
      <c r="K90" s="758" t="n">
        <v>781</v>
      </c>
      <c r="L90" s="758" t="n">
        <v>0</v>
      </c>
      <c r="M90" s="564" t="n">
        <v>800</v>
      </c>
      <c r="N90" s="564" t="n">
        <v>400</v>
      </c>
      <c r="O90" s="767" t="inlineStr">
        <is>
          <t>-</t>
        </is>
      </c>
      <c r="P90" s="767">
        <f>0.67*125</f>
        <v/>
      </c>
      <c r="Q90" s="766" t="n">
        <v>7</v>
      </c>
      <c r="R90" s="767" t="n"/>
      <c r="S90" s="767" t="n"/>
      <c r="T90" s="767" t="n"/>
      <c r="U90" s="758">
        <f>(18+29)*27+7.5*2+(22+2)*4.5+1*35</f>
        <v/>
      </c>
      <c r="V90" s="758" t="n">
        <v>13500</v>
      </c>
      <c r="W90" s="758">
        <f>'Raw Food Data (KG)'!Q51</f>
        <v/>
      </c>
      <c r="X90" s="758" t="n">
        <v>3200</v>
      </c>
      <c r="Y90" s="758" t="n">
        <v>21000</v>
      </c>
      <c r="Z90" s="768" t="n"/>
      <c r="AA90" s="745">
        <f>SUM(B90:C90)</f>
        <v/>
      </c>
      <c r="AB90" s="744">
        <f>SUM(AA79:AA90)</f>
        <v/>
      </c>
      <c r="AC90" s="746">
        <f>AB90/12</f>
        <v/>
      </c>
      <c r="AD90" s="744">
        <f>SUM(D90:Z90)</f>
        <v/>
      </c>
      <c r="AE90" s="744">
        <f>SUM(AD79:AD90)</f>
        <v/>
      </c>
      <c r="AF90" s="746">
        <f>AE90/12</f>
        <v/>
      </c>
    </row>
    <row r="91">
      <c r="A91" s="760" t="n">
        <v>44166</v>
      </c>
      <c r="B91" s="758" t="n">
        <v>92840</v>
      </c>
      <c r="C91" s="758" t="n">
        <v>19120</v>
      </c>
      <c r="D91" s="758" t="n">
        <v>731</v>
      </c>
      <c r="E91" s="758" t="n">
        <v>11422</v>
      </c>
      <c r="F91" s="758" t="n">
        <v>86</v>
      </c>
      <c r="G91" s="758" t="n">
        <v>321</v>
      </c>
      <c r="H91" s="758" t="n">
        <v>352</v>
      </c>
      <c r="I91" s="758" t="n">
        <v>161.05</v>
      </c>
      <c r="J91" s="766" t="n">
        <v>0.928</v>
      </c>
      <c r="K91" s="758" t="n">
        <v>971</v>
      </c>
      <c r="L91" s="758" t="n">
        <v>0</v>
      </c>
      <c r="M91" s="564" t="n">
        <v>600</v>
      </c>
      <c r="N91" s="564" t="n">
        <v>200</v>
      </c>
      <c r="O91" s="767" t="inlineStr">
        <is>
          <t>-</t>
        </is>
      </c>
      <c r="P91" s="767">
        <f>0.67*100</f>
        <v/>
      </c>
      <c r="Q91" s="766" t="n">
        <v>0</v>
      </c>
      <c r="R91" s="767" t="n"/>
      <c r="S91" s="767" t="n"/>
      <c r="T91" s="767" t="n"/>
      <c r="U91" s="758" t="n">
        <v>0</v>
      </c>
      <c r="V91" s="758" t="n">
        <v>14600</v>
      </c>
      <c r="W91" s="758">
        <f>'Raw Food Data (KG)'!Q52</f>
        <v/>
      </c>
      <c r="X91" s="758" t="n">
        <v>3200</v>
      </c>
      <c r="Y91" s="758" t="n">
        <v>10500</v>
      </c>
      <c r="Z91" s="768" t="n"/>
      <c r="AA91" s="745">
        <f>SUM(B91:C91)</f>
        <v/>
      </c>
      <c r="AB91" s="744">
        <f>SUM(AA80:AA91)</f>
        <v/>
      </c>
      <c r="AC91" s="746">
        <f>AB91/12</f>
        <v/>
      </c>
      <c r="AD91" s="744">
        <f>SUM(D91:Z91)</f>
        <v/>
      </c>
      <c r="AE91" s="744">
        <f>SUM(AD80:AD91)</f>
        <v/>
      </c>
      <c r="AF91" s="746">
        <f>AE91/12</f>
        <v/>
      </c>
    </row>
    <row r="92">
      <c r="A92" s="760" t="n">
        <v>44197</v>
      </c>
      <c r="B92" s="758" t="n">
        <v>82270</v>
      </c>
      <c r="C92" s="758" t="n">
        <v>19600</v>
      </c>
      <c r="D92" s="758" t="n">
        <v>291</v>
      </c>
      <c r="E92" s="758" t="n">
        <v>12557</v>
      </c>
      <c r="F92" s="758" t="n">
        <v>82</v>
      </c>
      <c r="G92" s="758" t="n">
        <v>262</v>
      </c>
      <c r="H92" s="758" t="n">
        <v>305</v>
      </c>
      <c r="I92" s="758" t="n">
        <v>83.55</v>
      </c>
      <c r="J92" s="766" t="n">
        <v>4.64</v>
      </c>
      <c r="K92" s="758" t="n">
        <v>1544</v>
      </c>
      <c r="L92" s="758" t="n">
        <v>0</v>
      </c>
      <c r="M92" s="564" t="n">
        <v>600</v>
      </c>
      <c r="N92" s="564" t="n">
        <v>400</v>
      </c>
      <c r="O92" s="767" t="inlineStr">
        <is>
          <t>-</t>
        </is>
      </c>
      <c r="P92" s="767">
        <f>0.67*112</f>
        <v/>
      </c>
      <c r="Q92" s="766" t="n">
        <v>0</v>
      </c>
      <c r="R92" s="767" t="n"/>
      <c r="S92" s="767" t="n"/>
      <c r="T92" s="767" t="n"/>
      <c r="U92" s="758" t="n">
        <v>0</v>
      </c>
      <c r="V92" s="758" t="n">
        <v>18700</v>
      </c>
      <c r="W92" s="758">
        <f>'Raw Food Data (KG)'!Q53</f>
        <v/>
      </c>
      <c r="X92" s="758" t="n">
        <v>3200</v>
      </c>
      <c r="Y92" s="758" t="n">
        <v>24500</v>
      </c>
      <c r="Z92" s="768" t="n"/>
      <c r="AA92" s="745">
        <f>SUM(B92:C92)</f>
        <v/>
      </c>
      <c r="AB92" s="744">
        <f>SUM(AA81:AA92)</f>
        <v/>
      </c>
      <c r="AC92" s="746">
        <f>AB92/12</f>
        <v/>
      </c>
      <c r="AD92" s="744">
        <f>SUM(D92:Z92)</f>
        <v/>
      </c>
      <c r="AE92" s="744">
        <f>SUM(AD81:AD92)</f>
        <v/>
      </c>
      <c r="AF92" s="746">
        <f>AE92/12</f>
        <v/>
      </c>
    </row>
    <row r="93">
      <c r="A93" s="760" t="n">
        <v>44228</v>
      </c>
      <c r="B93" s="758" t="n">
        <v>91040</v>
      </c>
      <c r="C93" s="758" t="n">
        <v>16990</v>
      </c>
      <c r="D93" s="758" t="n">
        <v>90</v>
      </c>
      <c r="E93" s="758" t="n">
        <v>11838</v>
      </c>
      <c r="F93" s="758" t="n">
        <v>89</v>
      </c>
      <c r="G93" s="758" t="n">
        <v>1701</v>
      </c>
      <c r="H93" s="758" t="n">
        <v>366</v>
      </c>
      <c r="I93" s="758" t="n">
        <v>185.05</v>
      </c>
      <c r="J93" s="766" t="n">
        <v>3.911</v>
      </c>
      <c r="K93" s="758" t="n">
        <v>0</v>
      </c>
      <c r="L93" s="758" t="n">
        <v>0</v>
      </c>
      <c r="M93" s="564" t="n">
        <v>600</v>
      </c>
      <c r="N93" s="564" t="n">
        <v>400</v>
      </c>
      <c r="O93" s="767" t="inlineStr">
        <is>
          <t>-</t>
        </is>
      </c>
      <c r="P93" s="767" t="n">
        <v>0</v>
      </c>
      <c r="Q93" s="766" t="n">
        <v>0</v>
      </c>
      <c r="R93" s="767" t="n"/>
      <c r="S93" s="767" t="n"/>
      <c r="T93" s="767" t="n"/>
      <c r="U93" s="758">
        <f>24*27+4.5*1</f>
        <v/>
      </c>
      <c r="V93" s="758" t="n">
        <v>6000</v>
      </c>
      <c r="W93" s="758">
        <f>'Raw Food Data (KG)'!Q54</f>
        <v/>
      </c>
      <c r="X93" s="758" t="n">
        <v>4800</v>
      </c>
      <c r="Y93" s="758" t="n">
        <v>14000</v>
      </c>
      <c r="Z93" s="768" t="n"/>
      <c r="AA93" s="745">
        <f>SUM(B93:C93)</f>
        <v/>
      </c>
      <c r="AB93" s="744">
        <f>SUM(AA82:AA93)</f>
        <v/>
      </c>
      <c r="AC93" s="746">
        <f>AB93/12</f>
        <v/>
      </c>
      <c r="AD93" s="744">
        <f>SUM(D93:Z93)</f>
        <v/>
      </c>
      <c r="AE93" s="744">
        <f>SUM(AD82:AD93)</f>
        <v/>
      </c>
      <c r="AF93" s="746">
        <f>AE93/12</f>
        <v/>
      </c>
    </row>
    <row r="94">
      <c r="A94" s="760" t="n">
        <v>44256</v>
      </c>
      <c r="B94" s="758" t="n">
        <v>108160</v>
      </c>
      <c r="C94" s="758" t="n">
        <v>20300</v>
      </c>
      <c r="D94" s="758" t="n">
        <v>588</v>
      </c>
      <c r="E94" s="758" t="n">
        <v>14191</v>
      </c>
      <c r="F94" s="758" t="n">
        <v>90</v>
      </c>
      <c r="G94" s="758" t="n">
        <v>251</v>
      </c>
      <c r="H94" s="758" t="n">
        <v>433</v>
      </c>
      <c r="I94" s="758" t="n">
        <v>142.6</v>
      </c>
      <c r="J94" s="766" t="n">
        <v>4.363</v>
      </c>
      <c r="K94" s="758" t="n">
        <v>758</v>
      </c>
      <c r="L94" s="758" t="n">
        <v>30</v>
      </c>
      <c r="M94" s="564" t="n">
        <v>400</v>
      </c>
      <c r="N94" s="564" t="n">
        <v>200</v>
      </c>
      <c r="O94" s="767" t="inlineStr">
        <is>
          <t>-</t>
        </is>
      </c>
      <c r="P94" s="767">
        <f>0.67*110</f>
        <v/>
      </c>
      <c r="Q94" s="766" t="n">
        <v>0</v>
      </c>
      <c r="R94" s="767" t="n"/>
      <c r="S94" s="767" t="n"/>
      <c r="T94" s="767" t="n"/>
      <c r="U94" s="758" t="n">
        <v>0</v>
      </c>
      <c r="V94" s="758" t="n">
        <v>14700</v>
      </c>
      <c r="W94" s="758">
        <f>'Raw Food Data (KG)'!Q55</f>
        <v/>
      </c>
      <c r="X94" s="758" t="n">
        <v>8000</v>
      </c>
      <c r="Y94" s="758" t="n">
        <v>17500</v>
      </c>
      <c r="Z94" s="768" t="n"/>
      <c r="AA94" s="745">
        <f>SUM(B94:C94)</f>
        <v/>
      </c>
      <c r="AB94" s="744">
        <f>SUM(AA83:AA94)</f>
        <v/>
      </c>
      <c r="AC94" s="746">
        <f>AB94/12</f>
        <v/>
      </c>
      <c r="AD94" s="744">
        <f>SUM(D94:Z94)</f>
        <v/>
      </c>
      <c r="AE94" s="744">
        <f>SUM(AD83:AD94)</f>
        <v/>
      </c>
      <c r="AF94" s="746">
        <f>AE94/12</f>
        <v/>
      </c>
    </row>
    <row r="95">
      <c r="A95" s="760" t="n">
        <v>44287</v>
      </c>
      <c r="B95" s="758" t="n">
        <v>97900</v>
      </c>
      <c r="C95" s="758" t="n">
        <v>25520</v>
      </c>
      <c r="D95" s="758" t="n">
        <v>317</v>
      </c>
      <c r="E95" s="758" t="n">
        <v>12749</v>
      </c>
      <c r="F95" s="758" t="n">
        <v>77</v>
      </c>
      <c r="G95" s="758" t="n">
        <v>1274</v>
      </c>
      <c r="H95" s="758" t="n">
        <v>383</v>
      </c>
      <c r="I95" s="758" t="n">
        <v>124.75</v>
      </c>
      <c r="J95" s="766" t="n">
        <v>0.356</v>
      </c>
      <c r="K95" s="758" t="n">
        <v>0</v>
      </c>
      <c r="L95" s="758" t="n">
        <v>130</v>
      </c>
      <c r="M95" s="564" t="n">
        <v>800</v>
      </c>
      <c r="N95" s="564" t="n">
        <v>400</v>
      </c>
      <c r="O95" s="767" t="inlineStr">
        <is>
          <t>-</t>
        </is>
      </c>
      <c r="P95" s="767">
        <f>0.67*180</f>
        <v/>
      </c>
      <c r="Q95" s="766" t="n">
        <v>0</v>
      </c>
      <c r="R95" s="767" t="n"/>
      <c r="S95" s="767" t="n"/>
      <c r="T95" s="767" t="n"/>
      <c r="U95" s="758" t="n">
        <v>0</v>
      </c>
      <c r="V95" s="758" t="n">
        <v>20500</v>
      </c>
      <c r="W95" s="758">
        <f>'Raw Food Data (KG)'!Q56</f>
        <v/>
      </c>
      <c r="X95" s="758" t="n">
        <v>4800</v>
      </c>
      <c r="Y95" s="758" t="n">
        <v>14000</v>
      </c>
      <c r="Z95" s="768" t="n"/>
      <c r="AA95" s="745">
        <f>SUM(B95:C95)</f>
        <v/>
      </c>
      <c r="AB95" s="744">
        <f>SUM(AA84:AA95)</f>
        <v/>
      </c>
      <c r="AC95" s="746">
        <f>AB95/12</f>
        <v/>
      </c>
      <c r="AD95" s="744">
        <f>SUM(D95:Z95)</f>
        <v/>
      </c>
      <c r="AE95" s="744">
        <f>SUM(AD84:AD95)</f>
        <v/>
      </c>
      <c r="AF95" s="746">
        <f>AE95/12</f>
        <v/>
      </c>
    </row>
    <row r="96">
      <c r="A96" s="760" t="n">
        <v>44317</v>
      </c>
      <c r="B96" s="758" t="n">
        <v>114090</v>
      </c>
      <c r="C96" s="758" t="n">
        <v>22770</v>
      </c>
      <c r="D96" s="758" t="n">
        <v>476</v>
      </c>
      <c r="E96" s="758" t="n">
        <v>12531</v>
      </c>
      <c r="F96" s="758" t="n">
        <v>77</v>
      </c>
      <c r="G96" s="758" t="n">
        <v>802</v>
      </c>
      <c r="H96" s="758" t="n">
        <v>563</v>
      </c>
      <c r="I96" s="758" t="n">
        <v>130.3</v>
      </c>
      <c r="J96" s="766" t="n">
        <v>5.415</v>
      </c>
      <c r="K96" s="758" t="n">
        <v>1085</v>
      </c>
      <c r="L96" s="758" t="n">
        <v>50</v>
      </c>
      <c r="M96" s="564" t="n">
        <v>800</v>
      </c>
      <c r="N96" s="564" t="n">
        <v>400</v>
      </c>
      <c r="O96" s="767" t="inlineStr">
        <is>
          <t>-</t>
        </is>
      </c>
      <c r="P96" s="767">
        <f>0.67*185</f>
        <v/>
      </c>
      <c r="Q96" s="766" t="n">
        <v>0</v>
      </c>
      <c r="R96" s="767" t="n"/>
      <c r="S96" s="767" t="n"/>
      <c r="T96" s="767" t="n"/>
      <c r="U96" s="758">
        <f>25*27</f>
        <v/>
      </c>
      <c r="V96" s="758" t="n">
        <v>10400</v>
      </c>
      <c r="W96" s="758">
        <f>'Raw Food Data (KG)'!Q57</f>
        <v/>
      </c>
      <c r="X96" s="758" t="n">
        <v>6400</v>
      </c>
      <c r="Y96" s="758" t="n">
        <v>17500</v>
      </c>
      <c r="Z96" s="768" t="n"/>
      <c r="AA96" s="745">
        <f>SUM(B96:C96)</f>
        <v/>
      </c>
      <c r="AB96" s="744">
        <f>SUM(AA85:AA96)</f>
        <v/>
      </c>
      <c r="AC96" s="746">
        <f>AB96/12</f>
        <v/>
      </c>
      <c r="AD96" s="744">
        <f>SUM(D96:Z96)</f>
        <v/>
      </c>
      <c r="AE96" s="744">
        <f>SUM(AD85:AD96)</f>
        <v/>
      </c>
      <c r="AF96" s="746">
        <f>AE96/12</f>
        <v/>
      </c>
    </row>
    <row r="97">
      <c r="A97" s="760" t="n">
        <v>44348</v>
      </c>
      <c r="B97" s="758" t="n">
        <v>91870</v>
      </c>
      <c r="C97" s="758" t="n">
        <v>19320</v>
      </c>
      <c r="D97" s="758" t="n">
        <v>1449</v>
      </c>
      <c r="E97" s="758" t="n">
        <v>13034</v>
      </c>
      <c r="F97" s="758" t="n">
        <v>73</v>
      </c>
      <c r="G97" s="758" t="n">
        <v>259</v>
      </c>
      <c r="H97" s="758" t="n">
        <v>350</v>
      </c>
      <c r="I97" s="758" t="n">
        <v>115.7</v>
      </c>
      <c r="J97" s="766" t="n">
        <v>3.868</v>
      </c>
      <c r="K97" s="758" t="n">
        <v>908</v>
      </c>
      <c r="L97" s="758" t="n">
        <v>130</v>
      </c>
      <c r="M97" s="564" t="n">
        <v>800</v>
      </c>
      <c r="N97" s="564" t="n">
        <v>400</v>
      </c>
      <c r="O97" s="767" t="inlineStr">
        <is>
          <t>-</t>
        </is>
      </c>
      <c r="P97" s="767">
        <f>0.67*120</f>
        <v/>
      </c>
      <c r="Q97" s="766" t="n">
        <v>0</v>
      </c>
      <c r="R97" s="767" t="n"/>
      <c r="S97" s="767" t="n"/>
      <c r="T97" s="767" t="n"/>
      <c r="U97" s="758" t="n">
        <v>0</v>
      </c>
      <c r="V97" s="758" t="n">
        <v>10400</v>
      </c>
      <c r="W97" s="758">
        <f>'Raw Food Data (KG)'!Q58</f>
        <v/>
      </c>
      <c r="X97" s="758" t="n">
        <v>4800</v>
      </c>
      <c r="Y97" s="758" t="n">
        <v>24500</v>
      </c>
      <c r="Z97" s="768" t="n"/>
      <c r="AA97" s="745">
        <f>SUM(B97:C97)</f>
        <v/>
      </c>
      <c r="AB97" s="744">
        <f>SUM(AA86:AA97)</f>
        <v/>
      </c>
      <c r="AC97" s="746">
        <f>AB97/12</f>
        <v/>
      </c>
      <c r="AD97" s="744">
        <f>SUM(D97:Z97)</f>
        <v/>
      </c>
      <c r="AE97" s="744">
        <f>SUM(AD86:AD97)</f>
        <v/>
      </c>
      <c r="AF97" s="746">
        <f>AE97/12</f>
        <v/>
      </c>
      <c r="AH97" s="764">
        <f>AB97+AE97</f>
        <v/>
      </c>
    </row>
    <row r="98">
      <c r="A98" s="760" t="n">
        <v>44378</v>
      </c>
      <c r="B98" s="761" t="n">
        <v>94540</v>
      </c>
      <c r="C98" s="761" t="n">
        <v>23190</v>
      </c>
      <c r="D98" s="761" t="n">
        <v>1001</v>
      </c>
      <c r="E98" s="761" t="n">
        <v>12407</v>
      </c>
      <c r="F98" s="761" t="n">
        <v>79</v>
      </c>
      <c r="G98" s="761" t="n">
        <v>1049</v>
      </c>
      <c r="H98" s="761" t="n">
        <v>535</v>
      </c>
      <c r="I98" s="761" t="n">
        <v>81.84999999999999</v>
      </c>
      <c r="J98" s="756" t="n">
        <v>3.868</v>
      </c>
      <c r="K98" s="761" t="n">
        <v>1043</v>
      </c>
      <c r="L98" s="761" t="n">
        <v>150</v>
      </c>
      <c r="M98" s="562" t="n">
        <v>800</v>
      </c>
      <c r="N98" s="562" t="n">
        <v>400</v>
      </c>
      <c r="O98" s="757" t="inlineStr">
        <is>
          <t>-</t>
        </is>
      </c>
      <c r="P98" s="757">
        <f>0.67*150</f>
        <v/>
      </c>
      <c r="Q98" s="756" t="n">
        <v>0</v>
      </c>
      <c r="R98" s="757" t="n"/>
      <c r="S98" s="757" t="n"/>
      <c r="T98" s="757" t="n"/>
      <c r="U98" s="761" t="n">
        <v>0</v>
      </c>
      <c r="V98" s="761" t="n">
        <v>16700</v>
      </c>
      <c r="W98" s="758">
        <f>'Raw Food Data (KG)'!Q59</f>
        <v/>
      </c>
      <c r="X98" s="761" t="n">
        <v>8000</v>
      </c>
      <c r="Y98" s="761" t="n">
        <v>21000</v>
      </c>
      <c r="Z98" s="763" t="n"/>
      <c r="AA98" s="745">
        <f>SUM(B98:C98)</f>
        <v/>
      </c>
      <c r="AB98" s="744">
        <f>SUM(AA87:AA98)</f>
        <v/>
      </c>
      <c r="AC98" s="746">
        <f>AB98/12</f>
        <v/>
      </c>
      <c r="AD98" s="744">
        <f>SUM(D98:Z98)</f>
        <v/>
      </c>
      <c r="AE98" s="744">
        <f>SUM(AD87:AD98)</f>
        <v/>
      </c>
      <c r="AF98" s="746">
        <f>AE98/12</f>
        <v/>
      </c>
    </row>
    <row r="99">
      <c r="A99" s="760" t="n">
        <v>44409</v>
      </c>
      <c r="B99" s="761" t="n">
        <v>104460</v>
      </c>
      <c r="C99" s="761" t="n">
        <v>27760</v>
      </c>
      <c r="D99" s="761" t="n">
        <v>1112</v>
      </c>
      <c r="E99" s="761" t="n">
        <v>14252</v>
      </c>
      <c r="F99" s="761" t="n">
        <v>82</v>
      </c>
      <c r="G99" s="761" t="n">
        <v>294</v>
      </c>
      <c r="H99" s="761" t="n">
        <v>356</v>
      </c>
      <c r="I99" s="761" t="n">
        <v>75.95</v>
      </c>
      <c r="J99" s="756" t="n">
        <v>0.203</v>
      </c>
      <c r="K99" s="761" t="n">
        <v>0</v>
      </c>
      <c r="L99" s="761" t="n">
        <v>130</v>
      </c>
      <c r="M99" s="562" t="n">
        <v>800</v>
      </c>
      <c r="N99" s="562" t="n">
        <v>400</v>
      </c>
      <c r="O99" s="757" t="inlineStr">
        <is>
          <t>-</t>
        </is>
      </c>
      <c r="P99" s="757">
        <f>0.67*182</f>
        <v/>
      </c>
      <c r="Q99" s="756" t="n">
        <v>0</v>
      </c>
      <c r="R99" s="757" t="n"/>
      <c r="S99" s="757" t="n"/>
      <c r="T99" s="757" t="n"/>
      <c r="U99" s="761" t="n">
        <v>0</v>
      </c>
      <c r="V99" s="761" t="n">
        <v>13700</v>
      </c>
      <c r="W99" s="758">
        <f>'Raw Food Data (KG)'!Q60</f>
        <v/>
      </c>
      <c r="X99" s="761" t="n">
        <v>6400</v>
      </c>
      <c r="Y99" s="761" t="n">
        <v>35000</v>
      </c>
      <c r="Z99" s="763" t="n"/>
      <c r="AA99" s="745">
        <f>SUM(B99:C99)</f>
        <v/>
      </c>
      <c r="AB99" s="744">
        <f>SUM(AA88:AA99)</f>
        <v/>
      </c>
      <c r="AC99" s="746">
        <f>AB99/12</f>
        <v/>
      </c>
      <c r="AD99" s="744">
        <f>SUM(D99:Z99)</f>
        <v/>
      </c>
      <c r="AE99" s="744">
        <f>SUM(AD88:AD99)</f>
        <v/>
      </c>
      <c r="AF99" s="746">
        <f>AE99/12</f>
        <v/>
      </c>
    </row>
    <row r="100">
      <c r="A100" s="760" t="n">
        <v>44440</v>
      </c>
      <c r="B100" s="761" t="n">
        <v>125580</v>
      </c>
      <c r="C100" s="761" t="n">
        <v>28910</v>
      </c>
      <c r="D100" s="761" t="n">
        <v>624</v>
      </c>
      <c r="E100" s="761" t="n">
        <v>15030</v>
      </c>
      <c r="F100" s="761" t="n">
        <v>92</v>
      </c>
      <c r="G100" s="761" t="n">
        <v>810</v>
      </c>
      <c r="H100" s="761" t="n">
        <v>336</v>
      </c>
      <c r="I100" s="761" t="n">
        <v>70.05</v>
      </c>
      <c r="J100" s="756" t="n">
        <v>0</v>
      </c>
      <c r="K100" s="761" t="n">
        <v>1006</v>
      </c>
      <c r="L100" s="761" t="n">
        <v>80</v>
      </c>
      <c r="M100" s="562" t="n">
        <v>800</v>
      </c>
      <c r="N100" s="562" t="n">
        <v>400</v>
      </c>
      <c r="O100" s="757" t="inlineStr">
        <is>
          <t>-</t>
        </is>
      </c>
      <c r="P100" s="757">
        <f>0.67*100</f>
        <v/>
      </c>
      <c r="Q100" s="756" t="n">
        <v>0</v>
      </c>
      <c r="R100" s="757" t="n"/>
      <c r="S100" s="757" t="n"/>
      <c r="T100" s="757" t="n"/>
      <c r="U100" s="761" t="n">
        <v>0</v>
      </c>
      <c r="V100" s="761" t="n">
        <v>9500</v>
      </c>
      <c r="W100" s="758">
        <f>'Raw Food Data (KG)'!Q61</f>
        <v/>
      </c>
      <c r="X100" s="761" t="n">
        <v>6400</v>
      </c>
      <c r="Y100" s="761" t="n">
        <v>28000</v>
      </c>
      <c r="Z100" s="763" t="n"/>
      <c r="AA100" s="745">
        <f>SUM(B100:C100)</f>
        <v/>
      </c>
      <c r="AB100" s="744">
        <f>SUM(AA89:AA100)</f>
        <v/>
      </c>
      <c r="AC100" s="746">
        <f>AB100/12</f>
        <v/>
      </c>
      <c r="AD100" s="744">
        <f>SUM(D100:Z100)</f>
        <v/>
      </c>
      <c r="AE100" s="744">
        <f>SUM(AD89:AD100)</f>
        <v/>
      </c>
      <c r="AF100" s="746">
        <f>AE100/12</f>
        <v/>
      </c>
    </row>
    <row r="101">
      <c r="A101" s="760" t="n">
        <v>44470</v>
      </c>
      <c r="B101" s="761" t="n">
        <v>120930</v>
      </c>
      <c r="C101" s="761" t="n">
        <v>22640</v>
      </c>
      <c r="D101" s="761" t="n">
        <v>243</v>
      </c>
      <c r="E101" s="761" t="n">
        <v>12985</v>
      </c>
      <c r="F101" s="761" t="n">
        <v>81</v>
      </c>
      <c r="G101" s="761" t="n">
        <v>911</v>
      </c>
      <c r="H101" s="761" t="n">
        <v>304</v>
      </c>
      <c r="I101" s="761" t="n">
        <v>157.35</v>
      </c>
      <c r="J101" s="756" t="n">
        <v>0</v>
      </c>
      <c r="K101" s="761" t="n">
        <v>891</v>
      </c>
      <c r="L101" s="761" t="n">
        <v>150</v>
      </c>
      <c r="M101" s="562" t="n">
        <v>800</v>
      </c>
      <c r="N101" s="562" t="n">
        <v>400</v>
      </c>
      <c r="O101" s="757" t="inlineStr">
        <is>
          <t>-</t>
        </is>
      </c>
      <c r="P101" s="757" t="n">
        <v>0</v>
      </c>
      <c r="Q101" s="756" t="n">
        <v>0</v>
      </c>
      <c r="R101" s="757" t="n"/>
      <c r="S101" s="757" t="n"/>
      <c r="T101" s="757" t="n"/>
      <c r="U101" s="761" t="n">
        <v>0</v>
      </c>
      <c r="V101" s="761" t="n">
        <v>7830</v>
      </c>
      <c r="W101" s="758">
        <f>'Raw Food Data (KG)'!Q62</f>
        <v/>
      </c>
      <c r="X101" s="761" t="n">
        <v>6400</v>
      </c>
      <c r="Y101" s="761" t="n">
        <v>35000</v>
      </c>
      <c r="Z101" s="763" t="n"/>
      <c r="AA101" s="745">
        <f>SUM(B101:C101)</f>
        <v/>
      </c>
      <c r="AB101" s="744">
        <f>SUM(AA90:AA101)</f>
        <v/>
      </c>
      <c r="AC101" s="746">
        <f>AB101/12</f>
        <v/>
      </c>
      <c r="AD101" s="744">
        <f>SUM(D101:Z101)</f>
        <v/>
      </c>
      <c r="AE101" s="744">
        <f>SUM(AD90:AD101)</f>
        <v/>
      </c>
      <c r="AF101" s="746">
        <f>AE101/12</f>
        <v/>
      </c>
    </row>
    <row r="102">
      <c r="A102" s="760" t="n">
        <v>44501</v>
      </c>
      <c r="B102" s="761" t="n">
        <v>122690</v>
      </c>
      <c r="C102" s="761" t="n">
        <v>22120</v>
      </c>
      <c r="D102" s="761" t="n">
        <v>1282</v>
      </c>
      <c r="E102" s="761" t="n">
        <v>13164</v>
      </c>
      <c r="F102" s="761" t="n">
        <v>88</v>
      </c>
      <c r="G102" s="761" t="n">
        <v>282</v>
      </c>
      <c r="H102" s="761" t="n">
        <v>285</v>
      </c>
      <c r="I102" s="761" t="n">
        <v>67.75</v>
      </c>
      <c r="J102" s="756" t="n">
        <v>0.774</v>
      </c>
      <c r="K102" s="761" t="n">
        <v>625</v>
      </c>
      <c r="L102" s="761" t="n">
        <v>30</v>
      </c>
      <c r="M102" s="562" t="n">
        <v>800</v>
      </c>
      <c r="N102" s="562" t="n">
        <v>400</v>
      </c>
      <c r="O102" s="757" t="inlineStr">
        <is>
          <t>-</t>
        </is>
      </c>
      <c r="P102" s="757">
        <f>0.67*258</f>
        <v/>
      </c>
      <c r="Q102" s="756" t="n">
        <v>0</v>
      </c>
      <c r="R102" s="757" t="n"/>
      <c r="S102" s="757" t="n"/>
      <c r="T102" s="757" t="n"/>
      <c r="U102" s="761">
        <f>72*27+6*4.5</f>
        <v/>
      </c>
      <c r="V102" s="761" t="n">
        <v>5800</v>
      </c>
      <c r="W102" s="758">
        <f>'Raw Food Data (KG)'!Q63</f>
        <v/>
      </c>
      <c r="X102" s="761" t="n">
        <v>4800</v>
      </c>
      <c r="Y102" s="761" t="n">
        <v>35000</v>
      </c>
      <c r="Z102" s="763" t="n"/>
      <c r="AA102" s="745">
        <f>SUM(B102:C102)</f>
        <v/>
      </c>
      <c r="AB102" s="744">
        <f>SUM(AA91:AA102)</f>
        <v/>
      </c>
      <c r="AC102" s="746">
        <f>AB102/12</f>
        <v/>
      </c>
      <c r="AD102" s="744">
        <f>SUM(D102:Z102)</f>
        <v/>
      </c>
      <c r="AE102" s="744">
        <f>SUM(AD91:AD102)</f>
        <v/>
      </c>
      <c r="AF102" s="746">
        <f>AE102/12</f>
        <v/>
      </c>
    </row>
    <row r="103">
      <c r="A103" s="760" t="n">
        <v>44531</v>
      </c>
      <c r="B103" s="761" t="n">
        <v>119627</v>
      </c>
      <c r="C103" s="761" t="n">
        <v>24060</v>
      </c>
      <c r="D103" s="761" t="n">
        <v>683</v>
      </c>
      <c r="E103" s="761" t="n">
        <v>13435</v>
      </c>
      <c r="F103" s="761" t="n">
        <v>87</v>
      </c>
      <c r="G103" s="761" t="n">
        <v>984</v>
      </c>
      <c r="H103" s="761" t="n">
        <v>361</v>
      </c>
      <c r="I103" s="761" t="n">
        <v>63.95</v>
      </c>
      <c r="J103" s="756" t="n">
        <v>0.387</v>
      </c>
      <c r="K103" s="761" t="n">
        <v>0</v>
      </c>
      <c r="L103" s="761" t="n">
        <v>70</v>
      </c>
      <c r="M103" s="562" t="n">
        <v>600</v>
      </c>
      <c r="N103" s="562" t="n">
        <v>400</v>
      </c>
      <c r="O103" s="757" t="inlineStr">
        <is>
          <t>-</t>
        </is>
      </c>
      <c r="P103" s="757">
        <f>0.67*120</f>
        <v/>
      </c>
      <c r="Q103" s="756" t="n">
        <v>0</v>
      </c>
      <c r="R103" s="757" t="n"/>
      <c r="S103" s="757" t="n"/>
      <c r="T103" s="757" t="n"/>
      <c r="U103" s="761">
        <f>13*27+1*4.5</f>
        <v/>
      </c>
      <c r="V103" s="761" t="n">
        <v>10180</v>
      </c>
      <c r="W103" s="758">
        <f>'Raw Food Data (KG)'!Q64</f>
        <v/>
      </c>
      <c r="X103" s="761" t="n">
        <v>8000</v>
      </c>
      <c r="Y103" s="761" t="n">
        <v>31500</v>
      </c>
      <c r="Z103" s="763" t="n"/>
      <c r="AA103" s="745">
        <f>SUM(B103:C103)</f>
        <v/>
      </c>
      <c r="AB103" s="744">
        <f>SUM(AA92:AA103)</f>
        <v/>
      </c>
      <c r="AC103" s="746">
        <f>AB103/12</f>
        <v/>
      </c>
      <c r="AD103" s="744">
        <f>SUM(D103:Z103)</f>
        <v/>
      </c>
      <c r="AE103" s="744">
        <f>SUM(AD92:AD103)</f>
        <v/>
      </c>
      <c r="AF103" s="746">
        <f>AE103/12</f>
        <v/>
      </c>
    </row>
    <row r="104">
      <c r="A104" s="760" t="n">
        <v>44562</v>
      </c>
      <c r="B104" s="761" t="n">
        <v>113840</v>
      </c>
      <c r="C104" s="761" t="n">
        <v>30180</v>
      </c>
      <c r="D104" s="761" t="n">
        <v>1410</v>
      </c>
      <c r="E104" s="761" t="n">
        <v>13422</v>
      </c>
      <c r="F104" s="761" t="n">
        <v>82</v>
      </c>
      <c r="G104" s="761" t="n">
        <v>1130</v>
      </c>
      <c r="H104" s="761" t="n">
        <v>288</v>
      </c>
      <c r="I104" s="761" t="n">
        <v>133.65</v>
      </c>
      <c r="J104" s="756" t="n">
        <v>0</v>
      </c>
      <c r="K104" s="761" t="n">
        <v>0</v>
      </c>
      <c r="L104" s="761" t="n">
        <v>200</v>
      </c>
      <c r="M104" s="562" t="n">
        <v>1200</v>
      </c>
      <c r="N104" s="562" t="n">
        <v>600</v>
      </c>
      <c r="O104" s="757" t="inlineStr">
        <is>
          <t>-</t>
        </is>
      </c>
      <c r="P104" s="757" t="n">
        <v>0</v>
      </c>
      <c r="Q104" s="756" t="n">
        <v>0</v>
      </c>
      <c r="R104" s="757" t="n"/>
      <c r="S104" s="757" t="n"/>
      <c r="T104" s="757" t="n"/>
      <c r="U104" s="761" t="n">
        <v>0</v>
      </c>
      <c r="V104" s="761" t="n">
        <v>19838</v>
      </c>
      <c r="W104" s="758">
        <f>'Raw Food Data (KG)'!Q65</f>
        <v/>
      </c>
      <c r="X104" s="761" t="n">
        <v>6400</v>
      </c>
      <c r="Y104" s="761" t="n">
        <v>28000</v>
      </c>
      <c r="Z104" s="763" t="n"/>
      <c r="AA104" s="745">
        <f>SUM(B104:C104)</f>
        <v/>
      </c>
      <c r="AB104" s="744">
        <f>SUM(AA93:AA104)</f>
        <v/>
      </c>
      <c r="AC104" s="746">
        <f>AB104/12</f>
        <v/>
      </c>
      <c r="AD104" s="744">
        <f>SUM(D104:Z104)</f>
        <v/>
      </c>
      <c r="AE104" s="744">
        <f>SUM(AD93:AD104)</f>
        <v/>
      </c>
      <c r="AF104" s="746">
        <f>AE104/12</f>
        <v/>
      </c>
    </row>
    <row r="105">
      <c r="A105" s="760" t="n">
        <v>44593</v>
      </c>
      <c r="B105" s="761" t="n">
        <v>94360</v>
      </c>
      <c r="C105" s="761" t="n">
        <v>16000</v>
      </c>
      <c r="D105" s="761" t="n">
        <v>1223</v>
      </c>
      <c r="E105" s="761" t="n">
        <v>9823</v>
      </c>
      <c r="F105" s="761" t="n">
        <v>59</v>
      </c>
      <c r="G105" s="761" t="n">
        <v>254</v>
      </c>
      <c r="H105" s="761" t="n">
        <v>191</v>
      </c>
      <c r="I105" s="761" t="n">
        <v>67.65000000000001</v>
      </c>
      <c r="J105" s="756" t="n">
        <v>0.371</v>
      </c>
      <c r="K105" s="761" t="n">
        <v>869</v>
      </c>
      <c r="L105" s="761" t="n">
        <v>0</v>
      </c>
      <c r="M105" s="562" t="n">
        <v>400</v>
      </c>
      <c r="N105" s="562" t="n">
        <v>400</v>
      </c>
      <c r="O105" s="757" t="inlineStr">
        <is>
          <t>-</t>
        </is>
      </c>
      <c r="P105" s="757">
        <f>0.67*188</f>
        <v/>
      </c>
      <c r="Q105" s="756" t="n">
        <v>0</v>
      </c>
      <c r="R105" s="757" t="n"/>
      <c r="S105" s="757" t="n"/>
      <c r="T105" s="757" t="n"/>
      <c r="U105" s="761">
        <f>6*27+1*4.5+1*35+1*55</f>
        <v/>
      </c>
      <c r="V105" s="761" t="n">
        <v>7420</v>
      </c>
      <c r="W105" s="758">
        <f>'Raw Food Data (KG)'!Q66</f>
        <v/>
      </c>
      <c r="X105" s="761" t="n">
        <v>4800</v>
      </c>
      <c r="Y105" s="761" t="n">
        <v>14000</v>
      </c>
      <c r="Z105" s="763" t="n"/>
      <c r="AA105" s="745">
        <f>SUM(B105:C105)</f>
        <v/>
      </c>
      <c r="AB105" s="744">
        <f>SUM(AA94:AA105)</f>
        <v/>
      </c>
      <c r="AC105" s="746">
        <f>AB105/12</f>
        <v/>
      </c>
      <c r="AD105" s="744">
        <f>SUM(D105:Z105)</f>
        <v/>
      </c>
      <c r="AE105" s="744">
        <f>SUM(AD94:AD105)</f>
        <v/>
      </c>
      <c r="AF105" s="746">
        <f>AE105/12</f>
        <v/>
      </c>
    </row>
    <row r="106">
      <c r="A106" s="760" t="n">
        <v>44621</v>
      </c>
      <c r="B106" s="761" t="n">
        <v>94960</v>
      </c>
      <c r="C106" s="761" t="n">
        <v>17320</v>
      </c>
      <c r="D106" s="761" t="n">
        <v>540</v>
      </c>
      <c r="E106" s="761" t="n">
        <v>9495</v>
      </c>
      <c r="F106" s="761" t="n">
        <v>65</v>
      </c>
      <c r="G106" s="761" t="n">
        <v>324</v>
      </c>
      <c r="H106" s="761" t="n">
        <v>185.4</v>
      </c>
      <c r="I106" s="761" t="n">
        <v>206.75</v>
      </c>
      <c r="J106" s="756" t="n">
        <v>0</v>
      </c>
      <c r="K106" s="761" t="n">
        <v>0</v>
      </c>
      <c r="L106" s="761" t="n">
        <v>0</v>
      </c>
      <c r="M106" s="562" t="n">
        <v>400</v>
      </c>
      <c r="N106" s="562" t="n">
        <v>400</v>
      </c>
      <c r="O106" s="757" t="inlineStr">
        <is>
          <t>-</t>
        </is>
      </c>
      <c r="P106" s="757" t="n">
        <v>0</v>
      </c>
      <c r="Q106" s="756" t="n">
        <v>0</v>
      </c>
      <c r="R106" s="757" t="n"/>
      <c r="S106" s="757" t="n"/>
      <c r="T106" s="757" t="n"/>
      <c r="U106" s="761" t="n">
        <v>0</v>
      </c>
      <c r="V106" s="761" t="n">
        <v>9700</v>
      </c>
      <c r="W106" s="758">
        <f>'Raw Food Data (KG)'!Q67</f>
        <v/>
      </c>
      <c r="X106" s="761" t="n">
        <v>6400</v>
      </c>
      <c r="Y106" s="761" t="n">
        <v>24500</v>
      </c>
      <c r="Z106" s="763" t="n"/>
      <c r="AA106" s="745">
        <f>SUM(B106:C106)</f>
        <v/>
      </c>
      <c r="AB106" s="744">
        <f>SUM(AA95:AA106)</f>
        <v/>
      </c>
      <c r="AC106" s="746">
        <f>AB106/12</f>
        <v/>
      </c>
      <c r="AD106" s="744">
        <f>SUM(D106:Z106)</f>
        <v/>
      </c>
      <c r="AE106" s="744">
        <f>SUM(AD95:AD106)</f>
        <v/>
      </c>
      <c r="AF106" s="746">
        <f>AE106/12</f>
        <v/>
      </c>
    </row>
    <row r="107">
      <c r="A107" s="760" t="n">
        <v>44652</v>
      </c>
      <c r="B107" s="761" t="n">
        <v>91850</v>
      </c>
      <c r="C107" s="761" t="n">
        <v>17830</v>
      </c>
      <c r="D107" s="761" t="n">
        <v>174</v>
      </c>
      <c r="E107" s="761" t="n">
        <v>9308</v>
      </c>
      <c r="F107" s="761" t="n">
        <v>61</v>
      </c>
      <c r="G107" s="761" t="n">
        <v>1040</v>
      </c>
      <c r="H107" s="761" t="n">
        <v>137</v>
      </c>
      <c r="I107" s="761" t="n">
        <v>153.8</v>
      </c>
      <c r="J107" s="756" t="n">
        <v>4.641</v>
      </c>
      <c r="K107" s="761" t="n">
        <v>1036</v>
      </c>
      <c r="L107" s="761" t="n">
        <v>160</v>
      </c>
      <c r="M107" s="562" t="n">
        <v>800</v>
      </c>
      <c r="N107" s="562" t="n">
        <v>200</v>
      </c>
      <c r="O107" s="757" t="inlineStr">
        <is>
          <t>-</t>
        </is>
      </c>
      <c r="P107" s="757">
        <f>0.67*102</f>
        <v/>
      </c>
      <c r="Q107" s="756" t="n">
        <v>0</v>
      </c>
      <c r="R107" s="757" t="n"/>
      <c r="S107" s="757" t="n"/>
      <c r="T107" s="757" t="n"/>
      <c r="U107" s="761">
        <f>36*27+2*7.5+9*55</f>
        <v/>
      </c>
      <c r="V107" s="761" t="n">
        <v>10420</v>
      </c>
      <c r="W107" s="758">
        <f>'Raw Food Data (KG)'!Q68</f>
        <v/>
      </c>
      <c r="X107" s="761" t="n">
        <v>6400</v>
      </c>
      <c r="Y107" s="761" t="n">
        <v>24500</v>
      </c>
      <c r="Z107" s="763" t="n"/>
      <c r="AA107" s="745">
        <f>SUM(B107:C107)</f>
        <v/>
      </c>
      <c r="AB107" s="744">
        <f>SUM(AA96:AA107)</f>
        <v/>
      </c>
      <c r="AC107" s="746">
        <f>AB107/12</f>
        <v/>
      </c>
      <c r="AD107" s="744">
        <f>SUM(D107:Z107)</f>
        <v/>
      </c>
      <c r="AE107" s="744">
        <f>SUM(AD96:AD107)</f>
        <v/>
      </c>
      <c r="AF107" s="746">
        <f>AE107/12</f>
        <v/>
      </c>
    </row>
    <row r="108">
      <c r="A108" s="760" t="n">
        <v>44682</v>
      </c>
      <c r="B108" s="761" t="n">
        <v>105840</v>
      </c>
      <c r="C108" s="761" t="n">
        <v>22940</v>
      </c>
      <c r="D108" s="761" t="n">
        <v>869</v>
      </c>
      <c r="E108" s="761" t="n">
        <v>10020</v>
      </c>
      <c r="F108" s="761" t="n">
        <v>65</v>
      </c>
      <c r="G108" s="761" t="n">
        <v>251</v>
      </c>
      <c r="H108" s="761" t="n">
        <v>113</v>
      </c>
      <c r="I108" s="761" t="n">
        <v>57.35</v>
      </c>
      <c r="J108" s="756" t="n">
        <v>0</v>
      </c>
      <c r="K108" s="761" t="n">
        <v>0</v>
      </c>
      <c r="L108" s="761" t="n">
        <v>80</v>
      </c>
      <c r="M108" s="562" t="n">
        <v>400</v>
      </c>
      <c r="N108" s="562" t="n">
        <v>200</v>
      </c>
      <c r="O108" s="757" t="inlineStr">
        <is>
          <t>-</t>
        </is>
      </c>
      <c r="P108" s="757" t="n">
        <v>0</v>
      </c>
      <c r="Q108" s="756" t="n">
        <v>0</v>
      </c>
      <c r="R108" s="757" t="n"/>
      <c r="S108" s="757" t="n"/>
      <c r="T108" s="757" t="n"/>
      <c r="U108" s="761">
        <f>13*27+7*55</f>
        <v/>
      </c>
      <c r="V108" s="761" t="n">
        <v>12000</v>
      </c>
      <c r="W108" s="758">
        <f>'Raw Food Data (KG)'!Q69</f>
        <v/>
      </c>
      <c r="X108" s="761" t="n">
        <v>6400</v>
      </c>
      <c r="Y108" s="761" t="n">
        <v>31500</v>
      </c>
      <c r="Z108" s="763" t="n"/>
      <c r="AA108" s="745">
        <f>SUM(B108:C108)</f>
        <v/>
      </c>
      <c r="AB108" s="744">
        <f>SUM(AA97:AA108)</f>
        <v/>
      </c>
      <c r="AC108" s="746">
        <f>AB108/12</f>
        <v/>
      </c>
      <c r="AD108" s="744">
        <f>SUM(D108:Z108)</f>
        <v/>
      </c>
      <c r="AE108" s="744">
        <f>SUM(AD97:AD108)</f>
        <v/>
      </c>
      <c r="AF108" s="746">
        <f>AE108/12</f>
        <v/>
      </c>
    </row>
    <row r="109">
      <c r="A109" s="760" t="n">
        <v>44713</v>
      </c>
      <c r="B109" s="761" t="n">
        <v>111880</v>
      </c>
      <c r="C109" s="761" t="n">
        <v>21280</v>
      </c>
      <c r="D109" s="761" t="n">
        <v>640</v>
      </c>
      <c r="E109" s="761" t="n">
        <v>10130</v>
      </c>
      <c r="F109" s="761" t="n">
        <v>59</v>
      </c>
      <c r="G109" s="761" t="n">
        <v>245</v>
      </c>
      <c r="H109" s="761" t="n">
        <v>148</v>
      </c>
      <c r="I109" s="761" t="n">
        <v>127.8</v>
      </c>
      <c r="J109" s="756" t="n">
        <v>0</v>
      </c>
      <c r="K109" s="761" t="n">
        <v>1056</v>
      </c>
      <c r="L109" s="761" t="n">
        <v>150</v>
      </c>
      <c r="M109" s="562" t="n">
        <v>800</v>
      </c>
      <c r="N109" s="562" t="n">
        <v>400</v>
      </c>
      <c r="O109" s="757" t="n">
        <v>45</v>
      </c>
      <c r="P109" s="757" t="n">
        <v>57</v>
      </c>
      <c r="Q109" s="756" t="n">
        <v>0</v>
      </c>
      <c r="R109" s="757" t="n"/>
      <c r="S109" s="757" t="n"/>
      <c r="T109" s="757" t="n"/>
      <c r="U109" s="761">
        <f>22*27+3*55+1*60</f>
        <v/>
      </c>
      <c r="V109" s="761" t="n">
        <v>9000</v>
      </c>
      <c r="W109" s="758">
        <f>'Raw Food Data (KG)'!Q70</f>
        <v/>
      </c>
      <c r="X109" s="761" t="n">
        <v>8000</v>
      </c>
      <c r="Y109" s="761" t="n">
        <v>35000</v>
      </c>
      <c r="Z109" s="763" t="n"/>
      <c r="AA109" s="745">
        <f>SUM(B109:C109)</f>
        <v/>
      </c>
      <c r="AB109" s="744">
        <f>SUM(AA98:AA109)</f>
        <v/>
      </c>
      <c r="AC109" s="746">
        <f>AB109/12</f>
        <v/>
      </c>
      <c r="AD109" s="744">
        <f>SUM(D109:Z109)</f>
        <v/>
      </c>
      <c r="AE109" s="744">
        <f>SUM(AD98:AD109)</f>
        <v/>
      </c>
      <c r="AF109" s="746">
        <f>AE109/12</f>
        <v/>
      </c>
      <c r="AH109" s="764">
        <f>AB109+AE109</f>
        <v/>
      </c>
    </row>
    <row r="110">
      <c r="A110" s="760" t="n">
        <v>44743</v>
      </c>
      <c r="B110" s="758" t="n">
        <v>106480</v>
      </c>
      <c r="C110" s="758" t="n">
        <v>27350</v>
      </c>
      <c r="D110" s="758" t="n">
        <v>631</v>
      </c>
      <c r="E110" s="758" t="n">
        <v>10024</v>
      </c>
      <c r="F110" s="758" t="n">
        <v>62</v>
      </c>
      <c r="G110" s="758" t="n">
        <v>748</v>
      </c>
      <c r="H110" s="758" t="n">
        <v>232</v>
      </c>
      <c r="I110" s="758" t="n">
        <v>101.95</v>
      </c>
      <c r="J110" s="766" t="n">
        <v>0</v>
      </c>
      <c r="K110" s="758" t="n">
        <v>0</v>
      </c>
      <c r="L110" s="758" t="n">
        <v>150</v>
      </c>
      <c r="M110" s="564" t="n">
        <v>600</v>
      </c>
      <c r="N110" s="564" t="n">
        <v>400</v>
      </c>
      <c r="O110" s="767" t="n">
        <v>324</v>
      </c>
      <c r="P110" s="767" t="n">
        <v>44</v>
      </c>
      <c r="Q110" s="766" t="n">
        <v>0</v>
      </c>
      <c r="R110" s="767" t="n"/>
      <c r="S110" s="767" t="n"/>
      <c r="T110" s="767" t="n"/>
      <c r="U110" s="758" t="n">
        <v>0</v>
      </c>
      <c r="V110" s="758" t="n">
        <v>12000</v>
      </c>
      <c r="W110" s="758">
        <f>'Raw Food Data (KG)'!Q71</f>
        <v/>
      </c>
      <c r="X110" s="758" t="n">
        <v>6400</v>
      </c>
      <c r="Y110" s="758" t="n">
        <v>24500</v>
      </c>
      <c r="Z110" s="768" t="n">
        <v>67</v>
      </c>
      <c r="AA110" s="745">
        <f>SUM(B110:C110)</f>
        <v/>
      </c>
      <c r="AB110" s="744">
        <f>SUM(AA99:AA110)</f>
        <v/>
      </c>
      <c r="AC110" s="746">
        <f>AB110/12</f>
        <v/>
      </c>
      <c r="AD110" s="744">
        <f>SUM(D110:Z110)</f>
        <v/>
      </c>
      <c r="AE110" s="744">
        <f>SUM(AD99:AD110)</f>
        <v/>
      </c>
      <c r="AF110" s="746">
        <f>AE110/12</f>
        <v/>
      </c>
    </row>
    <row r="111">
      <c r="A111" s="760" t="n">
        <v>44774</v>
      </c>
      <c r="B111" s="758" t="n">
        <v>119990</v>
      </c>
      <c r="C111" s="758" t="n">
        <v>22610</v>
      </c>
      <c r="D111" s="758" t="n">
        <v>567</v>
      </c>
      <c r="E111" s="758" t="n">
        <v>11052</v>
      </c>
      <c r="F111" s="758" t="n">
        <v>71</v>
      </c>
      <c r="G111" s="758" t="n">
        <v>1232</v>
      </c>
      <c r="H111" s="758" t="n">
        <v>248</v>
      </c>
      <c r="I111" s="758" t="n">
        <v>90.25</v>
      </c>
      <c r="J111" s="766" t="n">
        <v>0</v>
      </c>
      <c r="K111" s="758" t="n">
        <v>1973</v>
      </c>
      <c r="L111" s="758" t="n">
        <v>150</v>
      </c>
      <c r="M111" s="564" t="n">
        <v>1200</v>
      </c>
      <c r="N111" s="564" t="n">
        <v>400</v>
      </c>
      <c r="O111" s="767" t="n">
        <v>89</v>
      </c>
      <c r="P111" s="767" t="n">
        <v>76</v>
      </c>
      <c r="Q111" s="766" t="n">
        <v>0</v>
      </c>
      <c r="R111" s="767" t="n"/>
      <c r="S111" s="767" t="n"/>
      <c r="T111" s="767" t="n"/>
      <c r="U111" s="758">
        <f>17*27+2*55+1*35</f>
        <v/>
      </c>
      <c r="V111" s="758" t="n">
        <v>15000</v>
      </c>
      <c r="W111" s="758">
        <f>'Raw Food Data (KG)'!Q72</f>
        <v/>
      </c>
      <c r="X111" s="758" t="n">
        <v>6400</v>
      </c>
      <c r="Y111" s="758" t="n">
        <v>31500</v>
      </c>
      <c r="Z111" s="768" t="n">
        <v>0</v>
      </c>
      <c r="AA111" s="745">
        <f>SUM(B111:C111)</f>
        <v/>
      </c>
      <c r="AB111" s="744">
        <f>SUM(AA100:AA111)</f>
        <v/>
      </c>
      <c r="AC111" s="746">
        <f>AB111/12</f>
        <v/>
      </c>
      <c r="AD111" s="744">
        <f>SUM(D111:Z111)</f>
        <v/>
      </c>
      <c r="AE111" s="744">
        <f>SUM(AD100:AD111)</f>
        <v/>
      </c>
      <c r="AF111" s="746">
        <f>AE111/12</f>
        <v/>
      </c>
    </row>
    <row r="112">
      <c r="A112" s="760" t="n">
        <v>44805</v>
      </c>
      <c r="B112" s="758" t="n">
        <v>145680</v>
      </c>
      <c r="C112" s="758" t="n">
        <v>27480</v>
      </c>
      <c r="D112" s="758" t="n">
        <v>889</v>
      </c>
      <c r="E112" s="758" t="n">
        <v>12231</v>
      </c>
      <c r="F112" s="758" t="n">
        <v>76</v>
      </c>
      <c r="G112" s="758" t="n">
        <v>555</v>
      </c>
      <c r="H112" s="758" t="n">
        <v>266</v>
      </c>
      <c r="I112" s="758" t="n">
        <v>55.25</v>
      </c>
      <c r="J112" s="766" t="n">
        <v>0</v>
      </c>
      <c r="K112" s="758" t="n">
        <v>0</v>
      </c>
      <c r="L112" s="758" t="n">
        <v>110</v>
      </c>
      <c r="M112" s="564" t="n">
        <v>400</v>
      </c>
      <c r="N112" s="564" t="n">
        <v>400</v>
      </c>
      <c r="O112" s="767" t="n">
        <v>0</v>
      </c>
      <c r="P112" s="767" t="n">
        <v>49</v>
      </c>
      <c r="Q112" s="766" t="n">
        <v>0</v>
      </c>
      <c r="R112" s="767" t="n"/>
      <c r="S112" s="767" t="n"/>
      <c r="T112" s="767" t="n"/>
      <c r="U112" s="758" t="n">
        <v>0</v>
      </c>
      <c r="V112" s="758" t="n">
        <v>12000</v>
      </c>
      <c r="W112" s="758">
        <f>'Raw Food Data (KG)'!Q73</f>
        <v/>
      </c>
      <c r="X112" s="758" t="n">
        <v>8000</v>
      </c>
      <c r="Y112" s="758" t="n">
        <v>31500</v>
      </c>
      <c r="Z112" s="768" t="n">
        <v>12.6</v>
      </c>
      <c r="AA112" s="745">
        <f>SUM(B112:C112)</f>
        <v/>
      </c>
      <c r="AB112" s="744">
        <f>SUM(AA101:AA112)</f>
        <v/>
      </c>
      <c r="AC112" s="746">
        <f>AB112/12</f>
        <v/>
      </c>
      <c r="AD112" s="744">
        <f>SUM(D112:Z112)</f>
        <v/>
      </c>
      <c r="AE112" s="744">
        <f>SUM(AD101:AD112)</f>
        <v/>
      </c>
      <c r="AF112" s="746">
        <f>AE112/12</f>
        <v/>
      </c>
    </row>
    <row r="113">
      <c r="A113" s="760" t="n">
        <v>44835</v>
      </c>
      <c r="B113" s="758" t="n">
        <v>146210</v>
      </c>
      <c r="C113" s="758" t="n">
        <v>21850</v>
      </c>
      <c r="D113" s="758" t="n">
        <v>1137</v>
      </c>
      <c r="E113" s="758" t="n">
        <v>11893</v>
      </c>
      <c r="F113" s="758" t="n">
        <v>79</v>
      </c>
      <c r="G113" s="758" t="n">
        <v>647</v>
      </c>
      <c r="H113" s="758" t="n">
        <v>266</v>
      </c>
      <c r="I113" s="758" t="n">
        <v>120.55</v>
      </c>
      <c r="J113" s="766" t="n">
        <v>0</v>
      </c>
      <c r="K113" s="758" t="n">
        <v>1009</v>
      </c>
      <c r="L113" s="758" t="n">
        <v>60</v>
      </c>
      <c r="M113" s="564" t="n">
        <v>800</v>
      </c>
      <c r="N113" s="564" t="n">
        <v>400</v>
      </c>
      <c r="O113" s="767" t="n">
        <v>18</v>
      </c>
      <c r="P113" s="767" t="n">
        <v>49</v>
      </c>
      <c r="Q113" s="766" t="n">
        <v>0</v>
      </c>
      <c r="R113" s="767" t="n"/>
      <c r="S113" s="767" t="n"/>
      <c r="T113" s="767" t="n"/>
      <c r="U113" s="758">
        <f>23*27+2*55</f>
        <v/>
      </c>
      <c r="V113" s="758" t="n">
        <v>15000</v>
      </c>
      <c r="W113" s="758">
        <f>'Raw Food Data (KG)'!Q74</f>
        <v/>
      </c>
      <c r="X113" s="758" t="n">
        <v>6400</v>
      </c>
      <c r="Y113" s="758" t="n">
        <v>28000</v>
      </c>
      <c r="Z113" s="768" t="n">
        <v>0</v>
      </c>
      <c r="AA113" s="745">
        <f>SUM(B113:C113)</f>
        <v/>
      </c>
      <c r="AB113" s="744">
        <f>SUM(AA102:AA113)</f>
        <v/>
      </c>
      <c r="AC113" s="746">
        <f>AB113/12</f>
        <v/>
      </c>
      <c r="AD113" s="744">
        <f>SUM(D113:Z113)</f>
        <v/>
      </c>
      <c r="AE113" s="744">
        <f>SUM(AD102:AD113)</f>
        <v/>
      </c>
      <c r="AF113" s="746">
        <f>AE113/12</f>
        <v/>
      </c>
    </row>
    <row r="114">
      <c r="A114" s="760" t="n">
        <v>44866</v>
      </c>
      <c r="B114" s="758" t="n">
        <v>147280</v>
      </c>
      <c r="C114" s="758" t="n">
        <v>19570</v>
      </c>
      <c r="D114" s="758" t="n">
        <v>723</v>
      </c>
      <c r="E114" s="758" t="n">
        <v>11445</v>
      </c>
      <c r="F114" s="758" t="n">
        <v>77</v>
      </c>
      <c r="G114" s="758" t="n">
        <v>659</v>
      </c>
      <c r="H114" s="758" t="n">
        <v>273</v>
      </c>
      <c r="I114" s="758" t="n">
        <v>0</v>
      </c>
      <c r="J114" s="766" t="n">
        <v>0</v>
      </c>
      <c r="K114" s="758" t="n">
        <v>993</v>
      </c>
      <c r="L114" s="758" t="n">
        <v>180</v>
      </c>
      <c r="M114" s="564" t="n">
        <v>800</v>
      </c>
      <c r="N114" s="564" t="n">
        <v>400</v>
      </c>
      <c r="O114" s="767" t="n">
        <v>47</v>
      </c>
      <c r="P114" s="767" t="n">
        <v>57</v>
      </c>
      <c r="Q114" s="766" t="n">
        <v>0</v>
      </c>
      <c r="R114" s="767" t="n"/>
      <c r="S114" s="767" t="n"/>
      <c r="T114" s="767" t="n"/>
      <c r="U114" s="758" t="n">
        <v>0</v>
      </c>
      <c r="V114" s="758" t="n">
        <v>12000</v>
      </c>
      <c r="W114" s="758">
        <f>'Raw Food Data (KG)'!Q75</f>
        <v/>
      </c>
      <c r="X114" s="758" t="n">
        <v>6400</v>
      </c>
      <c r="Y114" s="758" t="n">
        <v>31500</v>
      </c>
      <c r="Z114" s="768" t="n">
        <v>6.5</v>
      </c>
      <c r="AA114" s="745">
        <f>SUM(B114:C114)</f>
        <v/>
      </c>
      <c r="AB114" s="744">
        <f>SUM(AA103:AA114)</f>
        <v/>
      </c>
      <c r="AC114" s="746">
        <f>AB114/12</f>
        <v/>
      </c>
      <c r="AD114" s="744">
        <f>SUM(D114:Z114)</f>
        <v/>
      </c>
      <c r="AE114" s="744">
        <f>SUM(AD103:AD114)</f>
        <v/>
      </c>
      <c r="AF114" s="746">
        <f>AE114/12</f>
        <v/>
      </c>
    </row>
    <row r="115">
      <c r="A115" s="760" t="n">
        <v>44896</v>
      </c>
      <c r="B115" s="758" t="n">
        <v>132640</v>
      </c>
      <c r="C115" s="758" t="n">
        <v>21400</v>
      </c>
      <c r="D115" s="758" t="n">
        <v>1104</v>
      </c>
      <c r="E115" s="758" t="n">
        <v>11105</v>
      </c>
      <c r="F115" s="758" t="n">
        <v>65</v>
      </c>
      <c r="G115" s="758" t="n">
        <v>1568</v>
      </c>
      <c r="H115" s="758" t="n">
        <v>279</v>
      </c>
      <c r="I115" s="758" t="n">
        <v>0</v>
      </c>
      <c r="J115" s="766" t="n">
        <v>0</v>
      </c>
      <c r="K115" s="758" t="n">
        <v>762</v>
      </c>
      <c r="L115" s="758" t="n">
        <v>230</v>
      </c>
      <c r="M115" s="564" t="n">
        <v>800</v>
      </c>
      <c r="N115" s="564" t="n">
        <v>400</v>
      </c>
      <c r="O115" s="767" t="n">
        <v>101</v>
      </c>
      <c r="P115" s="767" t="n">
        <v>17</v>
      </c>
      <c r="Q115" s="766" t="n">
        <v>0</v>
      </c>
      <c r="R115" s="767" t="n"/>
      <c r="S115" s="767" t="n"/>
      <c r="T115" s="767" t="n"/>
      <c r="U115" s="758" t="n">
        <v>0</v>
      </c>
      <c r="V115" s="758" t="n">
        <v>15000</v>
      </c>
      <c r="W115" s="758">
        <f>'Raw Food Data (KG)'!Q76</f>
        <v/>
      </c>
      <c r="X115" s="758" t="n">
        <v>6400</v>
      </c>
      <c r="Y115" s="758" t="n">
        <v>28000</v>
      </c>
      <c r="Z115" s="768" t="n">
        <v>0</v>
      </c>
      <c r="AA115" s="745">
        <f>SUM(B115:C115)</f>
        <v/>
      </c>
      <c r="AB115" s="744">
        <f>SUM(AA104:AA115)</f>
        <v/>
      </c>
      <c r="AC115" s="746">
        <f>AB115/12</f>
        <v/>
      </c>
      <c r="AD115" s="744">
        <f>SUM(D115:Z115)</f>
        <v/>
      </c>
      <c r="AE115" s="744">
        <f>SUM(AD104:AD115)</f>
        <v/>
      </c>
      <c r="AF115" s="746">
        <f>AE115/12</f>
        <v/>
      </c>
    </row>
    <row r="116">
      <c r="A116" s="760" t="n">
        <v>44927</v>
      </c>
      <c r="B116" s="758" t="n">
        <v>106940</v>
      </c>
      <c r="C116" s="758" t="n">
        <v>17220</v>
      </c>
      <c r="D116" s="758" t="n">
        <v>68</v>
      </c>
      <c r="E116" s="758" t="n">
        <v>9350</v>
      </c>
      <c r="F116" s="758" t="n">
        <v>58</v>
      </c>
      <c r="G116" s="758" t="n">
        <v>714</v>
      </c>
      <c r="H116" s="758" t="n">
        <v>198</v>
      </c>
      <c r="I116" s="758" t="n">
        <v>36.5</v>
      </c>
      <c r="J116" s="766" t="n">
        <v>0</v>
      </c>
      <c r="K116" s="758" t="n">
        <v>757</v>
      </c>
      <c r="L116" s="758" t="n">
        <v>90</v>
      </c>
      <c r="M116" s="564" t="n">
        <v>400</v>
      </c>
      <c r="N116" s="564" t="n">
        <v>200</v>
      </c>
      <c r="O116" s="767" t="n">
        <v>0</v>
      </c>
      <c r="P116" s="767" t="n">
        <v>0</v>
      </c>
      <c r="Q116" s="766" t="n">
        <v>0</v>
      </c>
      <c r="R116" s="767" t="n"/>
      <c r="S116" s="767" t="n"/>
      <c r="T116" s="767" t="n"/>
      <c r="U116" s="758">
        <f>37*27+2*55</f>
        <v/>
      </c>
      <c r="V116" s="758" t="n">
        <v>15000</v>
      </c>
      <c r="W116" s="758">
        <f>'Raw Food Data (KG)'!Q77</f>
        <v/>
      </c>
      <c r="X116" s="758" t="n">
        <v>6400</v>
      </c>
      <c r="Y116" s="758" t="n">
        <v>31500</v>
      </c>
      <c r="Z116" s="768" t="n">
        <v>9.5</v>
      </c>
      <c r="AA116" s="745">
        <f>SUM(B116:C116)</f>
        <v/>
      </c>
      <c r="AB116" s="744">
        <f>SUM(AA105:AA116)</f>
        <v/>
      </c>
      <c r="AC116" s="746">
        <f>AB116/12</f>
        <v/>
      </c>
      <c r="AD116" s="744">
        <f>SUM(D116:Z116)</f>
        <v/>
      </c>
      <c r="AE116" s="744">
        <f>SUM(AD105:AD116)</f>
        <v/>
      </c>
      <c r="AF116" s="746">
        <f>AE116/12</f>
        <v/>
      </c>
    </row>
    <row r="117" ht="17" customHeight="1">
      <c r="A117" s="760" t="n">
        <v>44958</v>
      </c>
      <c r="B117" s="758" t="n">
        <v>127480</v>
      </c>
      <c r="C117" s="758" t="n">
        <v>24570</v>
      </c>
      <c r="D117" s="758" t="inlineStr">
        <is>
          <t>-</t>
        </is>
      </c>
      <c r="E117" s="758" t="n">
        <v>10379</v>
      </c>
      <c r="F117" s="758" t="n">
        <v>60</v>
      </c>
      <c r="G117" s="768" t="n">
        <v>1050</v>
      </c>
      <c r="H117" s="758" t="n">
        <v>217</v>
      </c>
      <c r="I117" s="758" t="n">
        <v>0</v>
      </c>
      <c r="J117" s="766" t="n">
        <v>0</v>
      </c>
      <c r="K117" s="758" t="n">
        <v>670</v>
      </c>
      <c r="L117" s="758" t="n">
        <v>140</v>
      </c>
      <c r="M117" s="564" t="n">
        <v>600</v>
      </c>
      <c r="N117" s="564" t="n">
        <v>400</v>
      </c>
      <c r="O117" s="767" t="n">
        <v>24</v>
      </c>
      <c r="P117" s="767" t="n">
        <v>72</v>
      </c>
      <c r="Q117" s="766" t="n">
        <v>0</v>
      </c>
      <c r="R117" s="767" t="n"/>
      <c r="S117" s="767" t="n"/>
      <c r="T117" s="767" t="n"/>
      <c r="U117" s="758" t="n">
        <v>0</v>
      </c>
      <c r="V117" s="758" t="n">
        <v>12000</v>
      </c>
      <c r="W117" s="758">
        <f>'Raw Food Data (KG)'!Q78</f>
        <v/>
      </c>
      <c r="X117" s="758" t="n">
        <v>6400</v>
      </c>
      <c r="Y117" s="758" t="n">
        <v>21000</v>
      </c>
      <c r="Z117" s="768" t="n">
        <v>13.4</v>
      </c>
      <c r="AA117" s="745">
        <f>SUM(B117:C117)</f>
        <v/>
      </c>
      <c r="AB117" s="744">
        <f>SUM(AA106:AA117)</f>
        <v/>
      </c>
      <c r="AC117" s="746">
        <f>AB117/12</f>
        <v/>
      </c>
      <c r="AD117" s="744">
        <f>SUM(D117:Z117)</f>
        <v/>
      </c>
      <c r="AE117" s="744">
        <f>SUM(AD106:AD117)</f>
        <v/>
      </c>
      <c r="AF117" s="746">
        <f>AE117/12</f>
        <v/>
      </c>
      <c r="AG117" s="769" t="n"/>
      <c r="AH117" s="769" t="n"/>
      <c r="AL117" s="92" t="n"/>
      <c r="AM117" s="92" t="n"/>
      <c r="AN117" s="92" t="n"/>
      <c r="AO117" s="92" t="n"/>
      <c r="AP117" s="92" t="n"/>
      <c r="AQ117" s="92" t="n"/>
    </row>
    <row r="118" ht="17" customHeight="1">
      <c r="A118" s="760" t="n">
        <v>44986</v>
      </c>
      <c r="B118" s="758" t="n">
        <v>146920</v>
      </c>
      <c r="C118" s="758" t="n">
        <v>22970</v>
      </c>
      <c r="D118" s="758" t="inlineStr">
        <is>
          <t>-</t>
        </is>
      </c>
      <c r="E118" s="758" t="n">
        <v>11198</v>
      </c>
      <c r="F118" s="758" t="n">
        <v>71</v>
      </c>
      <c r="G118" s="768" t="n">
        <v>903</v>
      </c>
      <c r="H118" s="758" t="n">
        <v>285</v>
      </c>
      <c r="I118" s="758" t="n">
        <v>35.8</v>
      </c>
      <c r="J118" s="766" t="n">
        <v>0</v>
      </c>
      <c r="K118" s="758" t="n">
        <v>603</v>
      </c>
      <c r="L118" s="758" t="n">
        <v>200</v>
      </c>
      <c r="M118" s="564" t="n">
        <v>800</v>
      </c>
      <c r="N118" s="564" t="n">
        <v>200</v>
      </c>
      <c r="O118" s="767">
        <f>0.05*580</f>
        <v/>
      </c>
      <c r="P118" s="767" t="n">
        <v>73</v>
      </c>
      <c r="Q118" s="766" t="n">
        <v>0</v>
      </c>
      <c r="R118" s="767" t="n"/>
      <c r="S118" s="767" t="n"/>
      <c r="T118" s="767" t="n"/>
      <c r="U118" s="758" t="n">
        <v>0</v>
      </c>
      <c r="V118" s="758" t="n">
        <v>15000</v>
      </c>
      <c r="W118" s="758">
        <f>'Raw Food Data (KG)'!Q79</f>
        <v/>
      </c>
      <c r="X118" s="758" t="n">
        <v>8000</v>
      </c>
      <c r="Y118" s="758" t="n">
        <v>24500</v>
      </c>
      <c r="Z118" s="768" t="n">
        <v>26.5</v>
      </c>
      <c r="AA118" s="745">
        <f>SUM(B118:C118)</f>
        <v/>
      </c>
      <c r="AB118" s="744">
        <f>SUM(AA107:AA118)</f>
        <v/>
      </c>
      <c r="AC118" s="746">
        <f>AB118/12</f>
        <v/>
      </c>
      <c r="AD118" s="744">
        <f>SUM(D118:Z118)</f>
        <v/>
      </c>
      <c r="AE118" s="744">
        <f>SUM(AD107:AD118)</f>
        <v/>
      </c>
      <c r="AF118" s="746">
        <f>AE118/12</f>
        <v/>
      </c>
      <c r="AG118" s="769" t="n"/>
      <c r="AH118" s="769" t="n"/>
      <c r="AL118" s="92" t="n"/>
      <c r="AM118" s="92" t="n"/>
      <c r="AN118" s="92" t="n"/>
      <c r="AO118" s="92" t="n"/>
      <c r="AP118" s="92" t="n"/>
      <c r="AQ118" s="92" t="n"/>
    </row>
    <row r="119" ht="17" customHeight="1">
      <c r="A119" s="760" t="n">
        <v>45017</v>
      </c>
      <c r="B119" s="758" t="n">
        <v>129810</v>
      </c>
      <c r="C119" s="758" t="n">
        <v>19680</v>
      </c>
      <c r="D119" s="758" t="inlineStr">
        <is>
          <t>-</t>
        </is>
      </c>
      <c r="E119" s="758" t="n">
        <v>10871</v>
      </c>
      <c r="F119" s="758" t="n">
        <v>61</v>
      </c>
      <c r="G119" s="768" t="n">
        <v>666</v>
      </c>
      <c r="H119" s="758" t="n">
        <v>220</v>
      </c>
      <c r="I119" s="758" t="n">
        <v>35.75</v>
      </c>
      <c r="J119" s="766" t="n">
        <v>0</v>
      </c>
      <c r="K119" s="758" t="n">
        <v>499</v>
      </c>
      <c r="L119" s="758" t="n">
        <v>250</v>
      </c>
      <c r="M119" s="565" t="n">
        <v>200</v>
      </c>
      <c r="N119" s="565" t="n">
        <v>200</v>
      </c>
      <c r="O119" s="767" t="n">
        <v>0</v>
      </c>
      <c r="P119" s="767" t="n">
        <v>48</v>
      </c>
      <c r="Q119" s="766" t="n">
        <v>0</v>
      </c>
      <c r="R119" s="767" t="n"/>
      <c r="S119" s="767" t="n"/>
      <c r="T119" s="767" t="n"/>
      <c r="U119" s="758">
        <f>39*27+7*55</f>
        <v/>
      </c>
      <c r="V119" s="758" t="n">
        <v>15000</v>
      </c>
      <c r="W119" s="758">
        <f>'Raw Food Data (KG)'!Q80</f>
        <v/>
      </c>
      <c r="X119" s="758" t="n">
        <v>4800</v>
      </c>
      <c r="Y119" s="758" t="n">
        <v>17500</v>
      </c>
      <c r="Z119" s="768" t="n">
        <v>6.5</v>
      </c>
      <c r="AA119" s="745">
        <f>SUM(B119:C119)</f>
        <v/>
      </c>
      <c r="AB119" s="744">
        <f>SUM(AA108:AA119)</f>
        <v/>
      </c>
      <c r="AC119" s="746">
        <f>AB119/12</f>
        <v/>
      </c>
      <c r="AD119" s="744">
        <f>SUM(D119:Z119)</f>
        <v/>
      </c>
      <c r="AE119" s="744">
        <f>SUM(AD108:AD119)</f>
        <v/>
      </c>
      <c r="AF119" s="746">
        <f>AE119/12</f>
        <v/>
      </c>
      <c r="AG119" s="769" t="n"/>
      <c r="AH119" s="769" t="n"/>
      <c r="AL119" s="92" t="n"/>
      <c r="AM119" s="92" t="n"/>
      <c r="AN119" s="92" t="n"/>
      <c r="AO119" s="92" t="n"/>
      <c r="AP119" s="92" t="n"/>
      <c r="AQ119" s="92" t="n"/>
    </row>
    <row r="120" ht="17" customHeight="1">
      <c r="A120" s="760" t="n">
        <v>45047</v>
      </c>
      <c r="B120" s="758" t="n">
        <v>131750</v>
      </c>
      <c r="C120" s="758" t="n">
        <v>20220</v>
      </c>
      <c r="D120" s="758" t="inlineStr">
        <is>
          <t>-</t>
        </is>
      </c>
      <c r="E120" s="758" t="n">
        <v>10533</v>
      </c>
      <c r="F120" s="758" t="n">
        <v>69</v>
      </c>
      <c r="G120" s="768" t="n">
        <v>569</v>
      </c>
      <c r="H120" s="758" t="n">
        <v>260</v>
      </c>
      <c r="I120" s="758" t="n">
        <v>28.9</v>
      </c>
      <c r="J120" s="766" t="n">
        <v>0</v>
      </c>
      <c r="K120" s="758" t="n">
        <v>0</v>
      </c>
      <c r="L120" s="758" t="n">
        <v>120</v>
      </c>
      <c r="M120" s="565" t="n">
        <v>400</v>
      </c>
      <c r="N120" s="565" t="n">
        <v>200</v>
      </c>
      <c r="O120" s="767" t="n">
        <v>0</v>
      </c>
      <c r="P120" s="767" t="n">
        <v>105</v>
      </c>
      <c r="Q120" s="766" t="n">
        <v>0</v>
      </c>
      <c r="R120" s="767" t="n"/>
      <c r="S120" s="767" t="n"/>
      <c r="T120" s="767" t="n"/>
      <c r="U120" s="758" t="n">
        <v>0</v>
      </c>
      <c r="V120" s="758" t="n">
        <v>12000</v>
      </c>
      <c r="W120" s="758">
        <f>'Raw Food Data (KG)'!Q81</f>
        <v/>
      </c>
      <c r="X120" s="758" t="n">
        <v>6400</v>
      </c>
      <c r="Y120" s="758" t="n">
        <v>24500</v>
      </c>
      <c r="Z120" s="768" t="n">
        <v>0</v>
      </c>
      <c r="AA120" s="745">
        <f>SUM(B120:C120)</f>
        <v/>
      </c>
      <c r="AB120" s="744">
        <f>SUM(AA109:AA120)</f>
        <v/>
      </c>
      <c r="AC120" s="746">
        <f>AB120/12</f>
        <v/>
      </c>
      <c r="AD120" s="744">
        <f>SUM(D120:Z120)</f>
        <v/>
      </c>
      <c r="AE120" s="744">
        <f>SUM(AD109:AD120)</f>
        <v/>
      </c>
      <c r="AF120" s="746">
        <f>AE120/12</f>
        <v/>
      </c>
      <c r="AG120" s="769" t="n"/>
      <c r="AH120" s="769" t="n"/>
      <c r="AL120" s="92" t="n"/>
      <c r="AM120" s="92" t="n"/>
      <c r="AN120" s="92" t="n"/>
      <c r="AO120" s="92" t="n"/>
      <c r="AP120" s="92" t="n"/>
      <c r="AQ120" s="92" t="n"/>
    </row>
    <row r="121" ht="17" customHeight="1">
      <c r="A121" s="760" t="n">
        <v>45078</v>
      </c>
      <c r="B121" s="758" t="n">
        <v>117380</v>
      </c>
      <c r="C121" s="758" t="n">
        <v>24830</v>
      </c>
      <c r="D121" s="758" t="inlineStr">
        <is>
          <t>-</t>
        </is>
      </c>
      <c r="E121" s="758" t="n">
        <v>10392</v>
      </c>
      <c r="F121" s="758" t="n">
        <v>63</v>
      </c>
      <c r="G121" s="768" t="n">
        <v>834</v>
      </c>
      <c r="H121" s="758" t="n">
        <v>244</v>
      </c>
      <c r="I121" s="758" t="n">
        <v>41.45</v>
      </c>
      <c r="J121" s="770" t="n">
        <v>0</v>
      </c>
      <c r="K121" s="758" t="n">
        <v>608</v>
      </c>
      <c r="L121" s="758" t="n">
        <v>180</v>
      </c>
      <c r="M121" s="565" t="n">
        <v>1200</v>
      </c>
      <c r="N121" s="565" t="n">
        <v>200</v>
      </c>
      <c r="O121" s="767" t="n">
        <v>0</v>
      </c>
      <c r="P121" s="767" t="n">
        <v>22</v>
      </c>
      <c r="Q121" s="770" t="n">
        <v>0</v>
      </c>
      <c r="R121" s="767" t="n"/>
      <c r="S121" s="767" t="n"/>
      <c r="T121" s="767" t="n"/>
      <c r="U121" s="758" t="n">
        <v>0</v>
      </c>
      <c r="V121" s="758" t="n">
        <v>12000</v>
      </c>
      <c r="W121" s="758">
        <f>'Raw Food Data (KG)'!Q82</f>
        <v/>
      </c>
      <c r="X121" s="758" t="n">
        <v>8000</v>
      </c>
      <c r="Y121" s="758" t="n">
        <v>24500</v>
      </c>
      <c r="Z121" s="768" t="n">
        <v>43</v>
      </c>
      <c r="AA121" s="745">
        <f>SUM(B121:C121)</f>
        <v/>
      </c>
      <c r="AB121" s="744">
        <f>SUM(AA110:AA121)</f>
        <v/>
      </c>
      <c r="AC121" s="746">
        <f>AB121/12</f>
        <v/>
      </c>
      <c r="AD121" s="744">
        <f>SUM(D121:Z121)</f>
        <v/>
      </c>
      <c r="AE121" s="744">
        <f>SUM(AD110:AD121)</f>
        <v/>
      </c>
      <c r="AF121" s="746">
        <f>AE121/12</f>
        <v/>
      </c>
      <c r="AG121" s="769" t="n"/>
      <c r="AH121" s="764">
        <f>AB121+AE121</f>
        <v/>
      </c>
      <c r="AL121" s="92" t="n"/>
      <c r="AM121" s="92" t="n"/>
      <c r="AN121" s="92" t="n"/>
      <c r="AO121" s="92" t="n"/>
      <c r="AP121" s="92" t="n"/>
      <c r="AQ121" s="92" t="n"/>
    </row>
    <row r="122" ht="17" customHeight="1">
      <c r="A122" s="760" t="n">
        <v>45108</v>
      </c>
      <c r="B122" s="761" t="n">
        <v>112750</v>
      </c>
      <c r="C122" s="761" t="n">
        <v>23930</v>
      </c>
      <c r="D122" s="761" t="inlineStr">
        <is>
          <t xml:space="preserve"> - </t>
        </is>
      </c>
      <c r="E122" s="761">
        <f>6996+3674</f>
        <v/>
      </c>
      <c r="F122" s="761" t="n">
        <v>69</v>
      </c>
      <c r="G122" s="763" t="n">
        <v>846</v>
      </c>
      <c r="H122" s="761" t="n">
        <v>216</v>
      </c>
      <c r="I122" s="761" t="n">
        <v>43.5</v>
      </c>
      <c r="J122" s="770" t="n">
        <v>0</v>
      </c>
      <c r="K122" s="761" t="n">
        <v>673</v>
      </c>
      <c r="L122" s="761" t="n">
        <v>170</v>
      </c>
      <c r="M122" s="566" t="n">
        <v>1200</v>
      </c>
      <c r="N122" s="566" t="n">
        <v>400</v>
      </c>
      <c r="O122" s="757" t="n">
        <v>0</v>
      </c>
      <c r="P122" s="757" t="n">
        <v>0</v>
      </c>
      <c r="Q122" s="770" t="n">
        <v>0</v>
      </c>
      <c r="R122" s="757" t="n"/>
      <c r="S122" s="757" t="n"/>
      <c r="T122" s="757" t="n"/>
      <c r="U122" s="761" t="n">
        <v>513</v>
      </c>
      <c r="V122" s="761" t="n">
        <v>18000</v>
      </c>
      <c r="W122" s="758">
        <f>'Raw Food Data (KG)'!Q83</f>
        <v/>
      </c>
      <c r="X122" s="761">
        <f>7.185*1000</f>
        <v/>
      </c>
      <c r="Y122" s="761" t="n">
        <v>14485</v>
      </c>
      <c r="Z122" s="763" t="n">
        <v>0</v>
      </c>
      <c r="AA122" s="745">
        <f>SUM(B122:C122)</f>
        <v/>
      </c>
      <c r="AB122" s="744">
        <f>SUM(AA111:AA122)</f>
        <v/>
      </c>
      <c r="AC122" s="746">
        <f>AB122/12</f>
        <v/>
      </c>
      <c r="AD122" s="744">
        <f>SUM(D122:Z122)</f>
        <v/>
      </c>
      <c r="AE122" s="744">
        <f>SUM(AD111:AD122)</f>
        <v/>
      </c>
      <c r="AF122" s="746">
        <f>AE122/12</f>
        <v/>
      </c>
      <c r="AG122" s="769" t="n"/>
      <c r="AH122" s="769" t="n"/>
      <c r="AL122" s="92" t="n"/>
      <c r="AM122" s="92" t="n"/>
      <c r="AN122" s="92" t="n"/>
      <c r="AO122" s="92" t="n"/>
      <c r="AP122" s="92" t="n"/>
      <c r="AQ122" s="92" t="n"/>
    </row>
    <row r="123" ht="17" customHeight="1">
      <c r="A123" s="760" t="n">
        <v>45139</v>
      </c>
      <c r="B123" s="761" t="n">
        <v>124050</v>
      </c>
      <c r="C123" s="761" t="n">
        <v>29050</v>
      </c>
      <c r="D123" s="761" t="inlineStr">
        <is>
          <t xml:space="preserve"> - </t>
        </is>
      </c>
      <c r="E123" s="761">
        <f>7291+3441</f>
        <v/>
      </c>
      <c r="F123" s="761">
        <f>72</f>
        <v/>
      </c>
      <c r="G123" s="763">
        <f>800</f>
        <v/>
      </c>
      <c r="H123" s="761">
        <f>227</f>
        <v/>
      </c>
      <c r="I123" s="761" t="n">
        <v>53.9</v>
      </c>
      <c r="J123" s="770" t="n">
        <v>0</v>
      </c>
      <c r="K123" s="761" t="n">
        <v>996</v>
      </c>
      <c r="L123" s="761" t="n">
        <v>250</v>
      </c>
      <c r="M123" s="567" t="n">
        <v>600</v>
      </c>
      <c r="N123" s="567" t="n">
        <v>400</v>
      </c>
      <c r="O123" s="757" t="n">
        <v>0</v>
      </c>
      <c r="P123" s="757" t="n">
        <v>0</v>
      </c>
      <c r="Q123" s="770" t="n">
        <v>0</v>
      </c>
      <c r="R123" s="757" t="n"/>
      <c r="S123" s="757" t="n"/>
      <c r="T123" s="757" t="n"/>
      <c r="U123" s="761">
        <f>(8*27)+(2*4.5)+(6*35)</f>
        <v/>
      </c>
      <c r="V123" s="761" t="n">
        <v>15000</v>
      </c>
      <c r="W123" s="758">
        <f>'Raw Food Data (KG)'!Q84</f>
        <v/>
      </c>
      <c r="X123" s="761">
        <f>7.2*1000</f>
        <v/>
      </c>
      <c r="Y123" s="761" t="n">
        <v>20070</v>
      </c>
      <c r="Z123" s="763" t="n">
        <v>21.1</v>
      </c>
      <c r="AA123" s="745">
        <f>SUM(B123:C123)</f>
        <v/>
      </c>
      <c r="AB123" s="744">
        <f>SUM(AA112:AA123)</f>
        <v/>
      </c>
      <c r="AC123" s="746">
        <f>AB123/12</f>
        <v/>
      </c>
      <c r="AD123" s="744">
        <f>SUM(D123:Z123)</f>
        <v/>
      </c>
      <c r="AE123" s="744">
        <f>SUM(AD112:AD123)</f>
        <v/>
      </c>
      <c r="AF123" s="746">
        <f>AE123/12</f>
        <v/>
      </c>
      <c r="AG123" s="769" t="n"/>
      <c r="AH123" s="769" t="n"/>
      <c r="AL123" s="92" t="n"/>
      <c r="AM123" s="92" t="n"/>
      <c r="AN123" s="92" t="n"/>
      <c r="AO123" s="92" t="n"/>
      <c r="AP123" s="92" t="n"/>
      <c r="AQ123" s="92" t="n"/>
    </row>
    <row r="124" ht="17" customHeight="1">
      <c r="A124" s="760" t="n">
        <v>45170</v>
      </c>
      <c r="B124" s="761" t="n">
        <v>139580</v>
      </c>
      <c r="C124" s="761" t="n">
        <v>18300</v>
      </c>
      <c r="D124" s="761" t="inlineStr">
        <is>
          <t xml:space="preserve"> - </t>
        </is>
      </c>
      <c r="E124" s="761">
        <f>7713+3422</f>
        <v/>
      </c>
      <c r="F124" s="761">
        <f>70</f>
        <v/>
      </c>
      <c r="G124" s="763">
        <f>731</f>
        <v/>
      </c>
      <c r="H124" s="761">
        <f>261</f>
        <v/>
      </c>
      <c r="I124" s="761">
        <f>43.75</f>
        <v/>
      </c>
      <c r="J124" s="770" t="n">
        <v>0</v>
      </c>
      <c r="K124" s="761" t="n">
        <v>0</v>
      </c>
      <c r="L124" s="761" t="n">
        <v>180</v>
      </c>
      <c r="M124" s="567" t="n">
        <v>800</v>
      </c>
      <c r="N124" s="567" t="n">
        <v>400</v>
      </c>
      <c r="O124" s="757" t="n">
        <v>74</v>
      </c>
      <c r="P124" s="757" t="n">
        <v>0</v>
      </c>
      <c r="Q124" s="770" t="n">
        <v>0</v>
      </c>
      <c r="R124" s="757" t="n"/>
      <c r="S124" s="757" t="n"/>
      <c r="T124" s="757" t="n"/>
      <c r="U124" s="761">
        <f>(19*27)+(4*4.5)</f>
        <v/>
      </c>
      <c r="V124" s="761" t="n">
        <v>15000</v>
      </c>
      <c r="W124" s="758">
        <f>'Raw Food Data (KG)'!Q85</f>
        <v/>
      </c>
      <c r="X124" s="761">
        <f>11.215*1000</f>
        <v/>
      </c>
      <c r="Y124" s="761" t="n">
        <v>37770</v>
      </c>
      <c r="Z124" s="763" t="n">
        <v>17.6</v>
      </c>
      <c r="AA124" s="745">
        <f>SUM(B124:C124)</f>
        <v/>
      </c>
      <c r="AB124" s="744">
        <f>SUM(AA113:AA124)</f>
        <v/>
      </c>
      <c r="AC124" s="746">
        <f>AB124/12</f>
        <v/>
      </c>
      <c r="AD124" s="744">
        <f>SUM(D124:Z124)</f>
        <v/>
      </c>
      <c r="AE124" s="744">
        <f>SUM(AD113:AD124)</f>
        <v/>
      </c>
      <c r="AF124" s="746">
        <f>AE124/12</f>
        <v/>
      </c>
      <c r="AG124" s="549" t="n"/>
      <c r="AH124" s="549" t="n"/>
      <c r="AL124" s="92" t="n"/>
      <c r="AM124" s="92" t="n"/>
      <c r="AN124" s="92" t="n"/>
      <c r="AO124" s="92" t="n"/>
      <c r="AP124" s="92" t="n"/>
      <c r="AQ124" s="92" t="n"/>
    </row>
    <row r="125" ht="17" customHeight="1">
      <c r="A125" s="760" t="n">
        <v>45200</v>
      </c>
      <c r="B125" s="761" t="n">
        <v>133760</v>
      </c>
      <c r="C125" s="761" t="n">
        <v>17930</v>
      </c>
      <c r="D125" s="761" t="inlineStr">
        <is>
          <t xml:space="preserve"> - </t>
        </is>
      </c>
      <c r="E125" s="761">
        <f>8080+3224</f>
        <v/>
      </c>
      <c r="F125" s="761" t="n">
        <v>72</v>
      </c>
      <c r="G125" s="763" t="n">
        <v>661</v>
      </c>
      <c r="H125" s="761" t="n">
        <v>323</v>
      </c>
      <c r="I125" s="761" t="n">
        <v>19.6</v>
      </c>
      <c r="J125" s="770" t="n">
        <v>0</v>
      </c>
      <c r="K125" s="761" t="n">
        <v>1412</v>
      </c>
      <c r="L125" s="761" t="n">
        <v>170</v>
      </c>
      <c r="M125" s="567" t="n">
        <v>400</v>
      </c>
      <c r="N125" s="567" t="n">
        <v>200</v>
      </c>
      <c r="O125" s="757" t="n">
        <v>77</v>
      </c>
      <c r="P125" s="757" t="n">
        <v>0</v>
      </c>
      <c r="Q125" s="770" t="n">
        <v>0</v>
      </c>
      <c r="R125" s="757" t="n"/>
      <c r="S125" s="757" t="n"/>
      <c r="T125" s="757" t="n"/>
      <c r="U125" s="761">
        <f>(13*27)+(3*4.5)</f>
        <v/>
      </c>
      <c r="V125" s="761" t="n">
        <v>15000</v>
      </c>
      <c r="W125" s="758">
        <f>'Raw Food Data (KG)'!Q86</f>
        <v/>
      </c>
      <c r="X125" s="761">
        <f>1000*9.565</f>
        <v/>
      </c>
      <c r="Y125" s="761" t="n">
        <v>20910</v>
      </c>
      <c r="Z125" s="763" t="n">
        <v>0</v>
      </c>
      <c r="AA125" s="745">
        <f>SUM(B125:C125)</f>
        <v/>
      </c>
      <c r="AB125" s="744">
        <f>SUM(AA114:AA125)</f>
        <v/>
      </c>
      <c r="AC125" s="746">
        <f>AB125/12</f>
        <v/>
      </c>
      <c r="AD125" s="744">
        <f>SUM(D125:Z125)</f>
        <v/>
      </c>
      <c r="AE125" s="744">
        <f>SUM(AD114:AD125)</f>
        <v/>
      </c>
      <c r="AF125" s="746">
        <f>AE125/12</f>
        <v/>
      </c>
      <c r="AG125" s="549" t="n"/>
      <c r="AH125" s="549" t="n"/>
      <c r="AL125" s="92" t="n"/>
      <c r="AM125" s="92" t="n"/>
      <c r="AN125" s="92" t="n"/>
      <c r="AO125" s="92" t="n"/>
      <c r="AP125" s="92" t="n"/>
      <c r="AQ125" s="92" t="n"/>
    </row>
    <row r="126" ht="17" customHeight="1">
      <c r="A126" s="760" t="n">
        <v>45253</v>
      </c>
      <c r="B126" s="761" t="n">
        <v>138502</v>
      </c>
      <c r="C126" s="761" t="n">
        <v>19760</v>
      </c>
      <c r="D126" s="761" t="inlineStr">
        <is>
          <t>-</t>
        </is>
      </c>
      <c r="E126" s="761">
        <f>9388+4072</f>
        <v/>
      </c>
      <c r="F126" s="761" t="n">
        <v>86</v>
      </c>
      <c r="G126" s="763" t="n">
        <v>666</v>
      </c>
      <c r="H126" s="761" t="n">
        <v>399</v>
      </c>
      <c r="I126" s="761" t="n">
        <v>20.6</v>
      </c>
      <c r="J126" s="770" t="n">
        <v>0</v>
      </c>
      <c r="K126" s="761" t="n">
        <v>975</v>
      </c>
      <c r="L126" s="761" t="n">
        <v>190</v>
      </c>
      <c r="M126" s="567" t="n">
        <v>800</v>
      </c>
      <c r="N126" s="572" t="n">
        <v>400</v>
      </c>
      <c r="O126" s="757" t="n">
        <v>0</v>
      </c>
      <c r="P126" s="757" t="n">
        <v>0</v>
      </c>
      <c r="Q126" s="770" t="n">
        <v>0</v>
      </c>
      <c r="R126" s="757" t="n"/>
      <c r="S126" s="757" t="n"/>
      <c r="T126" s="757" t="n"/>
      <c r="U126" s="761">
        <f>(12*27)+(5*4.5)+391</f>
        <v/>
      </c>
      <c r="V126" s="761" t="n">
        <v>12000</v>
      </c>
      <c r="W126" s="758">
        <f>'Raw Food Data (KG)'!Q87</f>
        <v/>
      </c>
      <c r="X126" s="761">
        <f>1000*7.803</f>
        <v/>
      </c>
      <c r="Y126" s="761" t="n">
        <v>15947</v>
      </c>
      <c r="Z126" s="763" t="n">
        <v>27.2</v>
      </c>
      <c r="AA126" s="745">
        <f>SUM(B126:C126)</f>
        <v/>
      </c>
      <c r="AB126" s="744">
        <f>SUM(AA115:AA126)</f>
        <v/>
      </c>
      <c r="AC126" s="746">
        <f>AB126/12</f>
        <v/>
      </c>
      <c r="AD126" s="744">
        <f>SUM(D126:Z126)</f>
        <v/>
      </c>
      <c r="AE126" s="744">
        <f>SUM(AD115:AD126)</f>
        <v/>
      </c>
      <c r="AF126" s="746">
        <f>AE126/12</f>
        <v/>
      </c>
      <c r="AG126" s="549" t="n"/>
      <c r="AH126" s="549" t="n"/>
      <c r="AL126" s="92" t="n"/>
      <c r="AM126" s="92" t="n"/>
      <c r="AN126" s="92" t="n"/>
      <c r="AO126" s="92" t="n"/>
      <c r="AP126" s="92" t="n"/>
      <c r="AQ126" s="92" t="n"/>
    </row>
    <row r="127" ht="17" customHeight="1">
      <c r="A127" s="760" t="n">
        <v>45261</v>
      </c>
      <c r="B127" s="761" t="n">
        <v>128818</v>
      </c>
      <c r="C127" s="761" t="n">
        <v>19890</v>
      </c>
      <c r="D127" s="761" t="inlineStr">
        <is>
          <t>-</t>
        </is>
      </c>
      <c r="E127" s="761">
        <f>9155+4287</f>
        <v/>
      </c>
      <c r="F127" s="761" t="n">
        <v>83</v>
      </c>
      <c r="G127" s="763" t="n">
        <v>259</v>
      </c>
      <c r="H127" s="761" t="n">
        <v>379</v>
      </c>
      <c r="I127" s="761" t="n">
        <v>17.8</v>
      </c>
      <c r="J127" s="770" t="n">
        <v>0</v>
      </c>
      <c r="K127" s="761" t="n">
        <v>856</v>
      </c>
      <c r="L127" s="761" t="n">
        <v>180</v>
      </c>
      <c r="M127" s="567" t="n">
        <v>1200</v>
      </c>
      <c r="N127" s="572" t="n">
        <v>600</v>
      </c>
      <c r="O127" s="757" t="n">
        <v>0</v>
      </c>
      <c r="P127" s="757" t="n">
        <v>0</v>
      </c>
      <c r="Q127" s="770" t="n">
        <v>0</v>
      </c>
      <c r="R127" s="757" t="n"/>
      <c r="S127" s="757" t="n"/>
      <c r="T127" s="757" t="n"/>
      <c r="U127" s="761">
        <f>838+447</f>
        <v/>
      </c>
      <c r="V127" s="761" t="n">
        <v>15000</v>
      </c>
      <c r="W127" s="758">
        <f>'Raw Food Data (KG)'!Q88</f>
        <v/>
      </c>
      <c r="X127" s="761">
        <f>19.833*1000</f>
        <v/>
      </c>
      <c r="Y127" s="761">
        <f>7885</f>
        <v/>
      </c>
      <c r="Z127" s="763" t="n">
        <v>0</v>
      </c>
      <c r="AA127" s="745">
        <f>SUM(B127:C127)</f>
        <v/>
      </c>
      <c r="AB127" s="744">
        <f>SUM(AA116:AA127)</f>
        <v/>
      </c>
      <c r="AC127" s="746">
        <f>AB127/12</f>
        <v/>
      </c>
      <c r="AD127" s="744">
        <f>SUM(D127:Z127)</f>
        <v/>
      </c>
      <c r="AE127" s="744">
        <f>SUM(AD116:AD127)</f>
        <v/>
      </c>
      <c r="AF127" s="746">
        <f>AE127/12</f>
        <v/>
      </c>
      <c r="AG127" s="549" t="n"/>
      <c r="AH127" s="549" t="n"/>
      <c r="AJ127" s="744">
        <f>AE133/AB133</f>
        <v/>
      </c>
      <c r="AL127" s="92" t="n"/>
      <c r="AM127" s="92" t="n"/>
      <c r="AN127" s="92" t="n"/>
      <c r="AO127" s="92" t="n"/>
      <c r="AP127" s="92" t="n"/>
      <c r="AQ127" s="92" t="n"/>
    </row>
    <row r="128" ht="17" customHeight="1">
      <c r="A128" s="760" t="n">
        <v>45292</v>
      </c>
      <c r="B128" s="761">
        <f>109960+48</f>
        <v/>
      </c>
      <c r="C128" s="761" t="n">
        <v>20330</v>
      </c>
      <c r="D128" s="761" t="inlineStr">
        <is>
          <t>-</t>
        </is>
      </c>
      <c r="E128" s="761" t="n">
        <v>13416</v>
      </c>
      <c r="F128" s="761" t="n">
        <v>75</v>
      </c>
      <c r="G128" s="763" t="n">
        <v>660</v>
      </c>
      <c r="H128" s="761" t="n">
        <v>359</v>
      </c>
      <c r="I128" s="761" t="n">
        <v>19.8</v>
      </c>
      <c r="J128" s="770" t="n">
        <v>0</v>
      </c>
      <c r="K128" s="761" t="n">
        <v>0</v>
      </c>
      <c r="L128" s="761" t="n">
        <v>200</v>
      </c>
      <c r="M128" s="567" t="n">
        <v>800</v>
      </c>
      <c r="N128" s="567" t="n">
        <v>400</v>
      </c>
      <c r="O128" s="771" t="n">
        <v>371</v>
      </c>
      <c r="P128" s="771" t="n">
        <v>128</v>
      </c>
      <c r="Q128" s="770" t="n">
        <v>0</v>
      </c>
      <c r="R128" s="761" t="n"/>
      <c r="S128" s="761" t="n"/>
      <c r="T128" s="761" t="n"/>
      <c r="U128" s="761">
        <f>435+482.5</f>
        <v/>
      </c>
      <c r="V128" s="761" t="n">
        <v>18000</v>
      </c>
      <c r="W128" s="758">
        <f>'Raw Food Data (KG)'!Q89</f>
        <v/>
      </c>
      <c r="X128" s="761" t="n">
        <v>21650</v>
      </c>
      <c r="Y128" s="761" t="n">
        <v>7650</v>
      </c>
      <c r="Z128" s="763" t="n">
        <v>6</v>
      </c>
      <c r="AA128" s="745">
        <f>SUM(B128:C128)</f>
        <v/>
      </c>
      <c r="AB128" s="744">
        <f>SUM(AA117:AA128)</f>
        <v/>
      </c>
      <c r="AC128" s="746">
        <f>AB128/12</f>
        <v/>
      </c>
      <c r="AD128" s="744">
        <f>SUM(D128:Z128)</f>
        <v/>
      </c>
      <c r="AE128" s="744">
        <f>SUM(AD117:AD128)</f>
        <v/>
      </c>
      <c r="AF128" s="746">
        <f>AE128/12</f>
        <v/>
      </c>
      <c r="AG128" s="549" t="n"/>
      <c r="AH128" s="549" t="n"/>
      <c r="AL128" s="92" t="n"/>
      <c r="AM128" s="92" t="n"/>
      <c r="AN128" s="92" t="n"/>
      <c r="AO128" s="92" t="n"/>
      <c r="AP128" s="92" t="n"/>
      <c r="AQ128" s="92" t="n"/>
    </row>
    <row r="129" ht="17" customHeight="1">
      <c r="A129" s="760" t="n">
        <v>45323</v>
      </c>
      <c r="B129" s="772">
        <f>107.19*1000+9.9</f>
        <v/>
      </c>
      <c r="C129" s="761">
        <f>15.82*1000</f>
        <v/>
      </c>
      <c r="D129" s="761" t="inlineStr">
        <is>
          <t>-</t>
        </is>
      </c>
      <c r="E129" s="761">
        <f>8541+4048</f>
        <v/>
      </c>
      <c r="F129" s="761" t="n">
        <v>75</v>
      </c>
      <c r="G129" s="763" t="n">
        <v>243</v>
      </c>
      <c r="H129" s="761" t="n">
        <v>356</v>
      </c>
      <c r="I129" s="761" t="n">
        <v>15.4</v>
      </c>
      <c r="J129" s="770" t="n">
        <v>0</v>
      </c>
      <c r="K129" s="761" t="n">
        <v>698</v>
      </c>
      <c r="L129" s="773" t="n">
        <v>160</v>
      </c>
      <c r="M129" s="568" t="n">
        <v>800</v>
      </c>
      <c r="N129" s="568" t="n">
        <v>200</v>
      </c>
      <c r="O129" s="771" t="n">
        <v>201</v>
      </c>
      <c r="P129" s="771" t="n">
        <v>115</v>
      </c>
      <c r="Q129" s="770" t="n">
        <v>0</v>
      </c>
      <c r="R129" s="761" t="n"/>
      <c r="S129" s="761" t="n"/>
      <c r="T129" s="761" t="n"/>
      <c r="U129" s="761">
        <f>218.1+135</f>
        <v/>
      </c>
      <c r="V129" s="761" t="n">
        <v>15000</v>
      </c>
      <c r="W129" s="758">
        <f>'Raw Food Data (KG)'!Q90</f>
        <v/>
      </c>
      <c r="X129" s="771" t="n">
        <v>15470</v>
      </c>
      <c r="Y129" s="771" t="n">
        <v>6340</v>
      </c>
      <c r="Z129" s="771" t="n">
        <v>4.7</v>
      </c>
      <c r="AA129" s="745">
        <f>SUM(B129:C129)</f>
        <v/>
      </c>
      <c r="AB129" s="744">
        <f>SUM(AA118:AA129)</f>
        <v/>
      </c>
      <c r="AC129" s="746">
        <f>AB129/12</f>
        <v/>
      </c>
      <c r="AD129" s="744">
        <f>SUM(D129:Z129)</f>
        <v/>
      </c>
      <c r="AE129" s="744">
        <f>SUM(AD118:AD129)</f>
        <v/>
      </c>
      <c r="AF129" s="746">
        <f>AE129/12</f>
        <v/>
      </c>
      <c r="AG129" s="549" t="n"/>
      <c r="AH129" s="549" t="n"/>
    </row>
    <row r="130" ht="17" customHeight="1">
      <c r="A130" s="760" t="n">
        <v>45352</v>
      </c>
      <c r="B130" s="761">
        <f>124360+49.7</f>
        <v/>
      </c>
      <c r="C130" s="761" t="n">
        <v>17340</v>
      </c>
      <c r="D130" s="761" t="inlineStr">
        <is>
          <t>-</t>
        </is>
      </c>
      <c r="E130" s="761" t="n">
        <v>13346</v>
      </c>
      <c r="F130" s="761" t="n">
        <v>78</v>
      </c>
      <c r="G130" s="763" t="n">
        <v>455</v>
      </c>
      <c r="H130" s="761" t="n">
        <v>393</v>
      </c>
      <c r="I130" s="761" t="n">
        <v>22.8</v>
      </c>
      <c r="J130" s="770" t="n">
        <v>0</v>
      </c>
      <c r="K130" s="761" t="n">
        <v>597</v>
      </c>
      <c r="L130" s="761" t="n">
        <v>130</v>
      </c>
      <c r="M130" s="566" t="n">
        <v>400</v>
      </c>
      <c r="N130" s="566" t="n">
        <v>400</v>
      </c>
      <c r="O130" s="773" t="n">
        <v>0</v>
      </c>
      <c r="P130" s="771" t="n">
        <v>0</v>
      </c>
      <c r="Q130" s="770" t="n">
        <v>0</v>
      </c>
      <c r="R130" s="761" t="n"/>
      <c r="S130" s="761" t="n"/>
      <c r="T130" s="761" t="n"/>
      <c r="U130" s="761">
        <f>425+360</f>
        <v/>
      </c>
      <c r="V130" s="761" t="n">
        <v>15000</v>
      </c>
      <c r="W130" s="758">
        <f>'Raw Food Data (KG)'!Q91</f>
        <v/>
      </c>
      <c r="X130" s="771" t="n">
        <v>17465</v>
      </c>
      <c r="Y130" s="771" t="n">
        <v>6740</v>
      </c>
      <c r="Z130" s="771" t="n">
        <v>32.6</v>
      </c>
      <c r="AA130" s="745">
        <f>SUM(B130:C130)</f>
        <v/>
      </c>
      <c r="AB130" s="744">
        <f>SUM(AA119:AA130)</f>
        <v/>
      </c>
      <c r="AC130" s="746">
        <f>AB130/12</f>
        <v/>
      </c>
      <c r="AD130" s="744">
        <f>SUM(D130:Z130)</f>
        <v/>
      </c>
      <c r="AE130" s="744">
        <f>SUM(AD119:AD130)</f>
        <v/>
      </c>
      <c r="AF130" s="746">
        <f>AE130/12</f>
        <v/>
      </c>
      <c r="AG130" s="549" t="n"/>
      <c r="AH130" s="549" t="n"/>
    </row>
    <row r="131" ht="17" customHeight="1">
      <c r="A131" s="760" t="n">
        <v>45383</v>
      </c>
      <c r="B131" s="761" t="n">
        <v>118019</v>
      </c>
      <c r="C131" s="761" t="n">
        <v>18260</v>
      </c>
      <c r="D131" s="761" t="inlineStr">
        <is>
          <t>-</t>
        </is>
      </c>
      <c r="E131" s="761" t="n">
        <v>12371</v>
      </c>
      <c r="F131" s="761" t="n">
        <v>79</v>
      </c>
      <c r="G131" s="763" t="n">
        <v>660</v>
      </c>
      <c r="H131" s="761" t="n">
        <v>413</v>
      </c>
      <c r="I131" s="761" t="n">
        <v>64.8</v>
      </c>
      <c r="J131" s="771" t="n">
        <v>0</v>
      </c>
      <c r="K131" s="761" t="n">
        <v>917</v>
      </c>
      <c r="L131" s="761" t="n">
        <v>200</v>
      </c>
      <c r="M131" s="566" t="n">
        <v>600</v>
      </c>
      <c r="N131" s="566" t="n">
        <v>200</v>
      </c>
      <c r="O131" s="771" t="n">
        <v>40</v>
      </c>
      <c r="P131" s="771" t="n">
        <v>210</v>
      </c>
      <c r="Q131" s="771" t="n">
        <v>0</v>
      </c>
      <c r="R131" s="761" t="n"/>
      <c r="S131" s="761" t="n"/>
      <c r="T131" s="761" t="n"/>
      <c r="U131" s="761">
        <f>242+198</f>
        <v/>
      </c>
      <c r="V131" s="761" t="n">
        <v>15000</v>
      </c>
      <c r="W131" s="758">
        <f>'Raw Food Data (KG)'!Q92</f>
        <v/>
      </c>
      <c r="X131" s="771" t="n">
        <v>6415</v>
      </c>
      <c r="Y131" s="771" t="n">
        <v>13000</v>
      </c>
      <c r="Z131" s="771" t="n">
        <v>22.8</v>
      </c>
      <c r="AA131" s="745">
        <f>SUM(B131:C131)</f>
        <v/>
      </c>
      <c r="AB131" s="744">
        <f>SUM(AA120:AA131)</f>
        <v/>
      </c>
      <c r="AC131" s="746">
        <f>AB131/12</f>
        <v/>
      </c>
      <c r="AD131" s="744">
        <f>SUM(D131:Z131)</f>
        <v/>
      </c>
      <c r="AE131" s="744">
        <f>SUM(AD120:AD131)</f>
        <v/>
      </c>
      <c r="AF131" s="746">
        <f>AE131/12</f>
        <v/>
      </c>
      <c r="AG131" s="549" t="n"/>
      <c r="AH131" s="549" t="n"/>
      <c r="AI131" s="410" t="n"/>
      <c r="AL131" s="744" t="n"/>
    </row>
    <row r="132" ht="17" customHeight="1">
      <c r="A132" s="760" t="n">
        <v>45413</v>
      </c>
      <c r="B132" s="761" t="n">
        <v>146460</v>
      </c>
      <c r="C132" s="761" t="n">
        <v>21780</v>
      </c>
      <c r="D132" s="761" t="inlineStr">
        <is>
          <t>-</t>
        </is>
      </c>
      <c r="E132" s="761" t="n">
        <v>13434</v>
      </c>
      <c r="F132" s="761" t="n">
        <v>83</v>
      </c>
      <c r="G132" s="763" t="n">
        <v>674</v>
      </c>
      <c r="H132" s="761" t="n">
        <v>396</v>
      </c>
      <c r="I132" s="757" t="n">
        <v>70.2</v>
      </c>
      <c r="J132" s="774" t="n">
        <v>0</v>
      </c>
      <c r="K132" s="761" t="n">
        <v>321</v>
      </c>
      <c r="L132" s="761" t="n">
        <v>150</v>
      </c>
      <c r="M132" s="566" t="n">
        <v>800</v>
      </c>
      <c r="N132" s="566" t="n">
        <v>400</v>
      </c>
      <c r="O132" s="771" t="n">
        <v>41</v>
      </c>
      <c r="P132" s="771" t="n">
        <v>74</v>
      </c>
      <c r="Q132" s="771" t="n">
        <v>0</v>
      </c>
      <c r="R132" s="761" t="n"/>
      <c r="S132" s="761" t="n"/>
      <c r="T132" s="761" t="n"/>
      <c r="U132" s="761" t="n">
        <v>359</v>
      </c>
      <c r="V132" s="761" t="n">
        <v>12000</v>
      </c>
      <c r="W132" s="758">
        <f>'Raw Food Data (KG)'!Q93</f>
        <v/>
      </c>
      <c r="X132" s="775" t="n">
        <v>7575</v>
      </c>
      <c r="Y132" s="775" t="n">
        <v>11695</v>
      </c>
      <c r="Z132" s="771" t="n">
        <v>35.7</v>
      </c>
      <c r="AA132" s="745">
        <f>SUM(B132:C132)</f>
        <v/>
      </c>
      <c r="AB132" s="744">
        <f>SUM(AA121:AA132)</f>
        <v/>
      </c>
      <c r="AC132" s="746">
        <f>AB132/12</f>
        <v/>
      </c>
      <c r="AD132" s="744">
        <f>SUM(D132:Z132)</f>
        <v/>
      </c>
      <c r="AE132" s="744">
        <f>SUM(AD121:AD132)</f>
        <v/>
      </c>
      <c r="AF132" s="746">
        <f>AE132/12</f>
        <v/>
      </c>
      <c r="AG132" s="549" t="n"/>
      <c r="AH132" s="549" t="n"/>
      <c r="AI132" s="410" t="n"/>
      <c r="AL132" s="744" t="n"/>
    </row>
    <row r="133" ht="17" customHeight="1">
      <c r="A133" s="760" t="n">
        <v>45444</v>
      </c>
      <c r="B133" s="761" t="n">
        <v>126612</v>
      </c>
      <c r="C133" s="761" t="n">
        <v>19770</v>
      </c>
      <c r="D133" s="761" t="inlineStr">
        <is>
          <t>-</t>
        </is>
      </c>
      <c r="E133" s="761" t="n">
        <v>12778</v>
      </c>
      <c r="F133" s="761" t="n">
        <v>84</v>
      </c>
      <c r="G133" s="763" t="n">
        <v>1003</v>
      </c>
      <c r="H133" s="761" t="n">
        <v>366</v>
      </c>
      <c r="I133" s="757" t="n">
        <v>81</v>
      </c>
      <c r="J133" s="771" t="n">
        <v>0</v>
      </c>
      <c r="K133" s="761" t="n">
        <v>612</v>
      </c>
      <c r="L133" s="761" t="n">
        <v>150</v>
      </c>
      <c r="M133" s="566" t="n">
        <v>400</v>
      </c>
      <c r="N133" s="566" t="n">
        <v>200</v>
      </c>
      <c r="O133" s="771" t="n">
        <v>0</v>
      </c>
      <c r="P133" s="771" t="n">
        <v>0</v>
      </c>
      <c r="Q133" s="771" t="n">
        <v>0</v>
      </c>
      <c r="R133" s="771" t="n"/>
      <c r="S133" s="771" t="n"/>
      <c r="T133" s="771" t="n"/>
      <c r="U133" s="761" t="n">
        <v>372.5</v>
      </c>
      <c r="V133" s="761" t="n">
        <v>18000</v>
      </c>
      <c r="W133" s="758">
        <f>'Raw Food Data (KG)'!Q94</f>
        <v/>
      </c>
      <c r="X133" s="771" t="n">
        <v>4565</v>
      </c>
      <c r="Y133" s="771" t="n">
        <v>14570</v>
      </c>
      <c r="Z133" s="771" t="n">
        <v>33.7</v>
      </c>
      <c r="AA133" s="745">
        <f>SUM(B133:C133)</f>
        <v/>
      </c>
      <c r="AB133" s="744">
        <f>SUM(AA122:AA133)</f>
        <v/>
      </c>
      <c r="AC133" s="746">
        <f>AB133/12</f>
        <v/>
      </c>
      <c r="AD133" s="744">
        <f>SUM(D133:Z133)</f>
        <v/>
      </c>
      <c r="AE133" s="744">
        <f>SUM(AD122:AD133)</f>
        <v/>
      </c>
      <c r="AF133" s="746">
        <f>AE133/12</f>
        <v/>
      </c>
      <c r="AG133" s="549" t="n"/>
      <c r="AH133" s="764">
        <f>AB133+AE133</f>
        <v/>
      </c>
      <c r="AK133" s="744" t="inlineStr">
        <is>
          <t>Recyclables</t>
        </is>
      </c>
      <c r="AL133" s="744" t="inlineStr">
        <is>
          <t>Trash</t>
        </is>
      </c>
    </row>
    <row r="134" ht="17" customHeight="1">
      <c r="A134" s="760" t="n">
        <v>45474</v>
      </c>
      <c r="B134" s="758">
        <f>137128.6+202</f>
        <v/>
      </c>
      <c r="C134" s="758" t="n">
        <v>23390</v>
      </c>
      <c r="D134" s="758" t="inlineStr">
        <is>
          <t>-</t>
        </is>
      </c>
      <c r="E134" s="758">
        <f>8765+3647</f>
        <v/>
      </c>
      <c r="F134" s="758" t="n">
        <v>86</v>
      </c>
      <c r="G134" s="758" t="n">
        <v>808</v>
      </c>
      <c r="H134" s="758" t="n">
        <v>361</v>
      </c>
      <c r="I134" s="758" t="n">
        <v>62</v>
      </c>
      <c r="J134" s="758" t="n">
        <v>0</v>
      </c>
      <c r="K134" s="758" t="n">
        <v>704</v>
      </c>
      <c r="L134" s="758" t="n">
        <v>210</v>
      </c>
      <c r="M134" s="569" t="n">
        <v>800</v>
      </c>
      <c r="N134" s="569" t="n">
        <v>400</v>
      </c>
      <c r="O134" s="758" t="n">
        <v>0</v>
      </c>
      <c r="P134" s="758" t="n">
        <v>0</v>
      </c>
      <c r="Q134" s="758" t="n">
        <v>0</v>
      </c>
      <c r="R134" s="758" t="n"/>
      <c r="S134" s="758" t="n"/>
      <c r="T134" s="758" t="n"/>
      <c r="U134" s="758">
        <f>1318+141.5</f>
        <v/>
      </c>
      <c r="V134" s="776" t="n">
        <v>18000</v>
      </c>
      <c r="W134" s="758">
        <f>'Raw Food Data (KG)'!Q95</f>
        <v/>
      </c>
      <c r="X134" s="758" t="n">
        <v>6540</v>
      </c>
      <c r="Y134" s="758" t="n">
        <v>13230</v>
      </c>
      <c r="Z134" s="758" t="n">
        <v>11.7</v>
      </c>
      <c r="AA134" s="745">
        <f>SUM(B134:C134)</f>
        <v/>
      </c>
      <c r="AB134" s="744">
        <f>SUM(AA123:AA134)</f>
        <v/>
      </c>
      <c r="AC134" s="746">
        <f>AB134/12</f>
        <v/>
      </c>
      <c r="AD134" s="744">
        <f>SUM(D134:Z134)</f>
        <v/>
      </c>
      <c r="AE134" s="744">
        <f>SUM(AD123:AD134)</f>
        <v/>
      </c>
      <c r="AF134" s="746">
        <f>AE134/12</f>
        <v/>
      </c>
      <c r="AG134" s="549" t="n"/>
      <c r="AH134" s="744" t="n"/>
      <c r="AJ134" s="744" t="inlineStr">
        <is>
          <t>2014/15</t>
        </is>
      </c>
      <c r="AK134" s="744" t="n">
        <v>9423.403416666666</v>
      </c>
      <c r="AL134" s="744" t="n">
        <v>276791.6666666667</v>
      </c>
      <c r="AM134" s="411">
        <f>AK134/AL134</f>
        <v/>
      </c>
    </row>
    <row r="135" ht="17" customHeight="1">
      <c r="A135" s="760" t="n">
        <v>45505</v>
      </c>
      <c r="B135" s="758">
        <f>120300+37</f>
        <v/>
      </c>
      <c r="C135" s="758" t="n">
        <v>19700</v>
      </c>
      <c r="D135" s="758" t="inlineStr">
        <is>
          <t>-</t>
        </is>
      </c>
      <c r="E135" s="758" t="n">
        <v>13553</v>
      </c>
      <c r="F135" s="758" t="n">
        <v>87</v>
      </c>
      <c r="G135" s="758" t="n">
        <v>300</v>
      </c>
      <c r="H135" s="758" t="n">
        <v>366</v>
      </c>
      <c r="I135" s="758" t="n">
        <v>65</v>
      </c>
      <c r="J135" s="758" t="n">
        <v>0</v>
      </c>
      <c r="K135" s="732" t="n">
        <v>479</v>
      </c>
      <c r="L135" s="732" t="n">
        <v>150</v>
      </c>
      <c r="M135" s="569" t="n">
        <v>800</v>
      </c>
      <c r="N135" s="569" t="n">
        <v>400</v>
      </c>
      <c r="O135" s="758" t="n">
        <v>26</v>
      </c>
      <c r="P135" s="758" t="n">
        <v>88</v>
      </c>
      <c r="Q135" s="758" t="n">
        <v>0</v>
      </c>
      <c r="R135" s="758" t="n"/>
      <c r="S135" s="758" t="n"/>
      <c r="T135" s="758" t="n"/>
      <c r="U135" s="758">
        <f>237+(27*4+35*5+4.5*6+27)</f>
        <v/>
      </c>
      <c r="V135" s="776" t="n">
        <v>21000</v>
      </c>
      <c r="W135" s="758">
        <f>'Raw Food Data (KG)'!Q96</f>
        <v/>
      </c>
      <c r="X135" s="758" t="n">
        <v>7880</v>
      </c>
      <c r="Y135" s="758" t="n">
        <v>16335</v>
      </c>
      <c r="Z135" s="758" t="n">
        <v>12.2</v>
      </c>
      <c r="AA135" s="745">
        <f>SUM(B135:C135)</f>
        <v/>
      </c>
      <c r="AB135" s="744">
        <f>SUM(AA124:AA135)</f>
        <v/>
      </c>
      <c r="AC135" s="746">
        <f>AB135/12</f>
        <v/>
      </c>
      <c r="AD135" s="744">
        <f>SUM(D135:Z135)</f>
        <v/>
      </c>
      <c r="AE135" s="744">
        <f>SUM(AD124:AD135)</f>
        <v/>
      </c>
      <c r="AF135" s="746">
        <f>AE135/12</f>
        <v/>
      </c>
      <c r="AG135" s="549" t="n"/>
      <c r="AH135" s="744" t="n"/>
      <c r="AJ135" s="744" t="inlineStr">
        <is>
          <t>2015/16</t>
        </is>
      </c>
      <c r="AK135" s="744" t="n">
        <v>10069.91849983334</v>
      </c>
      <c r="AL135" s="744" t="n">
        <v>265604.1666666667</v>
      </c>
      <c r="AM135" s="411">
        <f>AK135/AL135</f>
        <v/>
      </c>
    </row>
    <row r="136" ht="17" customHeight="1">
      <c r="A136" s="760" t="n">
        <v>45536</v>
      </c>
      <c r="B136" s="758">
        <f>134870+40</f>
        <v/>
      </c>
      <c r="C136" s="758" t="n">
        <v>19020</v>
      </c>
      <c r="D136" s="758" t="inlineStr">
        <is>
          <t>-</t>
        </is>
      </c>
      <c r="E136" s="758" t="n">
        <v>13355</v>
      </c>
      <c r="F136" s="758" t="n">
        <v>88</v>
      </c>
      <c r="G136" s="758" t="n">
        <v>520</v>
      </c>
      <c r="H136" s="758" t="n">
        <v>349</v>
      </c>
      <c r="I136" s="758" t="n">
        <v>79</v>
      </c>
      <c r="J136" s="758" t="n">
        <v>0</v>
      </c>
      <c r="K136" s="758" t="n">
        <v>432</v>
      </c>
      <c r="L136" s="758" t="n">
        <v>140</v>
      </c>
      <c r="M136" s="569" t="n">
        <v>400</v>
      </c>
      <c r="N136" s="569" t="n">
        <v>200</v>
      </c>
      <c r="O136" s="758" t="n">
        <v>27</v>
      </c>
      <c r="P136" s="758" t="n">
        <v>57</v>
      </c>
      <c r="Q136" s="758" t="n">
        <v>0</v>
      </c>
      <c r="R136" s="758" t="n"/>
      <c r="S136" s="758" t="n"/>
      <c r="T136" s="758" t="n"/>
      <c r="U136" s="758">
        <f>229+7+(27*3+35*6+35*7+27*44)</f>
        <v/>
      </c>
      <c r="V136" s="758" t="n">
        <v>12000</v>
      </c>
      <c r="W136" s="758">
        <f>'Raw Food Data (KG)'!Q97</f>
        <v/>
      </c>
      <c r="X136" s="758" t="n">
        <v>6620</v>
      </c>
      <c r="Y136" s="758" t="n">
        <v>17160</v>
      </c>
      <c r="Z136" s="758" t="n">
        <v>14.6</v>
      </c>
      <c r="AA136" s="745">
        <f>SUM(B136:C136)</f>
        <v/>
      </c>
      <c r="AB136" s="744">
        <f>SUM(AA125:AA136)</f>
        <v/>
      </c>
      <c r="AC136" s="746">
        <f>AB136/12</f>
        <v/>
      </c>
      <c r="AD136" s="744">
        <f>SUM(D136:Z136)</f>
        <v/>
      </c>
      <c r="AE136" s="744">
        <f>SUM(AD125:AD136)</f>
        <v/>
      </c>
      <c r="AF136" s="746">
        <f>AE136/12</f>
        <v/>
      </c>
      <c r="AG136" s="549" t="n"/>
      <c r="AH136" s="744" t="n"/>
      <c r="AJ136" s="744" t="inlineStr">
        <is>
          <t>2016/17</t>
        </is>
      </c>
      <c r="AK136" s="744" t="n">
        <v>32198.02024991667</v>
      </c>
      <c r="AL136" s="744" t="n">
        <v>246776.6666666667</v>
      </c>
      <c r="AM136" s="411">
        <f>AK136/AL136</f>
        <v/>
      </c>
    </row>
    <row r="137" ht="17" customHeight="1">
      <c r="A137" s="760" t="n">
        <v>45566</v>
      </c>
      <c r="B137" s="758" t="n">
        <v>139170</v>
      </c>
      <c r="C137" s="758" t="n">
        <v>17510</v>
      </c>
      <c r="D137" s="758" t="inlineStr">
        <is>
          <t>-</t>
        </is>
      </c>
      <c r="E137" s="758">
        <f>10104+4291</f>
        <v/>
      </c>
      <c r="F137" s="758" t="n">
        <v>110</v>
      </c>
      <c r="G137" s="758" t="n">
        <v>621</v>
      </c>
      <c r="H137" s="758" t="n">
        <v>394</v>
      </c>
      <c r="I137" s="758" t="n">
        <v>85</v>
      </c>
      <c r="J137" s="758" t="n">
        <v>0</v>
      </c>
      <c r="K137" s="758" t="n">
        <v>483.3</v>
      </c>
      <c r="L137" s="758" t="n">
        <v>140</v>
      </c>
      <c r="M137" s="569" t="n">
        <v>800</v>
      </c>
      <c r="N137" s="569" t="n">
        <v>400</v>
      </c>
      <c r="O137" s="758" t="n">
        <v>99</v>
      </c>
      <c r="P137" s="758" t="n">
        <v>40</v>
      </c>
      <c r="Q137" s="758" t="n">
        <v>0</v>
      </c>
      <c r="R137" s="758" t="n"/>
      <c r="S137" s="758" t="n"/>
      <c r="T137" s="758" t="n"/>
      <c r="U137" s="744">
        <f>34*27+5*4.5+4.5</f>
        <v/>
      </c>
      <c r="V137" s="776" t="n">
        <v>12000</v>
      </c>
      <c r="W137" s="758">
        <f>'Raw Food Data (KG)'!Q98</f>
        <v/>
      </c>
      <c r="X137" s="758" t="n">
        <v>6395</v>
      </c>
      <c r="Y137" s="758" t="n">
        <v>16830</v>
      </c>
      <c r="Z137" s="758" t="n">
        <v>10.6</v>
      </c>
      <c r="AA137" s="745">
        <f>SUM(B137:C137)</f>
        <v/>
      </c>
      <c r="AB137" s="744">
        <f>SUM(AA126:AA137)</f>
        <v/>
      </c>
      <c r="AC137" s="746">
        <f>AB137/12</f>
        <v/>
      </c>
      <c r="AD137" s="744">
        <f>SUM(D137:Z137)</f>
        <v/>
      </c>
      <c r="AE137" s="744">
        <f>SUM(AD126:AD137)</f>
        <v/>
      </c>
      <c r="AF137" s="746">
        <f>AE137/12</f>
        <v/>
      </c>
      <c r="AG137" s="549" t="n"/>
      <c r="AH137" s="744" t="n"/>
      <c r="AJ137" s="744" t="inlineStr">
        <is>
          <t>2017/18</t>
        </is>
      </c>
      <c r="AK137" s="744" t="n">
        <v>47478.8795</v>
      </c>
      <c r="AL137" s="744" t="n">
        <v>241889.1666666667</v>
      </c>
      <c r="AM137" s="411">
        <f>AK137/AL137</f>
        <v/>
      </c>
    </row>
    <row r="138" ht="17" customHeight="1">
      <c r="A138" s="760" t="n">
        <v>45597</v>
      </c>
      <c r="B138" s="758" t="n">
        <v>140950</v>
      </c>
      <c r="C138" s="758" t="n">
        <v>16470</v>
      </c>
      <c r="D138" s="758" t="inlineStr">
        <is>
          <t>-</t>
        </is>
      </c>
      <c r="E138" s="758">
        <f>9802+4178</f>
        <v/>
      </c>
      <c r="F138" s="758" t="n">
        <v>101</v>
      </c>
      <c r="G138" s="758" t="n">
        <v>979</v>
      </c>
      <c r="H138" s="758" t="n">
        <v>374</v>
      </c>
      <c r="I138" s="758" t="n">
        <v>77</v>
      </c>
      <c r="J138" s="758" t="n">
        <v>0</v>
      </c>
      <c r="K138" s="758" t="n">
        <v>597</v>
      </c>
      <c r="L138" s="758" t="inlineStr">
        <is>
          <t>-</t>
        </is>
      </c>
      <c r="M138" s="569" t="n">
        <v>800</v>
      </c>
      <c r="N138" s="569" t="n">
        <v>200</v>
      </c>
      <c r="O138" s="758" t="n">
        <v>11</v>
      </c>
      <c r="P138" s="744" t="n">
        <v>30</v>
      </c>
      <c r="Q138" s="758" t="n">
        <v>0</v>
      </c>
      <c r="R138" s="758" t="n"/>
      <c r="S138" s="758" t="n"/>
      <c r="T138" s="758" t="n"/>
      <c r="U138" s="758" t="n">
        <v>252</v>
      </c>
      <c r="V138" s="776" t="n">
        <v>18000</v>
      </c>
      <c r="W138" s="758">
        <f>'Raw Food Data (KG)'!Q99</f>
        <v/>
      </c>
      <c r="X138" s="758" t="n">
        <v>6575</v>
      </c>
      <c r="Y138" s="758" t="n">
        <v>12345</v>
      </c>
      <c r="Z138" s="758" t="n">
        <v>6.7</v>
      </c>
      <c r="AA138" s="745">
        <f>SUM(B138:C138)</f>
        <v/>
      </c>
      <c r="AB138" s="744">
        <f>SUM(AA127:AA138)</f>
        <v/>
      </c>
      <c r="AC138" s="746">
        <f>AB138/12</f>
        <v/>
      </c>
      <c r="AD138" s="744">
        <f>SUM(D138:Z138)</f>
        <v/>
      </c>
      <c r="AE138" s="744">
        <f>SUM(AD127:AD138)</f>
        <v/>
      </c>
      <c r="AF138" s="746">
        <f>AE138/12</f>
        <v/>
      </c>
      <c r="AG138" s="549" t="n"/>
      <c r="AH138" s="744" t="n"/>
      <c r="AJ138" s="744" t="inlineStr">
        <is>
          <t>2018/19</t>
        </is>
      </c>
      <c r="AK138" s="744" t="n">
        <v>63529.37308333334</v>
      </c>
      <c r="AL138" s="744" t="n">
        <v>193603.8910833333</v>
      </c>
      <c r="AM138" s="411">
        <f>AK138/AL138</f>
        <v/>
      </c>
    </row>
    <row r="139" ht="17" customHeight="1">
      <c r="A139" s="760" t="n">
        <v>45627</v>
      </c>
      <c r="B139" s="758" t="n">
        <v>125300</v>
      </c>
      <c r="C139" s="758" t="n">
        <v>18200</v>
      </c>
      <c r="D139" s="758" t="inlineStr">
        <is>
          <t>-</t>
        </is>
      </c>
      <c r="E139" s="758">
        <f>9342+3734</f>
        <v/>
      </c>
      <c r="F139" s="758" t="n">
        <v>89</v>
      </c>
      <c r="G139" s="758" t="n">
        <v>786</v>
      </c>
      <c r="H139" s="758" t="n">
        <v>327</v>
      </c>
      <c r="I139" s="758" t="n">
        <v>69</v>
      </c>
      <c r="J139" s="758" t="n">
        <v>0</v>
      </c>
      <c r="K139" s="758" t="n">
        <v>500.3</v>
      </c>
      <c r="L139" s="758" t="n">
        <v>130</v>
      </c>
      <c r="M139" s="569" t="n">
        <v>800</v>
      </c>
      <c r="N139" s="569" t="n">
        <v>400</v>
      </c>
      <c r="O139" s="758" t="n">
        <v>15</v>
      </c>
      <c r="P139" s="758" t="n">
        <v>76</v>
      </c>
      <c r="Q139" s="758" t="n">
        <v>0</v>
      </c>
      <c r="R139" s="758" t="n"/>
      <c r="S139" s="758" t="n"/>
      <c r="T139" s="758" t="n"/>
      <c r="U139" s="758" t="n">
        <v>324</v>
      </c>
      <c r="V139" s="776" t="n">
        <v>12000</v>
      </c>
      <c r="W139" s="758">
        <f>'Raw Food Data (KG)'!Q100</f>
        <v/>
      </c>
      <c r="X139" s="758" t="n">
        <v>4805</v>
      </c>
      <c r="Y139" s="758" t="n">
        <v>10635</v>
      </c>
      <c r="Z139" s="758" t="n">
        <v>13.4</v>
      </c>
      <c r="AA139" s="745">
        <f>SUM(B139:C139)</f>
        <v/>
      </c>
      <c r="AB139" s="744">
        <f>SUM(AA128:AA139)</f>
        <v/>
      </c>
      <c r="AC139" s="746">
        <f>AB139/12</f>
        <v/>
      </c>
      <c r="AD139" s="744">
        <f>SUM(D139:Z139)</f>
        <v/>
      </c>
      <c r="AE139" s="744">
        <f>SUM(AD128:AD139)</f>
        <v/>
      </c>
      <c r="AF139" s="746">
        <f>AE139/12</f>
        <v/>
      </c>
      <c r="AG139" s="549" t="n"/>
      <c r="AH139" s="744" t="n"/>
      <c r="AJ139" s="744" t="inlineStr">
        <is>
          <t>2019/20</t>
        </is>
      </c>
      <c r="AK139" s="744" t="n">
        <v>75551.92791666667</v>
      </c>
      <c r="AL139" s="744" t="n">
        <v>149170</v>
      </c>
      <c r="AM139" s="411">
        <f>AK139/AL139</f>
        <v/>
      </c>
    </row>
    <row r="140" ht="17" customHeight="1">
      <c r="A140" s="760" t="n">
        <v>45658</v>
      </c>
      <c r="B140" s="758" t="n">
        <v>110380</v>
      </c>
      <c r="C140" s="758" t="n">
        <v>13520</v>
      </c>
      <c r="D140" s="758" t="inlineStr">
        <is>
          <t>-</t>
        </is>
      </c>
      <c r="E140" s="758">
        <f>8584+3596</f>
        <v/>
      </c>
      <c r="F140" s="758" t="n">
        <v>85</v>
      </c>
      <c r="G140" s="758" t="n">
        <v>252</v>
      </c>
      <c r="H140" s="758" t="n">
        <v>306</v>
      </c>
      <c r="I140" s="758" t="n">
        <v>82</v>
      </c>
      <c r="J140" s="758" t="n">
        <v>0</v>
      </c>
      <c r="K140" s="758" t="n">
        <v>535.7</v>
      </c>
      <c r="L140" s="758" t="n">
        <v>140</v>
      </c>
      <c r="M140" s="571" t="n">
        <v>400</v>
      </c>
      <c r="N140" s="571" t="n">
        <v>200</v>
      </c>
      <c r="O140" s="758" t="n">
        <v>0</v>
      </c>
      <c r="P140" s="758" t="n">
        <v>0</v>
      </c>
      <c r="Q140" s="758" t="n">
        <v>0</v>
      </c>
      <c r="R140" s="758" t="n"/>
      <c r="S140" s="758" t="n"/>
      <c r="T140" s="758" t="n"/>
      <c r="U140" s="758">
        <f>432+270</f>
        <v/>
      </c>
      <c r="V140" s="776" t="n">
        <v>15000</v>
      </c>
      <c r="W140" s="758">
        <f>'Raw Food Data (KG)'!Q101</f>
        <v/>
      </c>
      <c r="X140" s="758" t="n">
        <v>6125</v>
      </c>
      <c r="Y140" s="758" t="n">
        <v>14663</v>
      </c>
      <c r="Z140" s="758" t="n">
        <v>8.5</v>
      </c>
      <c r="AA140" s="745">
        <f>SUM(B140:C140)</f>
        <v/>
      </c>
      <c r="AB140" s="744">
        <f>SUM(AA129:AA140)</f>
        <v/>
      </c>
      <c r="AC140" s="746">
        <f>AB140/12</f>
        <v/>
      </c>
      <c r="AD140" s="744">
        <f>SUM(D140:Z140)</f>
        <v/>
      </c>
      <c r="AE140" s="744">
        <f>SUM(AD129:AD140)</f>
        <v/>
      </c>
      <c r="AF140" s="746">
        <f>AE140/12</f>
        <v/>
      </c>
      <c r="AG140" s="549" t="n"/>
      <c r="AH140" s="744" t="n"/>
      <c r="AJ140" s="744" t="inlineStr">
        <is>
          <t>2020/21</t>
        </is>
      </c>
      <c r="AK140" s="744" t="n">
        <v>86727.12541666666</v>
      </c>
      <c r="AL140" s="744" t="n">
        <v>119968.3333333333</v>
      </c>
      <c r="AM140" s="411">
        <f>AK140/AL140</f>
        <v/>
      </c>
    </row>
    <row r="141" ht="17" customHeight="1">
      <c r="A141" s="760" t="n">
        <v>45689</v>
      </c>
      <c r="B141" s="758" t="n">
        <v>125120</v>
      </c>
      <c r="C141" s="758" t="n">
        <v>14790</v>
      </c>
      <c r="D141" s="758" t="inlineStr">
        <is>
          <t>-</t>
        </is>
      </c>
      <c r="E141" s="758">
        <f>9026+3793</f>
        <v/>
      </c>
      <c r="F141" s="758" t="n">
        <v>99</v>
      </c>
      <c r="G141" s="758" t="n">
        <v>755</v>
      </c>
      <c r="H141" s="758" t="n">
        <v>340</v>
      </c>
      <c r="I141" s="758" t="n">
        <v>98</v>
      </c>
      <c r="J141" s="758" t="n">
        <v>0</v>
      </c>
      <c r="K141" s="758" t="n">
        <v>307.5</v>
      </c>
      <c r="L141" s="758" t="n">
        <v>150</v>
      </c>
      <c r="M141" s="569" t="n">
        <v>200</v>
      </c>
      <c r="N141" s="569" t="n">
        <v>200</v>
      </c>
      <c r="O141" s="758" t="n">
        <v>70</v>
      </c>
      <c r="P141" s="758" t="n">
        <v>53</v>
      </c>
      <c r="Q141" s="758" t="n">
        <v>0</v>
      </c>
      <c r="R141" s="758" t="n"/>
      <c r="S141" s="758" t="n"/>
      <c r="T141" s="758" t="n"/>
      <c r="U141" s="758" t="n">
        <v>403</v>
      </c>
      <c r="V141" s="776" t="n">
        <v>12000</v>
      </c>
      <c r="W141" s="758">
        <f>'Raw Food Data (KG)'!Q102</f>
        <v/>
      </c>
      <c r="X141" s="758" t="n">
        <v>6455</v>
      </c>
      <c r="Y141" s="758" t="n">
        <v>10741</v>
      </c>
      <c r="Z141" s="758" t="n">
        <v>21</v>
      </c>
      <c r="AA141" s="745">
        <f>SUM(B141:C141)</f>
        <v/>
      </c>
      <c r="AB141" s="744">
        <f>SUM(AA130:AA141)</f>
        <v/>
      </c>
      <c r="AC141" s="746">
        <f>AB141/12</f>
        <v/>
      </c>
      <c r="AD141" s="744">
        <f>SUM(D141:Z141)</f>
        <v/>
      </c>
      <c r="AE141" s="744">
        <f>SUM(AD130:AD141)</f>
        <v/>
      </c>
      <c r="AF141" s="746">
        <f>AE141/12</f>
        <v/>
      </c>
      <c r="AG141" s="549" t="n"/>
      <c r="AH141" s="744" t="n"/>
      <c r="AJ141" s="744" t="inlineStr">
        <is>
          <t>2021/22</t>
        </is>
      </c>
      <c r="AK141" s="744" t="n">
        <v>94779.712</v>
      </c>
      <c r="AL141" s="744" t="n">
        <v>131232.25</v>
      </c>
      <c r="AM141" s="411">
        <f>AK141/AL141</f>
        <v/>
      </c>
    </row>
    <row r="142" ht="17" customHeight="1">
      <c r="A142" s="760" t="n">
        <v>45717</v>
      </c>
      <c r="B142" s="758" t="n">
        <v>139600</v>
      </c>
      <c r="C142" s="758" t="n">
        <v>19610</v>
      </c>
      <c r="D142" s="758" t="inlineStr">
        <is>
          <t>-</t>
        </is>
      </c>
      <c r="E142" s="758">
        <f>9687+4115</f>
        <v/>
      </c>
      <c r="F142" s="758" t="n">
        <v>111</v>
      </c>
      <c r="G142" s="758" t="n">
        <v>922</v>
      </c>
      <c r="H142" s="758">
        <f>385+149</f>
        <v/>
      </c>
      <c r="I142" s="758" t="n">
        <v>92</v>
      </c>
      <c r="J142" s="758" t="n">
        <v>0</v>
      </c>
      <c r="K142" s="758" t="n">
        <v>913</v>
      </c>
      <c r="L142" s="758" t="n">
        <v>110</v>
      </c>
      <c r="M142" s="571" t="n">
        <v>800</v>
      </c>
      <c r="N142" s="571" t="n">
        <v>400</v>
      </c>
      <c r="O142" s="758" t="n">
        <v>140</v>
      </c>
      <c r="P142" s="758" t="n">
        <v>27</v>
      </c>
      <c r="Q142" s="758" t="n">
        <v>0</v>
      </c>
      <c r="R142" s="758" t="n"/>
      <c r="S142" s="758" t="n"/>
      <c r="T142" s="758" t="n"/>
      <c r="U142" s="758" t="n">
        <v>779.5</v>
      </c>
      <c r="V142" s="758" t="n">
        <v>18000</v>
      </c>
      <c r="W142" s="758">
        <f>'Raw Food Data (KG)'!Q103</f>
        <v/>
      </c>
      <c r="X142" s="758" t="n">
        <v>5720</v>
      </c>
      <c r="Y142" s="758" t="n">
        <v>10890</v>
      </c>
      <c r="Z142" s="758" t="n">
        <v>25</v>
      </c>
      <c r="AA142" s="745">
        <f>SUM(B142:C142)</f>
        <v/>
      </c>
      <c r="AB142" s="744">
        <f>SUM(AA131:AA142)</f>
        <v/>
      </c>
      <c r="AC142" s="744">
        <f>AB142/12</f>
        <v/>
      </c>
      <c r="AD142" s="744">
        <f>SUM(D142:Z142)</f>
        <v/>
      </c>
      <c r="AE142" s="744">
        <f>SUM(AD131:AD142)</f>
        <v/>
      </c>
      <c r="AF142" s="744">
        <f>AE142/12</f>
        <v/>
      </c>
      <c r="AG142" s="549" t="n"/>
      <c r="AH142" s="744" t="n"/>
      <c r="AI142" s="744" t="n"/>
      <c r="AJ142" s="744" t="inlineStr">
        <is>
          <t>2022/23</t>
        </is>
      </c>
      <c r="AK142" s="744" t="n">
        <v>96835.15000000002</v>
      </c>
      <c r="AL142" s="744" t="n">
        <v>152359.1666666667</v>
      </c>
      <c r="AM142" s="411">
        <f>AK142/AL142</f>
        <v/>
      </c>
    </row>
    <row r="143" ht="17" customHeight="1">
      <c r="A143" s="760" t="n">
        <v>45748</v>
      </c>
      <c r="B143" s="758" t="n">
        <v>125070</v>
      </c>
      <c r="C143" s="758" t="n">
        <v>21290</v>
      </c>
      <c r="D143" s="758" t="inlineStr">
        <is>
          <t>-</t>
        </is>
      </c>
      <c r="E143" s="758">
        <f>9913+3880</f>
        <v/>
      </c>
      <c r="F143" s="758" t="n">
        <v>102</v>
      </c>
      <c r="G143" s="758" t="n">
        <v>1256</v>
      </c>
      <c r="H143" s="758" t="n">
        <v>393</v>
      </c>
      <c r="I143" s="758" t="n">
        <v>79</v>
      </c>
      <c r="J143" s="758" t="n">
        <v>0</v>
      </c>
      <c r="K143" s="758" t="n">
        <v>0</v>
      </c>
      <c r="L143" s="758" t="n">
        <v>130</v>
      </c>
      <c r="M143" s="569" t="n">
        <v>800</v>
      </c>
      <c r="N143" s="569" t="n">
        <v>400</v>
      </c>
      <c r="O143" s="758" t="n">
        <v>153</v>
      </c>
      <c r="P143" s="758" t="n">
        <v>51</v>
      </c>
      <c r="Q143" s="758" t="n">
        <v>0</v>
      </c>
      <c r="R143" s="758" t="n"/>
      <c r="S143" s="758" t="n"/>
      <c r="T143" s="758" t="n"/>
      <c r="U143" s="758" t="n">
        <v>108.5</v>
      </c>
      <c r="V143" s="776" t="n">
        <v>15000</v>
      </c>
      <c r="W143" s="758">
        <f>'Raw Food Data (KG)'!Q104</f>
        <v/>
      </c>
      <c r="X143" s="758" t="n">
        <v>5518</v>
      </c>
      <c r="Y143" s="758" t="n">
        <v>13267</v>
      </c>
      <c r="Z143" s="758" t="n">
        <v>7</v>
      </c>
      <c r="AA143" s="745">
        <f>SUM(B143:C143)</f>
        <v/>
      </c>
      <c r="AB143" s="744">
        <f>SUM(AA132:AA143)</f>
        <v/>
      </c>
      <c r="AC143" s="746">
        <f>AB143/12</f>
        <v/>
      </c>
      <c r="AD143" s="744">
        <f>SUM(D143:Z143)</f>
        <v/>
      </c>
      <c r="AE143" s="744">
        <f>SUM(AD132:AD143)</f>
        <v/>
      </c>
      <c r="AF143" s="746">
        <f>AE143/12</f>
        <v/>
      </c>
      <c r="AG143" s="549" t="n"/>
      <c r="AH143" s="744" t="n"/>
      <c r="AJ143" s="744" t="inlineStr">
        <is>
          <t>2023/24</t>
        </is>
      </c>
      <c r="AK143" s="744" t="n">
        <v>90505.82916666668</v>
      </c>
      <c r="AL143" s="744" t="n">
        <v>146027.3833333333</v>
      </c>
      <c r="AM143" s="411">
        <f>AK143/AL143</f>
        <v/>
      </c>
    </row>
    <row r="144" ht="17" customHeight="1">
      <c r="A144" s="760" t="n">
        <v>45778</v>
      </c>
      <c r="B144" s="758" t="n">
        <v>140130</v>
      </c>
      <c r="C144" s="758" t="n">
        <v>19990</v>
      </c>
      <c r="D144" s="758" t="inlineStr">
        <is>
          <t>-</t>
        </is>
      </c>
      <c r="E144" s="758">
        <f>9879+3720</f>
        <v/>
      </c>
      <c r="F144" s="758" t="n">
        <v>111</v>
      </c>
      <c r="G144" s="758" t="n">
        <v>1084</v>
      </c>
      <c r="H144" s="758">
        <f>418+30</f>
        <v/>
      </c>
      <c r="I144" s="758" t="n">
        <v>95</v>
      </c>
      <c r="J144" s="758" t="n">
        <v>0</v>
      </c>
      <c r="K144" s="758" t="n">
        <v>774.4</v>
      </c>
      <c r="L144" s="758" t="n">
        <v>150</v>
      </c>
      <c r="M144" s="569" t="n">
        <v>800</v>
      </c>
      <c r="N144" s="569" t="n">
        <v>400</v>
      </c>
      <c r="O144" s="758" t="n">
        <v>128</v>
      </c>
      <c r="P144" s="758" t="n">
        <v>58</v>
      </c>
      <c r="Q144" s="758" t="n">
        <v>0</v>
      </c>
      <c r="R144" s="758" t="n"/>
      <c r="S144" s="758" t="n"/>
      <c r="T144" s="758" t="n"/>
      <c r="U144" s="758" t="n">
        <v>475.5</v>
      </c>
      <c r="V144" s="776" t="n">
        <v>18000</v>
      </c>
      <c r="W144" s="758">
        <f>'Raw Food Data (KG)'!Q105</f>
        <v/>
      </c>
      <c r="X144" s="761" t="n">
        <v>5925</v>
      </c>
      <c r="Y144" s="761" t="n">
        <v>9595</v>
      </c>
      <c r="Z144" s="758" t="n">
        <v>10.1</v>
      </c>
      <c r="AA144" s="745">
        <f>SUM(B144:C144)</f>
        <v/>
      </c>
      <c r="AB144" s="744">
        <f>SUM(AA133:AA144)</f>
        <v/>
      </c>
      <c r="AC144" s="746">
        <f>AB144/12</f>
        <v/>
      </c>
      <c r="AD144" s="744">
        <f>SUM(D144:Z144)</f>
        <v/>
      </c>
      <c r="AE144" s="744">
        <f>SUM(AD133:AD144)</f>
        <v/>
      </c>
      <c r="AF144" s="746">
        <f>AE144/12</f>
        <v/>
      </c>
      <c r="AG144" s="549" t="n"/>
      <c r="AH144" s="744" t="n"/>
      <c r="AJ144" s="744" t="inlineStr">
        <is>
          <t>2024/25</t>
        </is>
      </c>
      <c r="AL144" s="744" t="n"/>
    </row>
    <row r="145" ht="17" customHeight="1">
      <c r="A145" s="760" t="n">
        <v>45809</v>
      </c>
      <c r="B145" s="758" t="n">
        <v>128640</v>
      </c>
      <c r="C145" s="758" t="n">
        <v>23570</v>
      </c>
      <c r="D145" s="758" t="inlineStr">
        <is>
          <t>-</t>
        </is>
      </c>
      <c r="E145" s="758">
        <f>8950+3936</f>
        <v/>
      </c>
      <c r="F145" s="758" t="n">
        <v>115</v>
      </c>
      <c r="G145" s="758" t="n">
        <v>864</v>
      </c>
      <c r="H145" s="758" t="n">
        <v>393</v>
      </c>
      <c r="I145" s="758" t="n">
        <v>83</v>
      </c>
      <c r="J145" s="758" t="n">
        <v>0</v>
      </c>
      <c r="K145" s="758" t="n">
        <v>314.6</v>
      </c>
      <c r="L145" s="758" t="n">
        <v>100</v>
      </c>
      <c r="M145" s="569" t="n">
        <v>800</v>
      </c>
      <c r="N145" s="569" t="n">
        <v>400</v>
      </c>
      <c r="O145" s="758" t="n">
        <v>163</v>
      </c>
      <c r="P145" s="758" t="n">
        <v>28</v>
      </c>
      <c r="Q145" s="758" t="n">
        <v>0</v>
      </c>
      <c r="R145" s="758" t="n"/>
      <c r="S145" s="758" t="n"/>
      <c r="T145" s="758" t="n"/>
      <c r="U145" s="758" t="n">
        <v>671.5</v>
      </c>
      <c r="V145" s="776" t="n">
        <v>18000</v>
      </c>
      <c r="W145" s="758">
        <f>'Raw Food Data (KG)'!Q106</f>
        <v/>
      </c>
      <c r="X145" s="761" t="n">
        <v>5780</v>
      </c>
      <c r="Y145" s="761" t="n">
        <v>18235</v>
      </c>
      <c r="Z145" s="758">
        <f>AVERAGE(Z134:Z144)</f>
        <v/>
      </c>
      <c r="AA145" s="745">
        <f>SUM(B145:C145)</f>
        <v/>
      </c>
      <c r="AB145" s="777">
        <f>SUM(AA134:AA145)</f>
        <v/>
      </c>
      <c r="AC145" s="746">
        <f>AB145/12</f>
        <v/>
      </c>
      <c r="AD145" s="744">
        <f>SUM(D145:Z145)</f>
        <v/>
      </c>
      <c r="AE145" s="777">
        <f>SUM(AD134:AD145)</f>
        <v/>
      </c>
      <c r="AF145" s="746">
        <f>AE145/12</f>
        <v/>
      </c>
      <c r="AG145" s="549" t="n"/>
      <c r="AH145" s="764">
        <f>AB145+AE145</f>
        <v/>
      </c>
      <c r="AJ145" s="411">
        <f>AE145/AH145</f>
        <v/>
      </c>
      <c r="AL145" s="744" t="n"/>
    </row>
    <row r="146">
      <c r="A146" s="760" t="n">
        <v>45839</v>
      </c>
      <c r="B146" s="761" t="n">
        <v>121260</v>
      </c>
      <c r="C146" s="761" t="n">
        <v>22800</v>
      </c>
      <c r="D146" s="761" t="n"/>
      <c r="E146" s="761">
        <f>9078+4024+657+385</f>
        <v/>
      </c>
      <c r="F146" s="761">
        <f>92+17</f>
        <v/>
      </c>
      <c r="G146" s="761" t="n">
        <v>953</v>
      </c>
      <c r="H146" s="761">
        <f>326+66+41</f>
        <v/>
      </c>
      <c r="I146" s="761" t="n">
        <v>83</v>
      </c>
      <c r="J146" s="761" t="n"/>
      <c r="K146" s="761" t="n">
        <v>0</v>
      </c>
      <c r="L146" s="761" t="n"/>
      <c r="M146" s="568" t="n">
        <v>800</v>
      </c>
      <c r="N146" s="568" t="n">
        <v>400</v>
      </c>
      <c r="O146" s="761" t="n">
        <v>135</v>
      </c>
      <c r="P146" s="761" t="n">
        <v>43</v>
      </c>
      <c r="Q146" s="761" t="n"/>
      <c r="R146" s="761" t="n"/>
      <c r="S146" s="761" t="n"/>
      <c r="T146" s="761" t="n"/>
      <c r="U146" s="761" t="n"/>
      <c r="V146" s="761" t="n">
        <v>13120</v>
      </c>
      <c r="W146" s="761">
        <f>'Raw Food Data (KG)'!Q107</f>
        <v/>
      </c>
      <c r="X146" s="761" t="n">
        <v>6740</v>
      </c>
      <c r="Y146" s="761" t="n">
        <v>13345</v>
      </c>
      <c r="Z146" s="761" t="n">
        <v>6</v>
      </c>
      <c r="AA146" s="745">
        <f>SUM(B146:C146)</f>
        <v/>
      </c>
      <c r="AB146" s="549" t="n"/>
      <c r="AC146" s="549" t="n"/>
      <c r="AF146" s="744" t="n"/>
      <c r="AG146" s="8" t="n"/>
      <c r="AH146" s="8" t="n"/>
      <c r="AI146" s="8" t="n"/>
      <c r="AJ146" s="8" t="n"/>
      <c r="AK146" s="8" t="n"/>
    </row>
    <row r="147">
      <c r="A147" s="760" t="n">
        <v>45870</v>
      </c>
      <c r="B147" s="761" t="n">
        <v>130380</v>
      </c>
      <c r="C147" s="761" t="n">
        <v>25120</v>
      </c>
      <c r="D147" s="761" t="n"/>
      <c r="E147" s="761">
        <f>9424+3980+714+395</f>
        <v/>
      </c>
      <c r="F147" s="761">
        <f>93+17</f>
        <v/>
      </c>
      <c r="G147" s="761" t="n">
        <v>780</v>
      </c>
      <c r="H147" s="761">
        <f>341+65+48</f>
        <v/>
      </c>
      <c r="I147" s="761" t="n">
        <v>91</v>
      </c>
      <c r="J147" s="761" t="n"/>
      <c r="K147" s="761" t="n">
        <v>893</v>
      </c>
      <c r="L147" s="761" t="n"/>
      <c r="M147" s="568" t="n">
        <v>800</v>
      </c>
      <c r="N147" s="568" t="n">
        <v>400</v>
      </c>
      <c r="O147" s="761" t="n">
        <v>125</v>
      </c>
      <c r="P147" s="761" t="n">
        <v>46</v>
      </c>
      <c r="Q147" s="761" t="n"/>
      <c r="R147" s="761" t="n"/>
      <c r="S147" s="761" t="n"/>
      <c r="T147" s="761" t="n"/>
      <c r="U147" s="761" t="n"/>
      <c r="V147" s="761" t="n">
        <v>15150</v>
      </c>
      <c r="W147" s="761">
        <f>'Raw Food Data (KG)'!Q108</f>
        <v/>
      </c>
      <c r="X147" s="761" t="n">
        <v>8680</v>
      </c>
      <c r="Y147" s="761" t="n">
        <v>20840</v>
      </c>
      <c r="Z147" s="761" t="n">
        <v>0</v>
      </c>
      <c r="AA147" s="745">
        <f>SUM(B147:C147)</f>
        <v/>
      </c>
      <c r="AB147" s="549" t="n"/>
      <c r="AC147" s="549" t="n"/>
      <c r="AE147" s="744" t="inlineStr">
        <is>
          <t>Appliances</t>
        </is>
      </c>
      <c r="AF147" s="744" t="inlineStr">
        <is>
          <t>Weight per pax</t>
        </is>
      </c>
      <c r="AG147" s="744" t="inlineStr">
        <is>
          <t>Quantity</t>
        </is>
      </c>
      <c r="AH147" s="744" t="inlineStr">
        <is>
          <t>total weight</t>
        </is>
      </c>
      <c r="AI147" s="8" t="n"/>
      <c r="AJ147" s="8" t="n"/>
      <c r="AK147" s="8" t="n"/>
    </row>
    <row r="148" ht="17" customHeight="1">
      <c r="A148" s="760" t="n">
        <v>45901</v>
      </c>
      <c r="B148" s="761" t="n">
        <v>141660</v>
      </c>
      <c r="C148" s="761" t="n">
        <v>24780</v>
      </c>
      <c r="D148" s="761" t="n"/>
      <c r="E148" s="761">
        <f>9017+3930+760+409</f>
        <v/>
      </c>
      <c r="F148" s="761">
        <f>94+15</f>
        <v/>
      </c>
      <c r="G148" s="761" t="n">
        <v>1806</v>
      </c>
      <c r="H148" s="761">
        <f>327+74</f>
        <v/>
      </c>
      <c r="I148" s="761" t="n">
        <v>117</v>
      </c>
      <c r="J148" s="761" t="n"/>
      <c r="K148" s="761" t="inlineStr">
        <is>
          <t>-</t>
        </is>
      </c>
      <c r="L148" s="761" t="n"/>
      <c r="M148" s="568" t="n">
        <v>800</v>
      </c>
      <c r="N148" s="568" t="n">
        <v>400</v>
      </c>
      <c r="O148" s="761" t="n">
        <v>0</v>
      </c>
      <c r="P148" s="761" t="n">
        <v>0</v>
      </c>
      <c r="Q148" s="761" t="n"/>
      <c r="R148" s="761" t="n"/>
      <c r="S148" s="761" t="n"/>
      <c r="T148" s="761" t="n"/>
      <c r="U148" s="761" t="n"/>
      <c r="V148" s="761" t="n">
        <v>14305</v>
      </c>
      <c r="W148" s="761">
        <f>'Raw Food Data (KG)'!Q109</f>
        <v/>
      </c>
      <c r="X148" s="761" t="n">
        <v>11010</v>
      </c>
      <c r="Y148" s="761" t="n">
        <v>13360</v>
      </c>
      <c r="Z148" s="761" t="n">
        <v>5</v>
      </c>
      <c r="AA148" s="744">
        <f>SUM(B148:C148)</f>
        <v/>
      </c>
      <c r="AB148" s="549" t="n"/>
      <c r="AC148" s="549" t="n"/>
      <c r="AE148" s="744" t="inlineStr">
        <is>
          <t>Refri</t>
        </is>
      </c>
      <c r="AF148" s="744" t="n"/>
      <c r="AG148" s="744" t="n"/>
      <c r="AH148" s="744" t="n"/>
      <c r="AI148" s="8" t="n"/>
      <c r="AJ148" s="8" t="n"/>
      <c r="AK148" s="8" t="n"/>
    </row>
    <row r="149">
      <c r="A149" s="760" t="n">
        <v>45931</v>
      </c>
      <c r="B149" s="761" t="n">
        <v>145450</v>
      </c>
      <c r="C149" s="761" t="n">
        <v>23010</v>
      </c>
      <c r="D149" s="550" t="n"/>
      <c r="E149" s="761">
        <f>8982+3900+681+389</f>
        <v/>
      </c>
      <c r="F149" s="761">
        <f>14+90</f>
        <v/>
      </c>
      <c r="G149" s="761" t="n">
        <v>1060</v>
      </c>
      <c r="H149" s="761">
        <f>310+69+13</f>
        <v/>
      </c>
      <c r="I149" s="761" t="n">
        <v>108</v>
      </c>
      <c r="J149" s="761" t="n"/>
      <c r="K149" s="761" t="n">
        <v>191.2</v>
      </c>
      <c r="L149" s="761" t="n"/>
      <c r="M149" s="568" t="n">
        <v>400</v>
      </c>
      <c r="N149" s="568" t="n">
        <v>200</v>
      </c>
      <c r="O149" s="761" t="n">
        <v>0</v>
      </c>
      <c r="P149" s="761" t="n">
        <v>42</v>
      </c>
      <c r="Q149" s="761" t="n"/>
      <c r="R149" s="761" t="n"/>
      <c r="S149" s="761" t="n"/>
      <c r="T149" s="761" t="n"/>
      <c r="U149" s="761" t="n"/>
      <c r="V149" s="761" t="n">
        <v>9655</v>
      </c>
      <c r="W149" s="761">
        <f>'Raw Food Data (KG)'!Q110</f>
        <v/>
      </c>
      <c r="X149" s="761" t="n">
        <v>10020</v>
      </c>
      <c r="Y149" s="761" t="n">
        <v>19145</v>
      </c>
      <c r="Z149" s="761" t="n">
        <v>11.5</v>
      </c>
      <c r="AA149" s="744" t="n"/>
      <c r="AB149" s="778" t="n"/>
      <c r="AC149" s="549" t="n"/>
      <c r="AE149" s="744" t="inlineStr">
        <is>
          <t>Washing</t>
        </is>
      </c>
      <c r="AF149" s="744" t="n"/>
      <c r="AG149" s="744" t="n"/>
      <c r="AH149" s="744" t="n"/>
      <c r="AI149" s="8" t="n"/>
      <c r="AJ149" s="8" t="n"/>
      <c r="AK149" s="8" t="n"/>
    </row>
    <row r="150">
      <c r="A150" s="760" t="n">
        <v>45962</v>
      </c>
      <c r="B150" s="761" t="n">
        <v>150840</v>
      </c>
      <c r="C150" s="761" t="n">
        <v>23410</v>
      </c>
      <c r="D150" s="761" t="n"/>
      <c r="E150" s="761" t="n">
        <v>14700</v>
      </c>
      <c r="F150" s="761" t="n">
        <v>120</v>
      </c>
      <c r="G150" s="761" t="n">
        <v>1382</v>
      </c>
      <c r="H150" s="761" t="n">
        <v>469</v>
      </c>
      <c r="I150" s="761" t="n">
        <v>135</v>
      </c>
      <c r="J150" s="761" t="n"/>
      <c r="K150" s="761" t="n">
        <v>946</v>
      </c>
      <c r="L150" s="761" t="n"/>
      <c r="M150" s="568" t="n">
        <v>800</v>
      </c>
      <c r="N150" s="568" t="n">
        <v>400</v>
      </c>
      <c r="O150" s="761" t="n">
        <v>24</v>
      </c>
      <c r="P150" s="761" t="n">
        <v>26</v>
      </c>
      <c r="Q150" s="761" t="n"/>
      <c r="R150" s="761" t="n"/>
      <c r="S150" s="761" t="n"/>
      <c r="T150" s="761" t="n"/>
      <c r="U150" s="761" t="n"/>
      <c r="V150" s="761" t="n">
        <v>9530</v>
      </c>
      <c r="W150" s="761">
        <f>'Raw Food Data (KG)'!Q111</f>
        <v/>
      </c>
      <c r="X150" s="761" t="n">
        <v>8905</v>
      </c>
      <c r="Y150" s="761" t="n">
        <v>15420</v>
      </c>
      <c r="Z150" s="761" t="n">
        <v>7</v>
      </c>
      <c r="AA150" s="744" t="n"/>
      <c r="AB150" s="549" t="n"/>
      <c r="AC150" s="549" t="n"/>
      <c r="AE150" s="744" t="inlineStr">
        <is>
          <t>Flat TV</t>
        </is>
      </c>
      <c r="AF150" s="744" t="n"/>
      <c r="AG150" s="744" t="n"/>
      <c r="AH150" s="744" t="n"/>
      <c r="AI150" s="8" t="n"/>
      <c r="AJ150" s="8" t="n"/>
      <c r="AK150" s="8" t="n"/>
    </row>
    <row r="151">
      <c r="A151" s="760" t="n">
        <v>45992</v>
      </c>
      <c r="B151" s="761" t="n">
        <v>133710</v>
      </c>
      <c r="C151" s="761" t="n">
        <v>25150</v>
      </c>
      <c r="D151" s="761" t="n"/>
      <c r="E151" s="761" t="n">
        <v>12838</v>
      </c>
      <c r="F151" s="761" t="n">
        <v>117</v>
      </c>
      <c r="G151" s="761" t="n">
        <v>280</v>
      </c>
      <c r="H151" s="761" t="n">
        <v>431</v>
      </c>
      <c r="I151" s="761" t="n">
        <v>96</v>
      </c>
      <c r="J151" s="761" t="n"/>
      <c r="K151" s="761" t="n">
        <v>0</v>
      </c>
      <c r="L151" s="761" t="n"/>
      <c r="M151" s="568" t="n">
        <v>800</v>
      </c>
      <c r="N151" s="568" t="n">
        <v>400</v>
      </c>
      <c r="O151" s="761" t="n">
        <v>0</v>
      </c>
      <c r="P151" s="761" t="n">
        <v>68</v>
      </c>
      <c r="Q151" s="761" t="n"/>
      <c r="R151" s="761" t="n"/>
      <c r="S151" s="761" t="n"/>
      <c r="T151" s="761" t="n"/>
      <c r="U151" s="761" t="n"/>
      <c r="V151" s="761" t="n">
        <v>11380</v>
      </c>
      <c r="W151" s="761">
        <f>'Raw Food Data (KG)'!Q112</f>
        <v/>
      </c>
      <c r="X151" s="761" t="n">
        <v>10775</v>
      </c>
      <c r="Y151" s="761" t="n">
        <v>11475</v>
      </c>
      <c r="Z151" s="761" t="n">
        <v>5</v>
      </c>
      <c r="AA151" s="744" t="n"/>
      <c r="AB151" s="549" t="n"/>
      <c r="AC151" s="549" t="n"/>
      <c r="AE151" s="744" t="inlineStr">
        <is>
          <t>Cathode-ray TV</t>
        </is>
      </c>
      <c r="AF151" s="744" t="n"/>
      <c r="AG151" s="744" t="n"/>
      <c r="AH151" s="744" t="n"/>
      <c r="AI151" s="8" t="n"/>
      <c r="AJ151" s="8" t="n"/>
      <c r="AK151" s="8" t="n"/>
    </row>
    <row r="152">
      <c r="A152" s="760" t="n">
        <v>46023</v>
      </c>
      <c r="B152" s="761" t="n">
        <v>114050</v>
      </c>
      <c r="C152" s="761" t="n">
        <v>23100</v>
      </c>
      <c r="D152" s="761" t="n"/>
      <c r="E152" s="761" t="n">
        <v>13661</v>
      </c>
      <c r="F152" s="761" t="n">
        <v>115</v>
      </c>
      <c r="G152" s="761" t="n">
        <v>882</v>
      </c>
      <c r="H152" s="761" t="n">
        <v>390</v>
      </c>
      <c r="I152" s="761" t="n"/>
      <c r="J152" s="761" t="n"/>
      <c r="K152" s="761" t="n">
        <v>1116</v>
      </c>
      <c r="L152" s="761" t="n"/>
      <c r="M152" s="568" t="n">
        <v>800</v>
      </c>
      <c r="N152" s="568" t="n">
        <v>400</v>
      </c>
      <c r="O152" s="761" t="n">
        <v>26</v>
      </c>
      <c r="P152" s="761" t="n">
        <v>23</v>
      </c>
      <c r="Q152" s="761" t="n"/>
      <c r="R152" s="761" t="n"/>
      <c r="S152" s="761" t="n"/>
      <c r="T152" s="761" t="n"/>
      <c r="U152" s="761" t="n"/>
      <c r="V152" s="761" t="n">
        <v>10865</v>
      </c>
      <c r="W152" s="761">
        <f>'Raw Food Data (KG)'!Q113</f>
        <v/>
      </c>
      <c r="X152" s="761" t="n">
        <v>11975</v>
      </c>
      <c r="Y152" s="761" t="n">
        <v>8510</v>
      </c>
      <c r="Z152" s="761" t="n">
        <v>12</v>
      </c>
      <c r="AA152" s="744" t="n"/>
      <c r="AB152" s="549" t="n"/>
      <c r="AC152" s="549" t="n"/>
      <c r="AE152" s="744" t="inlineStr">
        <is>
          <t>Cathode-ray monitors</t>
        </is>
      </c>
      <c r="AF152" s="744" t="n"/>
      <c r="AG152" s="744" t="n"/>
      <c r="AH152" s="744" t="n"/>
      <c r="AI152" s="8" t="n"/>
      <c r="AJ152" s="8" t="n"/>
      <c r="AK152" s="8" t="n"/>
    </row>
    <row r="153">
      <c r="A153" s="760" t="n">
        <v>46054</v>
      </c>
      <c r="B153" s="761" t="n">
        <v>123400</v>
      </c>
      <c r="C153" s="761" t="n">
        <v>16820</v>
      </c>
      <c r="D153" s="761" t="n"/>
      <c r="E153" s="761" t="n">
        <v>11648</v>
      </c>
      <c r="F153" s="761" t="n">
        <v>102</v>
      </c>
      <c r="G153" s="761" t="n">
        <v>507</v>
      </c>
      <c r="H153" s="761" t="n">
        <v>302</v>
      </c>
      <c r="I153" s="761" t="n"/>
      <c r="J153" s="761" t="n"/>
      <c r="K153" s="761" t="n">
        <v>0</v>
      </c>
      <c r="L153" s="761" t="n"/>
      <c r="M153" s="568" t="n">
        <v>800</v>
      </c>
      <c r="N153" s="568" t="n">
        <v>400</v>
      </c>
      <c r="O153" s="761" t="n">
        <v>0</v>
      </c>
      <c r="P153" s="761" t="n">
        <v>0</v>
      </c>
      <c r="Q153" s="761" t="n"/>
      <c r="R153" s="761" t="n"/>
      <c r="S153" s="761" t="n"/>
      <c r="T153" s="761" t="n"/>
      <c r="U153" s="761" t="n"/>
      <c r="V153" s="761" t="n">
        <v>20659</v>
      </c>
      <c r="W153" s="761">
        <f>'Raw Food Data (KG)'!Q114</f>
        <v/>
      </c>
      <c r="X153" s="761" t="n">
        <v>12319</v>
      </c>
      <c r="Y153" s="761" t="n">
        <v>8672</v>
      </c>
      <c r="Z153" s="761" t="n">
        <v>0</v>
      </c>
      <c r="AA153" s="744" t="n"/>
      <c r="AB153" s="549" t="n"/>
      <c r="AC153" s="549" t="n"/>
      <c r="AE153" s="744" t="inlineStr">
        <is>
          <t>printer</t>
        </is>
      </c>
      <c r="AF153" s="744" t="n"/>
      <c r="AG153" s="744" t="n"/>
      <c r="AH153" s="744" t="n"/>
      <c r="AI153" s="8" t="n"/>
      <c r="AJ153" s="8" t="n"/>
      <c r="AK153" s="8" t="n"/>
    </row>
    <row r="154">
      <c r="A154" s="760" t="n">
        <v>46082</v>
      </c>
      <c r="B154" s="761" t="n">
        <v>164450</v>
      </c>
      <c r="C154" s="761" t="n">
        <v>22110</v>
      </c>
      <c r="D154" s="761" t="n"/>
      <c r="E154" s="761" t="n">
        <v>13565</v>
      </c>
      <c r="F154" s="761" t="n">
        <v>116</v>
      </c>
      <c r="G154" s="761" t="n">
        <v>1571</v>
      </c>
      <c r="H154" s="761" t="n">
        <v>432</v>
      </c>
      <c r="I154" s="761" t="n"/>
      <c r="J154" s="761" t="n"/>
      <c r="K154" s="761" t="n">
        <v>672.9</v>
      </c>
      <c r="L154" s="761" t="n"/>
      <c r="M154" s="568" t="n">
        <v>800</v>
      </c>
      <c r="N154" s="568" t="n">
        <v>400</v>
      </c>
      <c r="O154" s="761" t="n">
        <v>18</v>
      </c>
      <c r="P154" s="761" t="n">
        <v>32</v>
      </c>
      <c r="Q154" s="761" t="n"/>
      <c r="R154" s="761" t="n"/>
      <c r="S154" s="761" t="n"/>
      <c r="T154" s="761" t="n"/>
      <c r="U154" s="761" t="n"/>
      <c r="V154" s="761" t="n">
        <v>10009</v>
      </c>
      <c r="W154" s="761">
        <f>'Raw Food Data (KG)'!Q115</f>
        <v/>
      </c>
      <c r="X154" s="761" t="n">
        <v>12478</v>
      </c>
      <c r="Y154" s="761" t="n">
        <v>12330</v>
      </c>
      <c r="Z154" s="761" t="n">
        <v>9.5</v>
      </c>
      <c r="AA154" s="744" t="n"/>
      <c r="AB154" s="549" t="n"/>
      <c r="AC154" s="549" t="n"/>
      <c r="AE154" s="744" t="inlineStr">
        <is>
          <t>air-conditioner</t>
        </is>
      </c>
      <c r="AF154" s="744" t="n"/>
      <c r="AG154" s="744" t="n"/>
      <c r="AH154" s="744" t="n"/>
      <c r="AI154" s="8" t="n"/>
      <c r="AJ154" s="8" t="n"/>
      <c r="AK154" s="8" t="n"/>
    </row>
    <row r="155">
      <c r="A155" s="760" t="n">
        <v>46113</v>
      </c>
      <c r="B155" s="761" t="n">
        <v>146340</v>
      </c>
      <c r="C155" s="761" t="n">
        <v>15730</v>
      </c>
      <c r="D155" s="761" t="n"/>
      <c r="E155" s="761" t="n">
        <v>12906</v>
      </c>
      <c r="F155" s="761" t="n">
        <v>103</v>
      </c>
      <c r="G155" s="761" t="n">
        <v>237</v>
      </c>
      <c r="H155" s="761" t="n">
        <v>377</v>
      </c>
      <c r="I155" s="761" t="n"/>
      <c r="J155" s="761" t="n"/>
      <c r="K155" s="761" t="n">
        <v>0</v>
      </c>
      <c r="L155" s="761" t="n"/>
      <c r="M155" s="568" t="n">
        <v>600</v>
      </c>
      <c r="N155" s="761" t="n">
        <v>0</v>
      </c>
      <c r="O155" s="761" t="n">
        <v>20</v>
      </c>
      <c r="P155" s="761" t="n">
        <v>0</v>
      </c>
      <c r="Q155" s="761" t="n"/>
      <c r="R155" s="761" t="n"/>
      <c r="S155" s="761" t="n"/>
      <c r="T155" s="761" t="n"/>
      <c r="U155" s="761" t="n"/>
      <c r="V155" s="761" t="n">
        <v>6591</v>
      </c>
      <c r="W155" s="761">
        <f>'Raw Food Data (KG)'!Q116</f>
        <v/>
      </c>
      <c r="X155" s="761" t="n">
        <v>11114</v>
      </c>
      <c r="Y155" s="761" t="n">
        <v>9640</v>
      </c>
      <c r="Z155" s="761" t="n">
        <v>6</v>
      </c>
      <c r="AA155" s="744" t="n"/>
      <c r="AB155" s="549" t="n"/>
      <c r="AC155" s="549" t="n"/>
      <c r="AE155" s="744" t="inlineStr">
        <is>
          <t>dehumidifier</t>
        </is>
      </c>
      <c r="AF155" s="744" t="n"/>
      <c r="AG155" s="744" t="n"/>
      <c r="AH155" s="744" t="n"/>
      <c r="AI155" s="8" t="n"/>
      <c r="AJ155" s="8" t="n"/>
      <c r="AK155" s="8" t="n"/>
    </row>
    <row r="156">
      <c r="A156" s="760" t="n">
        <v>46143</v>
      </c>
      <c r="B156" s="761" t="n">
        <v>163800</v>
      </c>
      <c r="C156" s="761" t="n">
        <v>20790</v>
      </c>
      <c r="D156" s="761" t="n"/>
      <c r="E156" s="761" t="n">
        <v>13759</v>
      </c>
      <c r="F156" s="761" t="n">
        <v>128</v>
      </c>
      <c r="G156" s="761" t="n">
        <v>908</v>
      </c>
      <c r="H156" s="761" t="n">
        <v>418</v>
      </c>
      <c r="I156" s="761" t="n"/>
      <c r="J156" s="761" t="n"/>
      <c r="K156" s="761" t="n">
        <v>1073.5</v>
      </c>
      <c r="L156" s="761" t="n"/>
      <c r="M156" s="761" t="n">
        <v>400</v>
      </c>
      <c r="N156" s="761" t="n">
        <v>200</v>
      </c>
      <c r="O156" s="761" t="n">
        <v>0</v>
      </c>
      <c r="P156" s="761" t="n">
        <v>0</v>
      </c>
      <c r="Q156" s="761" t="n"/>
      <c r="R156" s="761" t="n"/>
      <c r="S156" s="761" t="n"/>
      <c r="T156" s="761" t="n"/>
      <c r="U156" s="761" t="n"/>
      <c r="V156" s="761" t="n">
        <v>12012</v>
      </c>
      <c r="W156" s="761">
        <f>'Raw Food Data (KG)'!Q117</f>
        <v/>
      </c>
      <c r="X156" s="761" t="n">
        <v>10244</v>
      </c>
      <c r="Y156" s="761" t="n">
        <v>11378</v>
      </c>
      <c r="Z156" s="761" t="n">
        <v>0</v>
      </c>
      <c r="AA156" s="744" t="n"/>
      <c r="AB156" s="549" t="n"/>
      <c r="AC156" s="549" t="n"/>
      <c r="AF156" s="744" t="n"/>
      <c r="AG156" s="744" t="n"/>
      <c r="AH156" s="744">
        <f>SUM(AH148:AH155)</f>
        <v/>
      </c>
      <c r="AI156" s="8" t="n"/>
      <c r="AJ156" s="8" t="n"/>
      <c r="AK156" s="8" t="n"/>
    </row>
    <row r="157">
      <c r="A157" s="760" t="n">
        <v>46174</v>
      </c>
      <c r="B157" s="761" t="n"/>
      <c r="C157" s="761" t="n"/>
      <c r="D157" s="761" t="n"/>
      <c r="E157" s="761" t="n"/>
      <c r="F157" s="761" t="n"/>
      <c r="G157" s="761" t="n"/>
      <c r="H157" s="761" t="n"/>
      <c r="I157" s="761" t="n"/>
      <c r="J157" s="761" t="n"/>
      <c r="K157" s="761" t="n"/>
      <c r="L157" s="761" t="n"/>
      <c r="M157" s="761" t="n"/>
      <c r="N157" s="761" t="n"/>
      <c r="O157" s="761" t="n"/>
      <c r="P157" s="761" t="n"/>
      <c r="Q157" s="761" t="n"/>
      <c r="R157" s="761" t="n"/>
      <c r="S157" s="761" t="n"/>
      <c r="T157" s="761" t="n"/>
      <c r="U157" s="761" t="n"/>
      <c r="V157" s="761" t="n"/>
      <c r="W157" s="761">
        <f>'Raw Food Data (KG)'!Q118</f>
        <v/>
      </c>
      <c r="X157" s="761" t="n"/>
      <c r="Y157" s="761" t="n"/>
      <c r="Z157" s="761" t="n"/>
      <c r="AA157" s="744" t="n"/>
      <c r="AB157" s="549" t="n"/>
      <c r="AC157" s="549" t="n"/>
      <c r="AF157" s="744" t="n"/>
      <c r="AG157" s="8" t="n"/>
      <c r="AH157" s="8" t="n"/>
      <c r="AI157" s="8" t="n"/>
      <c r="AJ157" s="8" t="n"/>
      <c r="AK157" s="8" t="n"/>
    </row>
    <row r="158">
      <c r="A158" s="59" t="n"/>
      <c r="B158" s="745" t="n"/>
      <c r="D158" s="746" t="n"/>
      <c r="G158" s="745" t="n"/>
      <c r="H158" s="745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Z158" s="745" t="n"/>
      <c r="AA158" s="744" t="n"/>
      <c r="AB158" s="549" t="n"/>
      <c r="AC158" s="549" t="n"/>
      <c r="AF158" s="744" t="n"/>
      <c r="AG158" s="8" t="n"/>
      <c r="AH158" s="8" t="n"/>
      <c r="AI158" s="8" t="n"/>
      <c r="AJ158" s="8" t="n"/>
      <c r="AK158" s="8" t="n"/>
    </row>
    <row r="159">
      <c r="A159" s="59" t="n"/>
      <c r="B159" s="745" t="n"/>
      <c r="D159" s="746" t="n"/>
      <c r="G159" s="745" t="n"/>
      <c r="H159" s="745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Z159" s="745" t="n"/>
      <c r="AA159" s="744" t="n"/>
      <c r="AB159" s="549" t="n"/>
      <c r="AC159" s="549" t="n"/>
      <c r="AF159" s="744" t="n"/>
      <c r="AG159" s="8" t="n"/>
      <c r="AH159" s="8" t="n"/>
      <c r="AI159" s="8" t="n"/>
      <c r="AJ159" s="8" t="n"/>
      <c r="AK159" s="8" t="n"/>
    </row>
    <row r="160">
      <c r="A160" s="59" t="n"/>
      <c r="B160" s="745" t="n"/>
      <c r="D160" s="746" t="n"/>
      <c r="G160" s="745" t="n"/>
      <c r="H160" s="745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Z160" s="745" t="n"/>
      <c r="AA160" s="744" t="n"/>
      <c r="AB160" s="549" t="n"/>
      <c r="AC160" s="549" t="n"/>
      <c r="AF160" s="744" t="n"/>
      <c r="AG160" s="8" t="n"/>
      <c r="AH160" s="8" t="n"/>
      <c r="AI160" s="8" t="n"/>
      <c r="AJ160" s="8" t="n"/>
      <c r="AK160" s="8" t="n"/>
    </row>
    <row r="161">
      <c r="A161" s="59" t="n"/>
      <c r="B161" s="745" t="n"/>
      <c r="D161" s="746" t="n"/>
      <c r="G161" s="745" t="n"/>
      <c r="H161" s="745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Z161" s="745" t="n"/>
      <c r="AA161" s="744" t="n"/>
      <c r="AB161" s="549" t="n"/>
      <c r="AC161" s="549" t="n"/>
      <c r="AF161" s="744" t="n"/>
      <c r="AG161" s="8" t="n"/>
      <c r="AH161" s="8" t="n"/>
      <c r="AI161" s="8" t="n"/>
      <c r="AJ161" s="8" t="n"/>
      <c r="AK161" s="8" t="n"/>
    </row>
    <row r="162">
      <c r="A162" s="59" t="n"/>
      <c r="B162" s="745" t="n"/>
      <c r="D162" s="746" t="n"/>
      <c r="G162" s="745" t="n"/>
      <c r="H162" s="745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Z162" s="745" t="n"/>
      <c r="AA162" s="744" t="n"/>
      <c r="AB162" s="549" t="n"/>
      <c r="AC162" s="549" t="n"/>
      <c r="AF162" s="744" t="n"/>
      <c r="AG162" s="8" t="n"/>
      <c r="AH162" s="8" t="n"/>
      <c r="AI162" s="8" t="n"/>
      <c r="AJ162" s="8" t="n"/>
      <c r="AK162" s="8" t="n"/>
    </row>
    <row r="163">
      <c r="B163" s="745" t="n"/>
      <c r="D163" s="746" t="n"/>
      <c r="G163" s="745" t="n"/>
      <c r="H163" s="745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Z163" s="745" t="n"/>
      <c r="AA163" s="744" t="n"/>
      <c r="AB163" s="745" t="n"/>
      <c r="AC163" s="745" t="n"/>
      <c r="AF163" s="744" t="n"/>
      <c r="AG163" s="8" t="n"/>
      <c r="AH163" s="8" t="n"/>
      <c r="AI163" s="8" t="n"/>
      <c r="AJ163" s="8" t="n"/>
      <c r="AK163" s="8" t="n"/>
    </row>
    <row r="164">
      <c r="B164" s="745" t="n"/>
      <c r="D164" s="746" t="n"/>
      <c r="G164" s="745" t="n"/>
      <c r="H164" s="745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Z164" s="745" t="n"/>
      <c r="AA164" s="744" t="n"/>
      <c r="AB164" s="745" t="n"/>
      <c r="AC164" s="745" t="n"/>
      <c r="AF164" s="744" t="n"/>
      <c r="AG164" s="8" t="n"/>
      <c r="AH164" s="8" t="n"/>
      <c r="AI164" s="8" t="n"/>
      <c r="AJ164" s="8" t="n"/>
      <c r="AK164" s="8" t="n"/>
    </row>
    <row r="165">
      <c r="B165" s="745" t="n"/>
      <c r="D165" s="746" t="n"/>
      <c r="G165" s="745" t="n"/>
      <c r="H165" s="745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Z165" s="745" t="n"/>
      <c r="AA165" s="744" t="n"/>
      <c r="AB165" s="745" t="n"/>
      <c r="AC165" s="745" t="n"/>
      <c r="AF165" s="744" t="n"/>
      <c r="AG165" s="8" t="n"/>
      <c r="AH165" s="8" t="n"/>
      <c r="AI165" s="8" t="n"/>
      <c r="AJ165" s="8" t="n"/>
      <c r="AK165" s="8" t="n"/>
    </row>
    <row r="166">
      <c r="B166" s="745" t="n"/>
      <c r="D166" s="746" t="n"/>
      <c r="G166" s="745" t="n"/>
      <c r="H166" s="745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Z166" s="745" t="n"/>
      <c r="AA166" s="744" t="n"/>
      <c r="AB166" s="745" t="n"/>
      <c r="AC166" s="745" t="n"/>
      <c r="AF166" s="744" t="n"/>
      <c r="AG166" s="8" t="n"/>
      <c r="AH166" s="8" t="n"/>
      <c r="AI166" s="8" t="n"/>
      <c r="AJ166" s="8" t="n"/>
      <c r="AK166" s="8" t="n"/>
    </row>
    <row r="167">
      <c r="B167" s="745" t="n"/>
      <c r="D167" s="746" t="n"/>
      <c r="G167" s="745" t="n"/>
      <c r="H167" s="745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Z167" s="745" t="n"/>
      <c r="AA167" s="744" t="n"/>
      <c r="AB167" s="745" t="n"/>
      <c r="AC167" s="745" t="n"/>
      <c r="AF167" s="744" t="n"/>
      <c r="AG167" s="8" t="n"/>
      <c r="AH167" s="8" t="n"/>
      <c r="AI167" s="8" t="n"/>
      <c r="AJ167" s="8" t="n"/>
      <c r="AK167" s="8" t="n"/>
    </row>
    <row r="168">
      <c r="B168" s="745" t="n"/>
      <c r="D168" s="746" t="n"/>
      <c r="G168" s="745" t="n"/>
      <c r="H168" s="745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Z168" s="745" t="n"/>
      <c r="AA168" s="744" t="n"/>
      <c r="AB168" s="745" t="n"/>
      <c r="AC168" s="745" t="n"/>
      <c r="AF168" s="744" t="n"/>
      <c r="AG168" s="8" t="n"/>
      <c r="AH168" s="8" t="n"/>
      <c r="AI168" s="8" t="n"/>
      <c r="AJ168" s="8" t="n"/>
      <c r="AK168" s="8" t="n"/>
    </row>
    <row r="169">
      <c r="B169" s="745" t="n"/>
      <c r="D169" s="746" t="n"/>
      <c r="G169" s="745" t="n"/>
      <c r="H169" s="745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</row>
    <row r="170">
      <c r="B170" s="745" t="n"/>
      <c r="D170" s="746" t="n"/>
      <c r="G170" s="745" t="n"/>
      <c r="H170" s="745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</row>
    <row r="171">
      <c r="B171" s="745" t="n"/>
      <c r="D171" s="746" t="n"/>
      <c r="G171" s="745" t="n"/>
      <c r="H171" s="745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</row>
    <row r="172">
      <c r="B172" s="745" t="n"/>
      <c r="D172" s="746" t="n"/>
      <c r="G172" s="745" t="n"/>
      <c r="H172" s="745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</row>
    <row r="173">
      <c r="B173" s="745" t="n"/>
      <c r="D173" s="746" t="n"/>
      <c r="G173" s="745" t="n"/>
      <c r="H173" s="745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</row>
    <row r="174">
      <c r="B174" s="745" t="n"/>
      <c r="D174" s="746" t="n"/>
      <c r="G174" s="745" t="n"/>
      <c r="H174" s="745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</row>
    <row r="175">
      <c r="B175" s="745" t="n"/>
      <c r="D175" s="746" t="n"/>
      <c r="G175" s="745" t="n"/>
      <c r="H175" s="745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</row>
    <row r="176">
      <c r="B176" s="745" t="n"/>
      <c r="D176" s="746" t="n"/>
      <c r="G176" s="745" t="n"/>
      <c r="H176" s="745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</row>
    <row r="177">
      <c r="B177" s="745" t="n"/>
      <c r="D177" s="746" t="n"/>
      <c r="G177" s="745" t="n"/>
      <c r="H177" s="745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</row>
    <row r="178">
      <c r="B178" s="745" t="n"/>
      <c r="D178" s="746" t="n"/>
      <c r="G178" s="745" t="n"/>
      <c r="H178" s="745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</row>
    <row r="179">
      <c r="B179" s="745" t="n"/>
      <c r="D179" s="746" t="n"/>
      <c r="G179" s="745" t="n"/>
      <c r="H179" s="745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</row>
    <row r="180">
      <c r="B180" s="745" t="n"/>
      <c r="D180" s="746" t="n"/>
      <c r="G180" s="745" t="n"/>
      <c r="H180" s="745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</row>
    <row r="181">
      <c r="B181" s="745" t="n"/>
      <c r="D181" s="746" t="n"/>
      <c r="G181" s="745" t="n"/>
      <c r="H181" s="745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</row>
    <row r="182">
      <c r="B182" s="745" t="n"/>
      <c r="D182" s="746" t="n"/>
      <c r="G182" s="745" t="n"/>
      <c r="H182" s="745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</row>
    <row r="183">
      <c r="B183" s="745" t="n"/>
      <c r="D183" s="746" t="n"/>
      <c r="G183" s="745" t="n"/>
      <c r="H183" s="745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</row>
    <row r="184">
      <c r="B184" s="745" t="n"/>
      <c r="D184" s="746" t="n"/>
      <c r="G184" s="745" t="n"/>
      <c r="H184" s="745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</row>
    <row r="185">
      <c r="B185" s="745" t="n"/>
      <c r="D185" s="746" t="n"/>
      <c r="G185" s="745" t="n"/>
      <c r="H185" s="745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</row>
    <row r="186">
      <c r="B186" s="745" t="n"/>
      <c r="D186" s="746" t="n"/>
      <c r="G186" s="745" t="n"/>
      <c r="H186" s="745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</row>
    <row r="187">
      <c r="B187" s="745" t="n"/>
      <c r="D187" s="746" t="n"/>
      <c r="G187" s="745" t="n"/>
      <c r="H187" s="745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</row>
    <row r="188">
      <c r="B188" s="745" t="n"/>
      <c r="D188" s="746" t="n"/>
      <c r="G188" s="745" t="n"/>
      <c r="H188" s="745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</row>
    <row r="189" ht="17" customHeight="1">
      <c r="B189" s="745" t="n"/>
      <c r="D189" s="746" t="n"/>
      <c r="G189" s="745" t="n"/>
      <c r="H189" s="745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60" t="inlineStr">
        <is>
          <t>Remarks</t>
        </is>
      </c>
      <c r="AK189" s="779" t="n"/>
      <c r="AL189" s="779" t="n"/>
      <c r="AM189" s="779" t="n"/>
      <c r="AN189" s="779" t="n"/>
      <c r="AO189" s="779" t="n"/>
      <c r="AP189" s="779" t="n"/>
      <c r="AQ189" s="779" t="n"/>
      <c r="AR189" s="779" t="n"/>
      <c r="AS189" s="744" t="n"/>
      <c r="AT189" s="779" t="n"/>
      <c r="AU189" s="780" t="n"/>
    </row>
    <row r="190">
      <c r="B190" s="745" t="n"/>
      <c r="D190" s="746" t="n"/>
      <c r="G190" s="745" t="n"/>
      <c r="H190" s="745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59" t="n"/>
      <c r="AK190" s="781" t="inlineStr">
        <is>
          <t>1) Glass recycling programme launched in Aug 14.</t>
        </is>
      </c>
      <c r="AO190" s="781" t="n"/>
      <c r="AP190" s="781" t="n"/>
      <c r="AQ190" s="781" t="n"/>
      <c r="AR190" s="781" t="n"/>
      <c r="AS190" s="744" t="n"/>
      <c r="AT190" s="781" t="n"/>
      <c r="AU190" s="781" t="n"/>
    </row>
    <row r="191">
      <c r="B191" s="745" t="n"/>
      <c r="D191" s="746" t="n"/>
      <c r="G191" s="745" t="n"/>
      <c r="H191" s="745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59" t="n"/>
      <c r="AK191" s="781" t="inlineStr">
        <is>
          <t>2) Clothes recycling programme launched in Oct 14.</t>
        </is>
      </c>
      <c r="AO191" s="781" t="n"/>
      <c r="AP191" s="781" t="n"/>
      <c r="AQ191" s="781" t="n"/>
      <c r="AR191" s="781" t="n"/>
      <c r="AS191" s="744" t="n"/>
      <c r="AT191" s="781" t="n"/>
      <c r="AU191" s="781" t="n"/>
    </row>
    <row r="192">
      <c r="B192" s="745" t="n"/>
      <c r="D192" s="746" t="n"/>
      <c r="G192" s="745" t="n"/>
      <c r="H192" s="745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59" t="n"/>
      <c r="AK192" s="781" t="inlineStr">
        <is>
          <t>3) Electrical appliance collection record started in Oct 14.</t>
        </is>
      </c>
      <c r="AO192" s="781" t="n"/>
      <c r="AP192" s="781" t="n"/>
      <c r="AQ192" s="781" t="n"/>
      <c r="AR192" s="781" t="n"/>
      <c r="AS192" s="744" t="n"/>
      <c r="AT192" s="781" t="n"/>
      <c r="AU192" s="781" t="n"/>
    </row>
    <row r="193">
      <c r="B193" s="745" t="n"/>
      <c r="D193" s="746" t="n"/>
      <c r="G193" s="745" t="n"/>
      <c r="H193" s="745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59" t="n"/>
      <c r="AK193" s="781" t="inlineStr">
        <is>
          <t>3) Trash record started in Jul 15.</t>
        </is>
      </c>
      <c r="AN193" s="781" t="n"/>
      <c r="AO193" s="781" t="n"/>
      <c r="AP193" s="781" t="n"/>
      <c r="AQ193" s="781" t="n"/>
      <c r="AR193" s="781" t="n"/>
      <c r="AS193" s="744" t="n"/>
      <c r="AT193" s="781" t="n"/>
      <c r="AU193" s="781" t="n"/>
    </row>
    <row r="194">
      <c r="B194" s="745" t="n"/>
      <c r="D194" s="746" t="n"/>
      <c r="G194" s="745" t="n"/>
      <c r="H194" s="745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59" t="n"/>
      <c r="AK194" s="781" t="inlineStr">
        <is>
          <t>4) The estimated trash was 9.71tons per day from Jul 13 to Jun 15.</t>
        </is>
      </c>
      <c r="AP194" s="781" t="n"/>
      <c r="AQ194" s="781" t="n"/>
      <c r="AR194" s="781" t="n"/>
      <c r="AS194" s="744" t="n"/>
      <c r="AT194" s="781" t="n"/>
      <c r="AU194" s="781" t="n"/>
    </row>
    <row r="195">
      <c r="B195" s="745" t="n"/>
      <c r="D195" s="746" t="n"/>
      <c r="G195" s="745" t="n"/>
      <c r="H195" s="745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59" t="n"/>
      <c r="AK195" s="781" t="inlineStr">
        <is>
          <t>5) From Jul 13, 2000 kg per month has been added for the contractor of PARKnSHOP.</t>
        </is>
      </c>
      <c r="AR195" s="781" t="n"/>
      <c r="AS195" s="744" t="n"/>
      <c r="AT195" s="781" t="n"/>
      <c r="AU195" s="781" t="n"/>
    </row>
    <row r="196">
      <c r="B196" s="745" t="n"/>
      <c r="D196" s="746" t="n"/>
      <c r="G196" s="745" t="n"/>
      <c r="H196" s="745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59" t="n"/>
      <c r="AK196" s="781" t="inlineStr">
        <is>
          <t>6) Food waste collection started on 20 Sep 16.</t>
        </is>
      </c>
      <c r="AO196" s="781" t="n"/>
      <c r="AP196" s="781" t="n"/>
      <c r="AQ196" s="781" t="n"/>
      <c r="AR196" s="781" t="n"/>
      <c r="AS196" s="744" t="n"/>
      <c r="AT196" s="781" t="n"/>
      <c r="AU196" s="781" t="n"/>
    </row>
    <row r="197">
      <c r="B197" s="745" t="n"/>
      <c r="D197" s="746" t="n"/>
      <c r="G197" s="745" t="n"/>
      <c r="H197" s="745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59" t="n"/>
      <c r="AK197" s="781" t="inlineStr">
        <is>
          <t>7) E-waste was counted as 100kg per item from Jul 13 to Jun 18.</t>
        </is>
      </c>
      <c r="AP197" s="781" t="n"/>
      <c r="AQ197" s="781" t="n"/>
      <c r="AR197" s="781" t="n"/>
      <c r="AS197" s="744" t="n"/>
      <c r="AT197" s="781" t="n"/>
      <c r="AU197" s="781" t="n"/>
    </row>
    <row r="198">
      <c r="B198" s="745" t="n"/>
      <c r="D198" s="746" t="n"/>
      <c r="G198" s="745" t="n"/>
      <c r="H198" s="745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V198" s="744" t="n"/>
      <c r="AW198" s="744" t="n"/>
      <c r="AX198" s="744" t="n"/>
      <c r="AY198" s="744" t="n"/>
      <c r="AZ198" s="744" t="n"/>
      <c r="BA198" s="745" t="n"/>
      <c r="BB198" s="779" t="n"/>
    </row>
    <row r="199">
      <c r="B199" s="745" t="n"/>
      <c r="D199" s="746" t="n"/>
      <c r="G199" s="745" t="n"/>
      <c r="H199" s="745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V199" s="744" t="n"/>
      <c r="AW199" s="744" t="n"/>
      <c r="AX199" s="744" t="n"/>
      <c r="AY199" s="744" t="n"/>
      <c r="AZ199" s="744" t="n"/>
      <c r="BA199" s="781" t="n"/>
      <c r="BB199" s="781" t="n"/>
    </row>
    <row r="200">
      <c r="B200" s="745" t="n"/>
      <c r="D200" s="746" t="n"/>
      <c r="G200" s="745" t="n"/>
      <c r="H200" s="745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V200" s="744" t="n"/>
      <c r="AW200" s="744" t="n"/>
      <c r="AX200" s="744" t="n"/>
      <c r="AY200" s="744" t="n"/>
      <c r="AZ200" s="744" t="n"/>
      <c r="BA200" s="781" t="n"/>
      <c r="BB200" s="781" t="n"/>
    </row>
    <row r="201">
      <c r="B201" s="745" t="n"/>
      <c r="D201" s="746" t="n"/>
      <c r="G201" s="745" t="n"/>
      <c r="H201" s="745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V201" s="744" t="n"/>
      <c r="AW201" s="744" t="n"/>
      <c r="AX201" s="744" t="n"/>
      <c r="AY201" s="744" t="n"/>
      <c r="AZ201" s="744" t="n"/>
      <c r="BA201" s="781" t="n"/>
      <c r="BB201" s="781" t="n"/>
    </row>
    <row r="202">
      <c r="B202" s="745" t="n"/>
      <c r="D202" s="746" t="n"/>
      <c r="G202" s="745" t="n"/>
      <c r="H202" s="745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V202" s="744" t="n"/>
      <c r="AW202" s="744" t="n"/>
      <c r="AX202" s="744" t="n"/>
      <c r="AY202" s="744" t="n"/>
      <c r="AZ202" s="744" t="n"/>
      <c r="BA202" s="781" t="n"/>
      <c r="BB202" s="781" t="n"/>
    </row>
    <row r="203">
      <c r="B203" s="745" t="n"/>
      <c r="D203" s="746" t="n"/>
      <c r="G203" s="745" t="n"/>
      <c r="H203" s="745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V203" s="744" t="n"/>
      <c r="AW203" s="744" t="n"/>
      <c r="AX203" s="744" t="n"/>
      <c r="AY203" s="744" t="n"/>
      <c r="AZ203" s="744" t="n"/>
      <c r="BA203" s="781" t="n"/>
      <c r="BB203" s="781" t="n"/>
    </row>
    <row r="204">
      <c r="B204" s="745" t="n"/>
      <c r="D204" s="746" t="n"/>
      <c r="G204" s="745" t="n"/>
      <c r="H204" s="745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V204" s="744" t="n"/>
      <c r="AW204" s="744" t="n"/>
      <c r="AX204" s="744" t="n"/>
      <c r="AY204" s="744" t="n"/>
      <c r="AZ204" s="744" t="n"/>
      <c r="BA204" s="781" t="n"/>
      <c r="BB204" s="781" t="n"/>
    </row>
    <row r="205">
      <c r="B205" s="745" t="n"/>
      <c r="D205" s="746" t="n"/>
      <c r="G205" s="745" t="n"/>
      <c r="H205" s="745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V205" s="744" t="n"/>
      <c r="AW205" s="744" t="n"/>
      <c r="AX205" s="744" t="n"/>
      <c r="AY205" s="744" t="n"/>
      <c r="AZ205" s="744" t="n"/>
      <c r="BA205" s="781" t="n"/>
      <c r="BB205" s="781" t="n"/>
    </row>
    <row r="206">
      <c r="B206" s="745" t="n"/>
      <c r="D206" s="746" t="n"/>
      <c r="G206" s="745" t="n"/>
      <c r="H206" s="745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V206" s="744" t="n"/>
      <c r="AW206" s="744" t="n"/>
      <c r="AX206" s="744" t="n"/>
      <c r="AY206" s="744" t="n"/>
      <c r="AZ206" s="744" t="n"/>
      <c r="BA206" s="781" t="n"/>
      <c r="BB206" s="781" t="n"/>
    </row>
    <row r="207" ht="16.25" customHeight="1">
      <c r="B207" s="745" t="n"/>
      <c r="D207" s="746" t="n"/>
      <c r="G207" s="745" t="n"/>
      <c r="H207" s="745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V207" s="781" t="n"/>
      <c r="AW207" s="781" t="n"/>
      <c r="AX207" s="781" t="n"/>
      <c r="AY207" s="781" t="n"/>
      <c r="AZ207" s="781" t="n"/>
      <c r="BA207" s="781" t="n"/>
      <c r="BB207" s="781" t="n"/>
    </row>
    <row r="208">
      <c r="B208" s="745" t="n"/>
      <c r="D208" s="746" t="n"/>
      <c r="G208" s="745" t="n"/>
      <c r="H208" s="745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</row>
    <row r="209">
      <c r="B209" s="745" t="n"/>
      <c r="D209" s="746" t="n"/>
      <c r="G209" s="745" t="n"/>
      <c r="H209" s="745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</row>
    <row r="210">
      <c r="B210" s="745" t="n"/>
      <c r="D210" s="746" t="n"/>
      <c r="G210" s="745" t="n"/>
      <c r="H210" s="745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</row>
    <row r="211">
      <c r="B211" s="745" t="n"/>
      <c r="D211" s="746" t="n"/>
      <c r="G211" s="745" t="n"/>
      <c r="H211" s="745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</row>
    <row r="212"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</row>
    <row r="213"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</row>
    <row r="214"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</row>
    <row r="215"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</row>
    <row r="216"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</row>
    <row r="217"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</row>
    <row r="218"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</row>
    <row r="219"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</row>
    <row r="220"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</row>
    <row r="221"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</row>
    <row r="222"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</row>
    <row r="223">
      <c r="Z223" s="8" t="n"/>
      <c r="AA223" s="8" t="n"/>
      <c r="AB223" s="8" t="n"/>
      <c r="AC223" s="8" t="n"/>
    </row>
    <row r="224">
      <c r="Z224" s="8" t="n"/>
      <c r="AA224" s="8" t="n"/>
      <c r="AB224" s="8" t="n"/>
      <c r="AC224" s="8" t="n"/>
    </row>
    <row r="225">
      <c r="Z225" s="8" t="n"/>
      <c r="AA225" s="8" t="n"/>
      <c r="AB225" s="8" t="n"/>
      <c r="AC225" s="8" t="n"/>
    </row>
    <row r="226">
      <c r="Z226" s="8" t="n"/>
      <c r="AA226" s="8" t="n"/>
      <c r="AB226" s="8" t="n"/>
      <c r="AC226" s="8" t="n"/>
    </row>
    <row r="227">
      <c r="Z227" s="8" t="n"/>
      <c r="AA227" s="8" t="n"/>
      <c r="AB227" s="8" t="n"/>
      <c r="AC227" s="8" t="n"/>
    </row>
    <row r="228">
      <c r="Z228" s="8" t="n"/>
      <c r="AA228" s="8" t="n"/>
      <c r="AB228" s="8" t="n"/>
      <c r="AC228" s="8" t="n"/>
    </row>
    <row r="229">
      <c r="Z229" s="8" t="n"/>
      <c r="AA229" s="8" t="n"/>
      <c r="AB229" s="8" t="n"/>
      <c r="AC229" s="8" t="n"/>
    </row>
    <row r="230">
      <c r="Z230" s="8" t="n"/>
      <c r="AA230" s="8" t="n"/>
      <c r="AB230" s="8" t="n"/>
      <c r="AC230" s="8" t="n"/>
    </row>
    <row r="231">
      <c r="Z231" s="8" t="n"/>
      <c r="AA231" s="8" t="n"/>
      <c r="AB231" s="8" t="n"/>
      <c r="AC231" s="8" t="n"/>
    </row>
    <row r="232">
      <c r="Z232" s="8" t="n"/>
      <c r="AA232" s="8" t="n"/>
      <c r="AB232" s="8" t="n"/>
      <c r="AC232" s="8" t="n"/>
    </row>
  </sheetData>
  <mergeCells count="8">
    <mergeCell ref="AK194:AO194"/>
    <mergeCell ref="AK196:AN196"/>
    <mergeCell ref="AK191:AN191"/>
    <mergeCell ref="AK193:AM193"/>
    <mergeCell ref="AK197:AO197"/>
    <mergeCell ref="AK192:AN192"/>
    <mergeCell ref="AK190:AN190"/>
    <mergeCell ref="AK195:AQ195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2" sqref="C32"/>
    </sheetView>
  </sheetViews>
  <sheetFormatPr baseColWidth="10" defaultColWidth="11.5" defaultRowHeight="15"/>
  <cols>
    <col width="20.6640625" customWidth="1" min="2" max="11"/>
    <col width="51" bestFit="1" customWidth="1" min="15" max="15"/>
  </cols>
  <sheetData>
    <row r="1">
      <c r="A1" s="422" t="n"/>
      <c r="B1" s="422" t="inlineStr">
        <is>
          <t>Student Halls</t>
        </is>
      </c>
      <c r="C1" s="422" t="inlineStr">
        <is>
          <t>F&amp;B</t>
        </is>
      </c>
      <c r="D1" s="422" t="inlineStr">
        <is>
          <t>Staff Quarters</t>
        </is>
      </c>
      <c r="E1" s="422" t="inlineStr">
        <is>
          <t>Yellow Skip</t>
        </is>
      </c>
      <c r="F1" s="422" t="inlineStr">
        <is>
          <t>Departments</t>
        </is>
      </c>
      <c r="G1" s="422" t="inlineStr">
        <is>
          <t>Public Area</t>
        </is>
      </c>
      <c r="H1" s="422" t="inlineStr">
        <is>
          <t>Laboratory</t>
        </is>
      </c>
      <c r="I1" s="422" t="inlineStr">
        <is>
          <t>LSK</t>
        </is>
      </c>
      <c r="J1" s="422" t="inlineStr">
        <is>
          <t>Conference Lodge</t>
        </is>
      </c>
      <c r="K1" s="422" t="inlineStr">
        <is>
          <t>Total</t>
        </is>
      </c>
    </row>
    <row r="2" ht="16" customHeight="1">
      <c r="A2" s="423" t="n">
        <v>45108</v>
      </c>
      <c r="B2" s="424" t="n">
        <v>24538</v>
      </c>
      <c r="C2" s="424" t="n">
        <v>21744</v>
      </c>
      <c r="D2" s="424" t="n">
        <v>24538</v>
      </c>
      <c r="E2" s="424" t="n">
        <v>23940</v>
      </c>
      <c r="F2" s="424" t="n">
        <v>1234</v>
      </c>
      <c r="G2" s="424" t="n">
        <v>15397</v>
      </c>
      <c r="H2" s="424" t="n">
        <v>20367</v>
      </c>
      <c r="I2" s="424" t="n">
        <v>5164</v>
      </c>
      <c r="J2" s="425" t="inlineStr">
        <is>
          <t>-</t>
        </is>
      </c>
      <c r="K2" s="424">
        <f>SUM(B2:J2)</f>
        <v/>
      </c>
      <c r="N2" s="523" t="inlineStr">
        <is>
          <t>Location</t>
        </is>
      </c>
      <c r="O2" s="523" t="inlineStr">
        <is>
          <t>Zoning by Green Bird</t>
        </is>
      </c>
    </row>
    <row r="3" ht="16" customHeight="1">
      <c r="A3" s="423" t="n">
        <v>45139</v>
      </c>
      <c r="B3" s="424" t="n">
        <v>32023</v>
      </c>
      <c r="C3" s="424" t="n">
        <v>23917</v>
      </c>
      <c r="D3" s="424" t="n">
        <v>32023</v>
      </c>
      <c r="E3" s="424" t="n">
        <v>29050</v>
      </c>
      <c r="F3" s="424" t="n">
        <v>1446</v>
      </c>
      <c r="G3" s="424" t="n">
        <v>16293</v>
      </c>
      <c r="H3" s="424" t="n">
        <v>21851</v>
      </c>
      <c r="I3" s="424" t="n">
        <v>5090</v>
      </c>
      <c r="J3" s="425" t="inlineStr">
        <is>
          <t>-</t>
        </is>
      </c>
      <c r="K3" s="424">
        <f>SUM(B3:J3)</f>
        <v/>
      </c>
      <c r="N3" s="426" t="inlineStr">
        <is>
          <t>Public Area</t>
        </is>
      </c>
      <c r="O3" s="427" t="inlineStr">
        <is>
          <t>香港科技大學LG7 , UST Lift 25 Refuse Collection Point</t>
        </is>
      </c>
    </row>
    <row r="4" ht="16" customHeight="1">
      <c r="A4" s="423" t="n">
        <v>45170</v>
      </c>
      <c r="B4" s="424" t="n">
        <v>33678</v>
      </c>
      <c r="C4" s="424" t="n">
        <v>34781</v>
      </c>
      <c r="D4" s="424" t="n">
        <v>23660</v>
      </c>
      <c r="E4" s="424" t="n">
        <v>18300</v>
      </c>
      <c r="F4" s="424" t="n">
        <v>1142</v>
      </c>
      <c r="G4" s="424" t="n">
        <v>16977</v>
      </c>
      <c r="H4" s="424" t="n">
        <v>21635</v>
      </c>
      <c r="I4" s="424" t="n">
        <v>7710</v>
      </c>
      <c r="J4" s="425" t="inlineStr">
        <is>
          <t>-</t>
        </is>
      </c>
      <c r="K4" s="424">
        <f>SUM(B4:J4)</f>
        <v/>
      </c>
      <c r="N4" s="426" t="inlineStr">
        <is>
          <t>LAB Area</t>
        </is>
      </c>
      <c r="O4" s="426" t="inlineStr">
        <is>
          <t>UST CYT , UST Lift 23 Loading Bay</t>
        </is>
      </c>
    </row>
    <row r="5" ht="16" customHeight="1">
      <c r="A5" s="423" t="n">
        <v>45200</v>
      </c>
      <c r="B5" s="424" t="n">
        <v>30520</v>
      </c>
      <c r="C5" s="424" t="n">
        <v>33067</v>
      </c>
      <c r="D5" s="424" t="n">
        <v>22740</v>
      </c>
      <c r="E5" s="424" t="n">
        <v>17930</v>
      </c>
      <c r="F5" s="424" t="n">
        <v>1512</v>
      </c>
      <c r="G5" s="424" t="n">
        <v>17573</v>
      </c>
      <c r="H5" s="424" t="n">
        <v>23299</v>
      </c>
      <c r="I5" s="424" t="n">
        <v>7128</v>
      </c>
      <c r="J5" s="425" t="inlineStr">
        <is>
          <t>-</t>
        </is>
      </c>
      <c r="K5" s="424">
        <f>SUM(B5:J5)</f>
        <v/>
      </c>
      <c r="N5" s="426" t="inlineStr">
        <is>
          <t>LSK</t>
        </is>
      </c>
      <c r="O5" s="426" t="inlineStr">
        <is>
          <t>UST LSK</t>
        </is>
      </c>
    </row>
    <row r="6" ht="16" customHeight="1">
      <c r="A6" s="423" t="n">
        <v>45231</v>
      </c>
      <c r="B6" s="424" t="n">
        <v>33259</v>
      </c>
      <c r="C6" s="424" t="n">
        <v>33410</v>
      </c>
      <c r="D6" s="424" t="n">
        <v>20571</v>
      </c>
      <c r="E6" s="424" t="n">
        <v>19760</v>
      </c>
      <c r="F6" s="424" t="n">
        <v>1767</v>
      </c>
      <c r="G6" s="424" t="n">
        <v>18181</v>
      </c>
      <c r="H6" s="424" t="n">
        <v>23075</v>
      </c>
      <c r="I6" s="424" t="n">
        <v>7879</v>
      </c>
      <c r="J6" s="425" t="inlineStr">
        <is>
          <t>-</t>
        </is>
      </c>
      <c r="K6" s="424">
        <f>SUM(B6:J6)</f>
        <v/>
      </c>
      <c r="N6" s="426" t="inlineStr">
        <is>
          <t>CL</t>
        </is>
      </c>
      <c r="O6" s="426" t="inlineStr">
        <is>
          <t>CL</t>
        </is>
      </c>
    </row>
    <row r="7" ht="16" customHeight="1">
      <c r="A7" s="423" t="n">
        <v>45261</v>
      </c>
      <c r="B7" s="424" t="n">
        <v>30251</v>
      </c>
      <c r="C7" s="424" t="n">
        <v>28610</v>
      </c>
      <c r="D7" s="424" t="n">
        <v>18500</v>
      </c>
      <c r="E7" s="424" t="n">
        <v>19890</v>
      </c>
      <c r="F7" s="424" t="n">
        <v>1338</v>
      </c>
      <c r="G7" s="424" t="n">
        <v>16001</v>
      </c>
      <c r="H7" s="424" t="n">
        <v>22396</v>
      </c>
      <c r="I7" s="424" t="n">
        <v>6190</v>
      </c>
      <c r="J7" s="425" t="inlineStr">
        <is>
          <t>-</t>
        </is>
      </c>
      <c r="K7" s="424">
        <f>SUM(B7:J7)</f>
        <v/>
      </c>
      <c r="N7" s="426" t="inlineStr">
        <is>
          <t>SSQ</t>
        </is>
      </c>
      <c r="O7" s="427" t="inlineStr">
        <is>
          <t>香港科技大學 SSQ</t>
        </is>
      </c>
    </row>
    <row r="8" ht="16" customHeight="1">
      <c r="A8" s="423" t="n">
        <v>45292</v>
      </c>
      <c r="B8" s="424" t="n">
        <v>22433</v>
      </c>
      <c r="C8" s="424" t="n">
        <v>22959</v>
      </c>
      <c r="D8" s="424" t="n">
        <v>20720</v>
      </c>
      <c r="E8" s="424" t="n">
        <v>20330</v>
      </c>
      <c r="F8" s="424" t="n">
        <v>1356</v>
      </c>
      <c r="G8" s="424" t="n">
        <v>14704</v>
      </c>
      <c r="H8" s="424" t="n">
        <v>21806</v>
      </c>
      <c r="I8" s="424" t="n">
        <v>5979</v>
      </c>
      <c r="J8" s="425" t="inlineStr">
        <is>
          <t>-</t>
        </is>
      </c>
      <c r="K8" s="424">
        <f>SUM(B8:J8)</f>
        <v/>
      </c>
      <c r="N8" s="426" t="inlineStr">
        <is>
          <t>Hostel</t>
        </is>
      </c>
      <c r="O8" s="427" t="inlineStr">
        <is>
          <t>香港科技大學學生宿舍</t>
        </is>
      </c>
    </row>
    <row r="9" ht="16" customHeight="1">
      <c r="A9" s="423" t="n">
        <v>45323</v>
      </c>
      <c r="B9" s="424" t="n">
        <v>24875</v>
      </c>
      <c r="C9" s="424" t="n">
        <v>24776</v>
      </c>
      <c r="D9" s="424" t="n">
        <v>20343</v>
      </c>
      <c r="E9" s="424" t="n">
        <v>15820</v>
      </c>
      <c r="F9" s="424" t="n">
        <v>1020</v>
      </c>
      <c r="G9" s="424" t="n">
        <v>13870</v>
      </c>
      <c r="H9" s="424" t="n">
        <v>17213</v>
      </c>
      <c r="I9" s="424" t="n">
        <v>5095</v>
      </c>
      <c r="J9" s="425" t="inlineStr">
        <is>
          <t>-</t>
        </is>
      </c>
      <c r="K9" s="424">
        <f>SUM(B9:J9)</f>
        <v/>
      </c>
      <c r="N9" s="426" t="inlineStr">
        <is>
          <t>Departments</t>
        </is>
      </c>
      <c r="O9" s="426" t="inlineStr">
        <is>
          <t>21 Departments (CMO &amp; CD), DSTO, OP office, HRO, ISO….)</t>
        </is>
      </c>
    </row>
    <row r="10" ht="16" customHeight="1">
      <c r="A10" s="423" t="n">
        <v>45352</v>
      </c>
      <c r="B10" s="424" t="n">
        <v>30076</v>
      </c>
      <c r="C10" s="424" t="n">
        <v>29629</v>
      </c>
      <c r="D10" s="424" t="n">
        <v>19412</v>
      </c>
      <c r="E10" s="424" t="n">
        <v>17340</v>
      </c>
      <c r="F10" s="424" t="n">
        <v>1131</v>
      </c>
      <c r="G10" s="424" t="n">
        <v>17880</v>
      </c>
      <c r="H10" s="424" t="n">
        <v>20056</v>
      </c>
      <c r="I10" s="424" t="n">
        <v>6175</v>
      </c>
      <c r="J10" s="425" t="inlineStr">
        <is>
          <t>-</t>
        </is>
      </c>
      <c r="K10" s="424">
        <f>SUM(B10:J10)</f>
        <v/>
      </c>
      <c r="N10" s="426" t="inlineStr">
        <is>
          <t>F&amp;B</t>
        </is>
      </c>
      <c r="O10" s="426" t="inlineStr">
        <is>
          <t>F&amp;B UST ,  UST LG1 Refuse Chamber , LSK F&amp;B UST</t>
        </is>
      </c>
    </row>
    <row r="11" ht="16" customHeight="1">
      <c r="A11" s="423" t="n">
        <v>45383</v>
      </c>
      <c r="B11" s="424" t="n">
        <v>30642</v>
      </c>
      <c r="C11" s="424" t="n">
        <v>26442</v>
      </c>
      <c r="D11" s="424" t="n">
        <v>20486</v>
      </c>
      <c r="E11" s="424" t="n">
        <v>18260</v>
      </c>
      <c r="F11" s="424" t="n">
        <v>883</v>
      </c>
      <c r="G11" s="424" t="n">
        <v>15053</v>
      </c>
      <c r="H11" s="424" t="n">
        <v>19608</v>
      </c>
      <c r="I11" s="424" t="n">
        <v>4888</v>
      </c>
      <c r="J11" s="425" t="inlineStr">
        <is>
          <t>-</t>
        </is>
      </c>
      <c r="K11" s="424">
        <f>SUM(B11:J11)</f>
        <v/>
      </c>
      <c r="N11" s="426" t="inlineStr">
        <is>
          <t>Yellow Skip</t>
        </is>
      </c>
      <c r="O11" s="426" t="inlineStr">
        <is>
          <t>UST others</t>
        </is>
      </c>
    </row>
    <row r="12" ht="16" customHeight="1">
      <c r="A12" s="423" t="n">
        <v>45413</v>
      </c>
      <c r="B12" s="424" t="n">
        <v>43625</v>
      </c>
      <c r="C12" s="424" t="n">
        <v>32901</v>
      </c>
      <c r="D12" s="424" t="n">
        <v>21884</v>
      </c>
      <c r="E12" s="424" t="n">
        <v>21780</v>
      </c>
      <c r="F12" s="424" t="n">
        <v>1338</v>
      </c>
      <c r="G12" s="424" t="n">
        <v>20425</v>
      </c>
      <c r="H12" s="424" t="n">
        <v>21124</v>
      </c>
      <c r="I12" s="424" t="n">
        <v>5164</v>
      </c>
      <c r="J12" s="425" t="inlineStr">
        <is>
          <t>-</t>
        </is>
      </c>
      <c r="K12" s="424">
        <f>SUM(B12:J12)</f>
        <v/>
      </c>
      <c r="N12" s="426" t="inlineStr">
        <is>
          <t>Recyclables</t>
        </is>
      </c>
      <c r="O12" s="426" t="inlineStr">
        <is>
          <t>UST others (Recyclables), UST LSK (Recyclables)</t>
        </is>
      </c>
    </row>
    <row r="13">
      <c r="A13" s="423" t="n">
        <v>45444</v>
      </c>
      <c r="B13" s="424" t="n">
        <v>36930</v>
      </c>
      <c r="C13" s="424" t="n">
        <v>24515</v>
      </c>
      <c r="D13" s="424" t="n">
        <v>22658</v>
      </c>
      <c r="E13" s="424" t="n">
        <v>19770</v>
      </c>
      <c r="F13" s="424" t="n">
        <v>780</v>
      </c>
      <c r="G13" s="424" t="n">
        <v>19424</v>
      </c>
      <c r="H13" s="424" t="n">
        <v>17962</v>
      </c>
      <c r="I13" s="424" t="n">
        <v>4391</v>
      </c>
      <c r="J13" s="425" t="inlineStr">
        <is>
          <t>-</t>
        </is>
      </c>
      <c r="K13" s="424">
        <f>SUM(B13:J13)</f>
        <v/>
      </c>
      <c r="L13" s="428">
        <f>SUM(K2:K13)</f>
        <v/>
      </c>
    </row>
    <row r="14">
      <c r="A14" s="423" t="n">
        <v>45474</v>
      </c>
      <c r="B14" s="424" t="n">
        <v>25340</v>
      </c>
      <c r="C14" s="424" t="n">
        <v>24197</v>
      </c>
      <c r="D14" s="424" t="n">
        <v>18706</v>
      </c>
      <c r="E14" s="424" t="n">
        <v>23390</v>
      </c>
      <c r="F14" s="424" t="n">
        <v>1181</v>
      </c>
      <c r="G14" s="424" t="n">
        <v>18237</v>
      </c>
      <c r="H14" s="424" t="n">
        <v>21370</v>
      </c>
      <c r="I14" s="424" t="n">
        <v>4741</v>
      </c>
      <c r="J14" s="425" t="inlineStr">
        <is>
          <t>-</t>
        </is>
      </c>
      <c r="K14" s="424">
        <f>SUM(B14:J14)</f>
        <v/>
      </c>
    </row>
    <row r="15">
      <c r="A15" s="423" t="n">
        <v>45505</v>
      </c>
      <c r="B15" s="424" t="n">
        <v>29881</v>
      </c>
      <c r="C15" s="424" t="n">
        <v>23900</v>
      </c>
      <c r="D15" s="424" t="n">
        <v>23141</v>
      </c>
      <c r="E15" s="424" t="n">
        <v>19700</v>
      </c>
      <c r="F15" s="424" t="n">
        <v>824</v>
      </c>
      <c r="G15" s="424" t="n">
        <v>18647</v>
      </c>
      <c r="H15" s="424" t="n">
        <v>18110</v>
      </c>
      <c r="I15" s="424" t="n">
        <v>5798</v>
      </c>
      <c r="J15" s="425" t="inlineStr">
        <is>
          <t>-</t>
        </is>
      </c>
      <c r="K15" s="424">
        <f>SUM(B15:J15)</f>
        <v/>
      </c>
    </row>
    <row r="16">
      <c r="A16" s="423" t="n">
        <v>45536</v>
      </c>
      <c r="B16" s="424" t="n">
        <v>35310</v>
      </c>
      <c r="C16" s="424" t="n">
        <v>27318</v>
      </c>
      <c r="D16" s="424" t="n">
        <v>24410</v>
      </c>
      <c r="E16" s="424" t="n">
        <v>19020</v>
      </c>
      <c r="F16" s="424" t="n">
        <v>494</v>
      </c>
      <c r="G16" s="424" t="n">
        <v>19810</v>
      </c>
      <c r="H16" s="424" t="n">
        <v>20336</v>
      </c>
      <c r="I16" s="424" t="n">
        <v>7131</v>
      </c>
      <c r="J16" s="425" t="inlineStr">
        <is>
          <t>-</t>
        </is>
      </c>
      <c r="K16" s="424">
        <f>SUM(B16:J16)</f>
        <v/>
      </c>
    </row>
    <row r="17">
      <c r="A17" s="423" t="n">
        <v>45566</v>
      </c>
      <c r="B17" s="424" t="n">
        <v>34316</v>
      </c>
      <c r="C17" s="424" t="n">
        <v>27481</v>
      </c>
      <c r="D17" s="424" t="n">
        <v>22550</v>
      </c>
      <c r="E17" s="424" t="n">
        <v>17510</v>
      </c>
      <c r="F17" s="424" t="n">
        <v>847</v>
      </c>
      <c r="G17" s="424" t="n">
        <v>22790</v>
      </c>
      <c r="H17" s="424" t="n">
        <v>23054</v>
      </c>
      <c r="I17" s="424" t="n">
        <v>8137</v>
      </c>
      <c r="J17" s="425" t="inlineStr">
        <is>
          <t>-</t>
        </is>
      </c>
      <c r="K17" s="424">
        <f>SUM(B17:J17)</f>
        <v/>
      </c>
    </row>
    <row r="18">
      <c r="A18" s="423" t="n">
        <v>45597</v>
      </c>
      <c r="B18" s="424" t="n">
        <v>33644</v>
      </c>
      <c r="C18" s="424" t="n">
        <v>28361</v>
      </c>
      <c r="D18" s="424" t="n">
        <v>22574</v>
      </c>
      <c r="E18" s="424" t="n">
        <v>16450</v>
      </c>
      <c r="F18" s="424" t="n">
        <v>1181</v>
      </c>
      <c r="G18" s="424" t="n">
        <v>23820</v>
      </c>
      <c r="H18" s="424" t="n">
        <v>22365</v>
      </c>
      <c r="I18" s="424" t="n">
        <v>8954</v>
      </c>
      <c r="J18" s="425" t="inlineStr">
        <is>
          <t>-</t>
        </is>
      </c>
      <c r="K18" s="424">
        <f>SUM(B18:J18)</f>
        <v/>
      </c>
    </row>
    <row r="19">
      <c r="A19" s="423" t="n">
        <v>45627</v>
      </c>
      <c r="B19" s="424" t="n">
        <v>22250</v>
      </c>
      <c r="C19" s="424" t="n">
        <v>19020</v>
      </c>
      <c r="D19" s="424" t="n">
        <v>17474</v>
      </c>
      <c r="E19" s="425" t="inlineStr">
        <is>
          <t>-</t>
        </is>
      </c>
      <c r="F19" s="424" t="n">
        <v>888</v>
      </c>
      <c r="G19" s="424" t="n">
        <v>14277</v>
      </c>
      <c r="H19" s="424" t="n">
        <v>14600</v>
      </c>
      <c r="I19" s="424" t="n">
        <v>5825</v>
      </c>
      <c r="J19" s="425" t="inlineStr">
        <is>
          <t>-</t>
        </is>
      </c>
      <c r="K19" s="424">
        <f>SUM(B19:J19)</f>
        <v/>
      </c>
    </row>
    <row r="20">
      <c r="A20" s="423" t="n">
        <v>45658</v>
      </c>
      <c r="B20" s="424">
        <f>AVERAGE(B2:B19,B22:B25)</f>
        <v/>
      </c>
      <c r="C20" s="424">
        <f>AVERAGE(C2:C19,C22:C25)</f>
        <v/>
      </c>
      <c r="D20" s="424">
        <f>AVERAGE(D2:D19,D22:D25)</f>
        <v/>
      </c>
      <c r="E20" s="424">
        <f>AVERAGE(E2:E19,E22:E25)</f>
        <v/>
      </c>
      <c r="F20" s="424">
        <f>AVERAGE(F2:F19,F22:F25)</f>
        <v/>
      </c>
      <c r="G20" s="424">
        <f>AVERAGE(G2:G19,G22:G25)</f>
        <v/>
      </c>
      <c r="H20" s="424">
        <f>AVERAGE(H2:H19,H22:H25)</f>
        <v/>
      </c>
      <c r="I20" s="424">
        <f>AVERAGE(I2:I19,I22:I25)</f>
        <v/>
      </c>
      <c r="J20" s="425" t="inlineStr">
        <is>
          <t>-</t>
        </is>
      </c>
      <c r="K20" s="424">
        <f>SUM(B20:J20)</f>
        <v/>
      </c>
    </row>
    <row r="21">
      <c r="A21" s="423" t="n">
        <v>45689</v>
      </c>
      <c r="B21" s="424">
        <f>AVERAGE(B2:B19,B22:B25)</f>
        <v/>
      </c>
      <c r="C21" s="424">
        <f>AVERAGE(C2:C19,C22:C25)</f>
        <v/>
      </c>
      <c r="D21" s="424">
        <f>AVERAGE(D2:D19,D22:D25)</f>
        <v/>
      </c>
      <c r="E21" s="424">
        <f>AVERAGE(E2:E19,E22:E25)</f>
        <v/>
      </c>
      <c r="F21" s="424">
        <f>AVERAGE(F2:F19,F22:F25)</f>
        <v/>
      </c>
      <c r="G21" s="424">
        <f>AVERAGE(G2:G19,G22:G25)</f>
        <v/>
      </c>
      <c r="H21" s="424">
        <f>AVERAGE(H2:H19,H22:H25)</f>
        <v/>
      </c>
      <c r="I21" s="424">
        <f>AVERAGE(I2:I19,I22:I25)</f>
        <v/>
      </c>
      <c r="J21" s="425" t="inlineStr">
        <is>
          <t>-</t>
        </is>
      </c>
      <c r="K21" s="424">
        <f>SUM(B21:J21)</f>
        <v/>
      </c>
    </row>
    <row r="22">
      <c r="A22" s="423" t="n">
        <v>45717</v>
      </c>
      <c r="B22" s="424" t="n">
        <v>34294</v>
      </c>
      <c r="C22" s="424" t="n">
        <v>29801</v>
      </c>
      <c r="D22" s="424" t="n">
        <v>24654</v>
      </c>
      <c r="E22" s="424" t="n">
        <v>19610</v>
      </c>
      <c r="F22" s="424" t="n">
        <v>1346</v>
      </c>
      <c r="G22" s="424" t="n">
        <v>19762</v>
      </c>
      <c r="H22" s="424" t="n">
        <v>22464</v>
      </c>
      <c r="I22" s="424" t="n">
        <v>4465</v>
      </c>
      <c r="J22" s="424" t="n">
        <v>2811</v>
      </c>
      <c r="K22" s="424">
        <f>SUM(B22:J22)</f>
        <v/>
      </c>
    </row>
    <row r="23">
      <c r="A23" s="423" t="n">
        <v>45748</v>
      </c>
      <c r="B23" s="424" t="n">
        <v>33529</v>
      </c>
      <c r="C23" s="424" t="n">
        <v>24621</v>
      </c>
      <c r="D23" s="424" t="n">
        <v>21880</v>
      </c>
      <c r="E23" s="424" t="n">
        <v>21290</v>
      </c>
      <c r="F23" s="424" t="n">
        <v>876</v>
      </c>
      <c r="G23" s="424" t="n">
        <v>16938</v>
      </c>
      <c r="H23" s="424" t="n">
        <v>20489</v>
      </c>
      <c r="I23" s="424" t="n">
        <v>4359</v>
      </c>
      <c r="J23" s="424" t="n">
        <v>2381</v>
      </c>
      <c r="K23" s="424">
        <f>SUM(B23:J23)</f>
        <v/>
      </c>
    </row>
    <row r="24">
      <c r="A24" s="423" t="n">
        <v>45778</v>
      </c>
      <c r="B24" s="424" t="n">
        <v>40048</v>
      </c>
      <c r="C24" s="424" t="n">
        <v>27099</v>
      </c>
      <c r="D24" s="424" t="n">
        <v>23180</v>
      </c>
      <c r="E24" s="424" t="n">
        <v>19990</v>
      </c>
      <c r="F24" s="424" t="n">
        <v>850</v>
      </c>
      <c r="G24" s="424" t="n">
        <v>20186</v>
      </c>
      <c r="H24" s="424" t="n">
        <v>21851</v>
      </c>
      <c r="I24" s="424" t="n">
        <v>4217</v>
      </c>
      <c r="J24" s="424" t="n">
        <v>2698</v>
      </c>
      <c r="K24" s="424">
        <f>SUM(B24:J24)</f>
        <v/>
      </c>
    </row>
    <row r="25">
      <c r="A25" s="423" t="n">
        <v>45809</v>
      </c>
      <c r="B25" s="424" t="n">
        <v>35081</v>
      </c>
      <c r="C25" s="424" t="n">
        <v>25500</v>
      </c>
      <c r="D25" s="424" t="n">
        <v>21626</v>
      </c>
      <c r="E25" s="424" t="n">
        <v>23570</v>
      </c>
      <c r="F25" s="424" t="n">
        <v>995</v>
      </c>
      <c r="G25" s="424" t="n">
        <v>18789</v>
      </c>
      <c r="H25" s="424" t="n">
        <v>21130</v>
      </c>
      <c r="I25" s="424" t="n">
        <v>3414</v>
      </c>
      <c r="J25" s="424" t="n">
        <v>2109</v>
      </c>
      <c r="K25" s="424">
        <f>SUM(B25:J25)</f>
        <v/>
      </c>
      <c r="L25" s="428">
        <f>SUM(K14:K25)</f>
        <v/>
      </c>
    </row>
    <row r="26">
      <c r="B26" s="428" t="n"/>
      <c r="C26" s="428" t="n"/>
      <c r="D26" s="428" t="n"/>
      <c r="E26" s="428" t="n"/>
      <c r="F26" s="428" t="n"/>
      <c r="G26" s="428" t="n"/>
      <c r="H26" s="428" t="n"/>
      <c r="I26" s="428" t="n"/>
      <c r="J26" s="428" t="n"/>
      <c r="K26" s="428" t="n"/>
    </row>
    <row r="27">
      <c r="B27" s="428" t="n"/>
      <c r="C27" s="428" t="n"/>
      <c r="D27" s="428" t="n"/>
      <c r="E27" s="428" t="n"/>
      <c r="F27" s="428" t="n"/>
      <c r="G27" s="428" t="n"/>
      <c r="H27" s="428" t="n"/>
      <c r="I27" s="428" t="n"/>
      <c r="J27" s="428" t="n"/>
      <c r="K27" s="428" t="n"/>
    </row>
    <row r="28">
      <c r="A28" t="inlineStr">
        <is>
          <t>2023/24</t>
        </is>
      </c>
      <c r="B28" s="428">
        <f>SUM(B2:B13)</f>
        <v/>
      </c>
      <c r="C28" s="428">
        <f>SUM(C2:C13)</f>
        <v/>
      </c>
      <c r="D28" s="428">
        <f>SUM(D2:D13)</f>
        <v/>
      </c>
      <c r="E28" s="428">
        <f>SUM(E2:E13)</f>
        <v/>
      </c>
      <c r="F28" s="428">
        <f>SUM(F2:F13)</f>
        <v/>
      </c>
      <c r="G28" s="428">
        <f>SUM(G2:G13)</f>
        <v/>
      </c>
      <c r="H28" s="428">
        <f>SUM(H2:H13)</f>
        <v/>
      </c>
      <c r="I28" s="428">
        <f>SUM(I2:I13)</f>
        <v/>
      </c>
      <c r="J28" s="428">
        <f>SUM(J2:J13)</f>
        <v/>
      </c>
      <c r="K28" s="428" t="n"/>
    </row>
    <row r="29">
      <c r="A29" t="inlineStr">
        <is>
          <t>2024/25</t>
        </is>
      </c>
      <c r="B29" s="428">
        <f>SUM(B14:B25)</f>
        <v/>
      </c>
      <c r="C29" s="428">
        <f>SUM(C14:C25)</f>
        <v/>
      </c>
      <c r="D29" s="428">
        <f>SUM(D14:D25)</f>
        <v/>
      </c>
      <c r="E29" s="428">
        <f>SUM(E14:E25)</f>
        <v/>
      </c>
      <c r="F29" s="428">
        <f>SUM(F14:F25)</f>
        <v/>
      </c>
      <c r="G29" s="428">
        <f>SUM(G14:G25)</f>
        <v/>
      </c>
      <c r="H29" s="428">
        <f>SUM(H14:H25)</f>
        <v/>
      </c>
      <c r="I29" s="428">
        <f>SUM(I14:I25)</f>
        <v/>
      </c>
      <c r="J29" s="428">
        <f>SUM(J14:J25)</f>
        <v/>
      </c>
    </row>
    <row r="31">
      <c r="B31" s="428" t="n"/>
      <c r="C31" s="428" t="n"/>
      <c r="D31" s="428" t="n"/>
      <c r="E31" s="428" t="n"/>
    </row>
    <row r="33" ht="16" customHeight="1" thickBot="1"/>
    <row r="34" ht="28" customHeight="1" thickBot="1">
      <c r="F34" s="429" t="inlineStr">
        <is>
          <t>2023/24</t>
        </is>
      </c>
      <c r="G34" s="429" t="inlineStr">
        <is>
          <t>2024/25</t>
        </is>
      </c>
    </row>
    <row r="35" ht="28" customHeight="1" thickBot="1" thickTop="1">
      <c r="F35" s="430" t="n">
        <v>372850</v>
      </c>
      <c r="G35" s="430" t="n">
        <v>387015</v>
      </c>
      <c r="H35" s="782">
        <f>(F35-G35)/G35</f>
        <v/>
      </c>
    </row>
    <row r="36" ht="27" customHeight="1" thickBot="1">
      <c r="F36" s="431" t="n">
        <v>336751</v>
      </c>
      <c r="G36" s="431" t="n">
        <v>311302</v>
      </c>
      <c r="H36" s="782">
        <f>(F36-G36)/G36</f>
        <v/>
      </c>
    </row>
    <row r="37" ht="27" customHeight="1" thickBot="1">
      <c r="F37" s="431" t="n">
        <v>267535</v>
      </c>
      <c r="G37" s="431" t="n">
        <v>264534</v>
      </c>
      <c r="H37" s="782">
        <f>(F37-G37)/G37</f>
        <v/>
      </c>
    </row>
    <row r="38" ht="27" customHeight="1" thickBot="1">
      <c r="F38" s="431" t="n">
        <v>250392</v>
      </c>
      <c r="G38" s="431" t="n">
        <v>247238</v>
      </c>
      <c r="H38" s="782">
        <f>(F38-G38)/G38</f>
        <v/>
      </c>
    </row>
    <row r="39" ht="27" customHeight="1" thickBot="1">
      <c r="F39" s="431" t="n">
        <v>201778</v>
      </c>
      <c r="G39" s="431" t="n">
        <v>229168</v>
      </c>
      <c r="H39" s="782">
        <f>(F39-G39)/G39</f>
        <v/>
      </c>
    </row>
    <row r="40" ht="27" customHeight="1" thickBot="1">
      <c r="F40" s="431" t="n">
        <v>242170</v>
      </c>
      <c r="G40" s="431" t="n">
        <v>220787</v>
      </c>
      <c r="H40" s="782">
        <f>(F40-G40)/G40</f>
        <v/>
      </c>
    </row>
    <row r="41" ht="27" customHeight="1" thickBot="1">
      <c r="F41" s="431" t="n">
        <v>70853</v>
      </c>
      <c r="G41" s="431" t="n">
        <v>68668</v>
      </c>
      <c r="H41" s="782">
        <f>(F41-G41)/G41</f>
        <v/>
      </c>
    </row>
    <row r="42" ht="27" customHeight="1" thickBot="1">
      <c r="F42" s="431" t="n">
        <v>9999</v>
      </c>
      <c r="G42" s="431" t="n">
        <v>9999</v>
      </c>
      <c r="H42" s="782">
        <f>(F42-G42)/G42</f>
        <v/>
      </c>
    </row>
    <row r="43" ht="27" customHeight="1" thickBot="1">
      <c r="F43" s="431" t="n">
        <v>14947</v>
      </c>
      <c r="G43" s="431" t="n">
        <v>11703</v>
      </c>
      <c r="H43" s="782">
        <f>(F43-G43)/G43</f>
        <v/>
      </c>
    </row>
    <row r="44" ht="27" customHeight="1" thickBot="1">
      <c r="F44" s="431" t="n">
        <v>1757276</v>
      </c>
      <c r="G44" s="431" t="n">
        <v>1750415</v>
      </c>
      <c r="H44" s="782">
        <f>(F44-G44)/G44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D8" sqref="D8"/>
    </sheetView>
  </sheetViews>
  <sheetFormatPr baseColWidth="10" defaultColWidth="11.5" defaultRowHeight="15"/>
  <cols>
    <col hidden="1" min="5" max="6"/>
  </cols>
  <sheetData>
    <row r="1">
      <c r="A1" s="483" t="n"/>
      <c r="B1" s="483" t="inlineStr">
        <is>
          <t>Paper</t>
        </is>
      </c>
      <c r="C1" s="483" t="inlineStr">
        <is>
          <t>Metal</t>
        </is>
      </c>
      <c r="D1" s="483" t="inlineStr">
        <is>
          <t>Plastic Bottles</t>
        </is>
      </c>
      <c r="E1" s="483" t="inlineStr">
        <is>
          <t>Other Plastics</t>
        </is>
      </c>
      <c r="F1" s="483" t="inlineStr">
        <is>
          <t>Glass Bottles</t>
        </is>
      </c>
      <c r="G1" s="483" t="inlineStr">
        <is>
          <t>Total</t>
        </is>
      </c>
    </row>
    <row r="2">
      <c r="A2" s="484" t="n">
        <v>45748</v>
      </c>
      <c r="B2" s="485" t="n">
        <v>246.4</v>
      </c>
      <c r="C2" s="485" t="n">
        <v>15.3</v>
      </c>
      <c r="D2" s="485" t="n">
        <v>51.6</v>
      </c>
      <c r="E2" s="485" t="inlineStr">
        <is>
          <t>-</t>
        </is>
      </c>
      <c r="F2" s="485" t="inlineStr">
        <is>
          <t>-</t>
        </is>
      </c>
      <c r="G2" s="485">
        <f>SUM(B2:F2)</f>
        <v/>
      </c>
    </row>
    <row r="3">
      <c r="A3" s="484" t="n">
        <v>45778</v>
      </c>
      <c r="B3" s="485" t="n">
        <v>308.2</v>
      </c>
      <c r="C3" s="485" t="n">
        <v>25.3</v>
      </c>
      <c r="D3" s="485" t="n">
        <v>92.5</v>
      </c>
      <c r="E3" s="485" t="inlineStr">
        <is>
          <t>-</t>
        </is>
      </c>
      <c r="F3" s="485" t="inlineStr">
        <is>
          <t>-</t>
        </is>
      </c>
      <c r="G3" s="485">
        <f>SUM(B3:F3)</f>
        <v/>
      </c>
      <c r="H3" s="433">
        <f>SUM(G2:G7)</f>
        <v/>
      </c>
    </row>
    <row r="4">
      <c r="A4" s="484" t="n">
        <v>45809</v>
      </c>
      <c r="B4" s="485" t="n">
        <v>254.2</v>
      </c>
      <c r="C4" s="485" t="n">
        <v>12.7</v>
      </c>
      <c r="D4" s="485" t="n">
        <v>58.3</v>
      </c>
      <c r="E4" s="485" t="inlineStr">
        <is>
          <t>-</t>
        </is>
      </c>
      <c r="F4" s="485" t="inlineStr">
        <is>
          <t>-</t>
        </is>
      </c>
      <c r="G4" s="485">
        <f>SUM(B4:F4)</f>
        <v/>
      </c>
    </row>
    <row r="5">
      <c r="A5" s="484" t="n">
        <v>45839</v>
      </c>
      <c r="B5" s="485" t="n">
        <v>509.7</v>
      </c>
      <c r="C5" s="485" t="n">
        <v>16.1</v>
      </c>
      <c r="D5" s="485" t="n">
        <v>55</v>
      </c>
      <c r="E5" s="485" t="inlineStr">
        <is>
          <t>-</t>
        </is>
      </c>
      <c r="F5" s="485" t="inlineStr">
        <is>
          <t>-</t>
        </is>
      </c>
      <c r="G5" s="485">
        <f>SUM(B5:F5)</f>
        <v/>
      </c>
    </row>
    <row r="6">
      <c r="A6" s="484" t="n">
        <v>45870</v>
      </c>
      <c r="B6" s="485" t="n">
        <v>411.2</v>
      </c>
      <c r="C6" s="485" t="n">
        <v>12</v>
      </c>
      <c r="D6" s="485" t="n">
        <v>83.09999999999999</v>
      </c>
      <c r="E6" s="485" t="inlineStr">
        <is>
          <t>-</t>
        </is>
      </c>
      <c r="F6" s="485" t="inlineStr">
        <is>
          <t>-</t>
        </is>
      </c>
      <c r="G6" s="485">
        <f>SUM(B6:F6)</f>
        <v/>
      </c>
    </row>
    <row r="7">
      <c r="A7" s="484" t="n">
        <v>45901</v>
      </c>
      <c r="B7" s="485" t="n">
        <v>208.7</v>
      </c>
      <c r="C7" s="485" t="n">
        <v>11.1</v>
      </c>
      <c r="D7" s="485" t="n">
        <v>83.09999999999999</v>
      </c>
      <c r="E7" s="485" t="inlineStr">
        <is>
          <t>-</t>
        </is>
      </c>
      <c r="F7" s="485" t="inlineStr">
        <is>
          <t>-</t>
        </is>
      </c>
      <c r="G7" s="485">
        <f>SUM(B7:F7)</f>
        <v/>
      </c>
      <c r="H7" s="515">
        <f>(G7-G5)/G5</f>
        <v/>
      </c>
    </row>
    <row r="8">
      <c r="A8" s="484" t="n">
        <v>45931</v>
      </c>
      <c r="B8" s="485" t="n">
        <v>197.5</v>
      </c>
      <c r="C8" s="485" t="n">
        <v>21.4</v>
      </c>
      <c r="D8" s="485" t="n">
        <v>68.3</v>
      </c>
      <c r="E8" s="485" t="inlineStr">
        <is>
          <t>-</t>
        </is>
      </c>
      <c r="F8" s="485" t="inlineStr">
        <is>
          <t>-</t>
        </is>
      </c>
      <c r="G8" s="485">
        <f>SUM(B8:F8)</f>
        <v/>
      </c>
    </row>
    <row r="9">
      <c r="A9" s="484" t="n">
        <v>45962</v>
      </c>
      <c r="B9" s="485" t="n">
        <v>263.2</v>
      </c>
      <c r="C9" s="485" t="n">
        <v>11.9</v>
      </c>
      <c r="D9" s="485" t="n">
        <v>59.5</v>
      </c>
      <c r="E9" s="485" t="inlineStr">
        <is>
          <t>-</t>
        </is>
      </c>
      <c r="F9" s="485" t="inlineStr">
        <is>
          <t>-</t>
        </is>
      </c>
      <c r="G9" s="485">
        <f>SUM(B9:F9)</f>
        <v/>
      </c>
    </row>
    <row r="10">
      <c r="A10" s="484" t="n">
        <v>45992</v>
      </c>
      <c r="B10" s="485" t="n">
        <v>115</v>
      </c>
      <c r="C10" s="485" t="n">
        <v>9.199999999999999</v>
      </c>
      <c r="D10" s="485" t="n">
        <v>45</v>
      </c>
      <c r="E10" s="485" t="n"/>
      <c r="F10" s="485" t="n"/>
      <c r="G10" s="485">
        <f>SUM(B10:F10)</f>
        <v/>
      </c>
      <c r="H10">
        <f>(G10-G9)/G9</f>
        <v/>
      </c>
    </row>
    <row r="11">
      <c r="A11" s="484" t="n">
        <v>46023</v>
      </c>
      <c r="B11" s="485" t="n"/>
      <c r="C11" s="485" t="n"/>
      <c r="D11" s="485" t="n"/>
      <c r="E11" s="485" t="n"/>
      <c r="F11" s="485" t="n"/>
      <c r="G11" s="485">
        <f>SUM(B11:F11)</f>
        <v/>
      </c>
    </row>
    <row r="12">
      <c r="A12" s="484" t="n">
        <v>46054</v>
      </c>
      <c r="B12" s="485" t="n"/>
      <c r="C12" s="485" t="n"/>
      <c r="D12" s="485" t="n"/>
      <c r="E12" s="485" t="n"/>
      <c r="F12" s="485" t="n"/>
      <c r="G12" s="485">
        <f>SUM(B12:F12)</f>
        <v/>
      </c>
    </row>
    <row r="13">
      <c r="A13" s="484" t="n">
        <v>46082</v>
      </c>
      <c r="B13" s="485" t="n"/>
      <c r="C13" s="485" t="n"/>
      <c r="D13" s="485" t="n"/>
      <c r="E13" s="485" t="n"/>
      <c r="F13" s="485" t="n"/>
      <c r="G13" s="485">
        <f>SUM(B13:F13)</f>
        <v/>
      </c>
    </row>
    <row r="14">
      <c r="A14" s="484" t="n">
        <v>46113</v>
      </c>
      <c r="B14" s="485" t="n"/>
      <c r="C14" s="485" t="n"/>
      <c r="D14" s="485" t="n"/>
      <c r="E14" s="485" t="n"/>
      <c r="F14" s="485" t="n"/>
      <c r="G14" s="485">
        <f>SUM(B14:F14)</f>
        <v/>
      </c>
    </row>
    <row r="15">
      <c r="A15" s="484" t="n">
        <v>46143</v>
      </c>
      <c r="B15" s="485" t="n"/>
      <c r="C15" s="485" t="n"/>
      <c r="D15" s="485" t="n"/>
      <c r="E15" s="485" t="n"/>
      <c r="F15" s="485" t="n"/>
      <c r="G15" s="485">
        <f>SUM(B15:F15)</f>
        <v/>
      </c>
    </row>
    <row r="16">
      <c r="A16" s="484" t="n">
        <v>46174</v>
      </c>
      <c r="B16" s="485" t="n"/>
      <c r="C16" s="485" t="n"/>
      <c r="D16" s="485" t="n"/>
      <c r="E16" s="485" t="n"/>
      <c r="F16" s="485" t="n"/>
      <c r="G16" s="485">
        <f>SUM(B16:F16)</f>
        <v/>
      </c>
    </row>
    <row r="17">
      <c r="B17" s="336">
        <f>(B7-B6)/B6</f>
        <v/>
      </c>
      <c r="C17" s="336">
        <f>(C7-C6)/C6</f>
        <v/>
      </c>
      <c r="D17" s="336">
        <f>(D7-D6)/D6</f>
        <v/>
      </c>
      <c r="E17" s="336">
        <f>(E7-E6)/E6</f>
        <v/>
      </c>
      <c r="F17" s="336">
        <f>(F7-F6)/F6</f>
        <v/>
      </c>
      <c r="G17" s="336">
        <f>(G7-G6)/G6</f>
        <v/>
      </c>
    </row>
    <row r="18">
      <c r="B18">
        <f>(B5-B3)/B3</f>
        <v/>
      </c>
      <c r="C18">
        <f>(C5-C3)/C3</f>
        <v/>
      </c>
      <c r="D18">
        <f>(D5-D3)/D3</f>
        <v/>
      </c>
      <c r="E18">
        <f>(E5-E3)/E3</f>
        <v/>
      </c>
      <c r="F18">
        <f>(F5-F3)/F3</f>
        <v/>
      </c>
      <c r="G18">
        <f>(G5-G3)/G3</f>
        <v/>
      </c>
    </row>
    <row r="19">
      <c r="B19" s="433">
        <f>B5-B4</f>
        <v/>
      </c>
    </row>
    <row r="20">
      <c r="B20" s="433">
        <f>B7-B5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10" defaultColWidth="11.5" defaultRowHeight="15"/>
  <cols>
    <col width="11.6640625" bestFit="1" customWidth="1" min="4" max="4"/>
    <col hidden="1" width="11.5" customWidth="1" min="5" max="5"/>
  </cols>
  <sheetData>
    <row r="1">
      <c r="A1" s="483" t="n"/>
      <c r="B1" s="483" t="inlineStr">
        <is>
          <t>Paper</t>
        </is>
      </c>
      <c r="C1" s="483" t="inlineStr">
        <is>
          <t>Metal</t>
        </is>
      </c>
      <c r="D1" s="483" t="inlineStr">
        <is>
          <t>Plastic Bottles</t>
        </is>
      </c>
      <c r="E1" s="483" t="inlineStr">
        <is>
          <t>Other Plastics</t>
        </is>
      </c>
      <c r="F1" s="483" t="inlineStr">
        <is>
          <t>Glass Bottles</t>
        </is>
      </c>
      <c r="G1" s="483" t="inlineStr">
        <is>
          <t>Total</t>
        </is>
      </c>
    </row>
    <row r="2">
      <c r="A2" s="514" t="inlineStr">
        <is>
          <t>Apr 1-17</t>
        </is>
      </c>
      <c r="B2" s="485" t="n">
        <v>68.40000000000001</v>
      </c>
      <c r="C2" s="485" t="n">
        <v>4.4</v>
      </c>
      <c r="D2" s="485" t="n">
        <v>25.3</v>
      </c>
      <c r="E2" s="485" t="inlineStr">
        <is>
          <t>-</t>
        </is>
      </c>
      <c r="F2" s="485" t="n">
        <v>24.7</v>
      </c>
      <c r="G2" s="485">
        <f>SUM(B2:F2)</f>
        <v/>
      </c>
    </row>
    <row r="3">
      <c r="A3" s="514" t="inlineStr">
        <is>
          <t>Apr 18-30</t>
        </is>
      </c>
      <c r="B3" s="485" t="n">
        <v>57.9</v>
      </c>
      <c r="C3" s="485" t="n">
        <v>6.5</v>
      </c>
      <c r="D3" s="485" t="n">
        <v>8.800000000000001</v>
      </c>
      <c r="E3" s="485" t="inlineStr">
        <is>
          <t>-</t>
        </is>
      </c>
      <c r="F3" s="485" t="n">
        <v>20.7</v>
      </c>
      <c r="G3" s="485">
        <f>SUM(B3:F3)</f>
        <v/>
      </c>
    </row>
    <row r="4">
      <c r="A4" s="484" t="n">
        <v>45778</v>
      </c>
      <c r="B4" s="485" t="n">
        <v>139.3</v>
      </c>
      <c r="C4" s="485" t="n">
        <v>7.9</v>
      </c>
      <c r="D4" s="485" t="n">
        <v>55.2</v>
      </c>
      <c r="E4" s="485" t="inlineStr">
        <is>
          <t>-</t>
        </is>
      </c>
      <c r="F4" s="485" t="n">
        <v>56.5</v>
      </c>
      <c r="G4" s="485">
        <f>SUM(B4:F4)</f>
        <v/>
      </c>
    </row>
    <row r="5">
      <c r="A5" s="484" t="n">
        <v>45809</v>
      </c>
      <c r="B5" s="485" t="n">
        <v>155.5</v>
      </c>
      <c r="C5" s="485" t="n">
        <v>31.7</v>
      </c>
      <c r="D5" s="485" t="n">
        <v>48.4</v>
      </c>
      <c r="E5" s="485" t="inlineStr">
        <is>
          <t>-</t>
        </is>
      </c>
      <c r="F5" s="485" t="n">
        <v>34.5</v>
      </c>
      <c r="G5" s="485">
        <f>SUM(B5:F5)</f>
        <v/>
      </c>
    </row>
    <row r="6">
      <c r="A6" s="484" t="n">
        <v>45839</v>
      </c>
      <c r="B6" s="485" t="n">
        <v>210.4</v>
      </c>
      <c r="C6" s="485" t="n">
        <v>16.3</v>
      </c>
      <c r="D6" s="485" t="n">
        <v>67</v>
      </c>
      <c r="E6" s="485" t="inlineStr">
        <is>
          <t>-</t>
        </is>
      </c>
      <c r="F6" s="485" t="n">
        <v>81.2</v>
      </c>
      <c r="G6" s="485">
        <f>SUM(B6:F6)</f>
        <v/>
      </c>
      <c r="H6" s="433" t="n"/>
    </row>
    <row r="7">
      <c r="A7" s="484" t="n">
        <v>45870</v>
      </c>
      <c r="B7" s="485" t="n">
        <v>170.4</v>
      </c>
      <c r="C7" s="485" t="n">
        <v>13.3</v>
      </c>
      <c r="D7" s="485" t="n">
        <v>55.9</v>
      </c>
      <c r="E7" s="485" t="inlineStr">
        <is>
          <t>-</t>
        </is>
      </c>
      <c r="F7" s="485" t="n">
        <v>80</v>
      </c>
      <c r="G7" s="485">
        <f>SUM(B7:F7)</f>
        <v/>
      </c>
    </row>
    <row r="8">
      <c r="A8" s="484" t="n">
        <v>45901</v>
      </c>
      <c r="B8" s="513" t="n">
        <v>234.7</v>
      </c>
      <c r="C8" s="513" t="n">
        <v>16.4</v>
      </c>
      <c r="D8" s="513" t="n">
        <v>72.8</v>
      </c>
      <c r="E8" s="513" t="inlineStr">
        <is>
          <t>-</t>
        </is>
      </c>
      <c r="F8" s="485" t="n">
        <v>63.6</v>
      </c>
      <c r="G8" s="485">
        <f>SUM(B8:F8)</f>
        <v/>
      </c>
    </row>
    <row r="9">
      <c r="A9" s="484" t="n">
        <v>45931</v>
      </c>
      <c r="B9" s="485" t="n">
        <v>181.1</v>
      </c>
      <c r="C9" s="485" t="n">
        <v>16.6</v>
      </c>
      <c r="D9" s="485" t="n">
        <v>65.09999999999999</v>
      </c>
      <c r="E9" s="485" t="n"/>
      <c r="F9" s="485" t="n">
        <v>61.2</v>
      </c>
      <c r="G9" s="485">
        <f>SUM(B9:F9)</f>
        <v/>
      </c>
      <c r="H9" s="515">
        <f>(G9-G8)/G8</f>
        <v/>
      </c>
    </row>
    <row r="10">
      <c r="A10" s="484" t="n">
        <v>45962</v>
      </c>
      <c r="B10" s="485" t="n">
        <v>165.3</v>
      </c>
      <c r="C10" s="485" t="n">
        <v>15.2</v>
      </c>
      <c r="D10" s="485" t="n">
        <v>71.59999999999999</v>
      </c>
      <c r="E10" s="485" t="n"/>
      <c r="F10" s="485" t="n">
        <v>69</v>
      </c>
      <c r="G10" s="485">
        <f>SUM(B10:F10)</f>
        <v/>
      </c>
    </row>
    <row r="11">
      <c r="A11" s="484" t="n">
        <v>45992</v>
      </c>
      <c r="B11" s="485" t="n">
        <v>151</v>
      </c>
      <c r="C11" s="485" t="n">
        <v>12.6</v>
      </c>
      <c r="D11" s="485" t="n">
        <v>88.09999999999999</v>
      </c>
      <c r="E11" s="485" t="n"/>
      <c r="F11" s="485" t="n">
        <v>70.5</v>
      </c>
      <c r="G11" s="485">
        <f>SUM(B11:F11)</f>
        <v/>
      </c>
    </row>
    <row r="12">
      <c r="A12" s="484" t="n">
        <v>46023</v>
      </c>
      <c r="B12" s="485" t="n"/>
      <c r="C12" s="485" t="n"/>
      <c r="D12" s="485" t="n"/>
      <c r="E12" s="485" t="n"/>
      <c r="F12" s="485" t="n"/>
      <c r="G12" s="485">
        <f>SUM(B12:F12)</f>
        <v/>
      </c>
    </row>
    <row r="13">
      <c r="A13" s="484" t="n">
        <v>46054</v>
      </c>
      <c r="B13" s="485" t="n"/>
      <c r="C13" s="485" t="n"/>
      <c r="D13" s="485" t="n"/>
      <c r="E13" s="485" t="n"/>
      <c r="F13" s="485" t="n"/>
      <c r="G13" s="485">
        <f>SUM(B13:F13)</f>
        <v/>
      </c>
    </row>
    <row r="14">
      <c r="A14" s="484" t="n">
        <v>46082</v>
      </c>
      <c r="B14" s="485" t="n"/>
      <c r="C14" s="485" t="n"/>
      <c r="D14" s="485" t="n"/>
      <c r="E14" s="485" t="n"/>
      <c r="F14" s="485" t="n"/>
      <c r="G14" s="485">
        <f>SUM(B14:F14)</f>
        <v/>
      </c>
    </row>
    <row r="15">
      <c r="A15" s="484" t="n">
        <v>46113</v>
      </c>
      <c r="B15" s="485" t="n"/>
      <c r="C15" s="485" t="n"/>
      <c r="D15" s="485" t="n"/>
      <c r="E15" s="485" t="n"/>
      <c r="F15" s="485" t="n"/>
      <c r="G15" s="485">
        <f>SUM(B15:F15)</f>
        <v/>
      </c>
    </row>
    <row r="16">
      <c r="A16" s="484" t="n">
        <v>46143</v>
      </c>
      <c r="B16" s="485" t="n"/>
      <c r="C16" s="485" t="n"/>
      <c r="D16" s="485" t="n"/>
      <c r="E16" s="485" t="n"/>
      <c r="F16" s="485" t="n"/>
      <c r="G16" s="485">
        <f>SUM(B16:F16)</f>
        <v/>
      </c>
    </row>
    <row r="17">
      <c r="A17" s="484" t="n">
        <v>46174</v>
      </c>
      <c r="B17" s="485" t="n"/>
      <c r="C17" s="485" t="n"/>
      <c r="D17" s="485" t="n"/>
      <c r="E17" s="485" t="n"/>
      <c r="F17" s="485" t="n"/>
      <c r="G17" s="485">
        <f>SUM(B17:F17)</f>
        <v/>
      </c>
    </row>
    <row r="18">
      <c r="B18" s="433">
        <f>B8-B7</f>
        <v/>
      </c>
      <c r="C18" s="433">
        <f>C8-C7</f>
        <v/>
      </c>
      <c r="D18" s="433">
        <f>D8-D7</f>
        <v/>
      </c>
      <c r="E18" s="433">
        <f>E8-E7</f>
        <v/>
      </c>
      <c r="F18" s="433">
        <f>F8-F7</f>
        <v/>
      </c>
      <c r="G18" s="433">
        <f>G8-G7</f>
        <v/>
      </c>
    </row>
    <row r="19">
      <c r="B19" s="336">
        <f>B18/$G$18</f>
        <v/>
      </c>
      <c r="C19" s="336">
        <f>C18/$G$18</f>
        <v/>
      </c>
      <c r="D19" s="336">
        <f>D18/$G$18</f>
        <v/>
      </c>
      <c r="E19" s="336">
        <f>E18/$G$18</f>
        <v/>
      </c>
      <c r="F19" s="336">
        <f>F18/$G$18</f>
        <v/>
      </c>
      <c r="G19" s="336">
        <f>G18/$G$18</f>
        <v/>
      </c>
    </row>
    <row r="20">
      <c r="B20" s="336">
        <f>(B8-B7)/B7</f>
        <v/>
      </c>
      <c r="C20" s="336">
        <f>(C8-C7)/C7</f>
        <v/>
      </c>
      <c r="D20" s="336">
        <f>(D8-D7)/D7</f>
        <v/>
      </c>
      <c r="E20" s="336">
        <f>(E8-E7)/E7</f>
        <v/>
      </c>
      <c r="F20" s="336">
        <f>(F8-F7)/F7</f>
        <v/>
      </c>
      <c r="G20" s="336">
        <f>(G8-G7)/G7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8"/>
  <sheetViews>
    <sheetView zoomScale="125" workbookViewId="0">
      <pane xSplit="1" ySplit="1" topLeftCell="B97" activePane="bottomRight" state="frozen"/>
      <selection pane="topRight" activeCell="A1" sqref="A1"/>
      <selection pane="bottomLeft" activeCell="A1" sqref="A1"/>
      <selection pane="bottomRight" activeCell="B115" sqref="B115"/>
    </sheetView>
  </sheetViews>
  <sheetFormatPr baseColWidth="10" defaultColWidth="10.33203125" defaultRowHeight="15" customHeight="1"/>
  <cols>
    <col width="21.33203125" customWidth="1" style="5" min="1" max="1"/>
    <col width="16.1640625" customWidth="1" style="679" min="2" max="2"/>
    <col hidden="1" width="11.6640625" customWidth="1" style="679" min="3" max="3"/>
    <col hidden="1" width="2.6640625" customWidth="1" style="679" min="4" max="4"/>
    <col width="17.1640625" customWidth="1" style="679" min="5" max="5"/>
    <col width="10.33203125" customWidth="1" style="679" min="6" max="6"/>
    <col width="12.33203125" customWidth="1" style="679" min="7" max="8"/>
    <col width="10.5" bestFit="1" customWidth="1" style="679" min="9" max="9"/>
    <col hidden="1" width="21.6640625" customWidth="1" style="679" min="10" max="10"/>
    <col hidden="1" width="10.33203125" customWidth="1" style="679" min="11" max="11"/>
    <col width="21.6640625" customWidth="1" style="679" min="12" max="12"/>
    <col width="13.5" customWidth="1" style="679" min="13" max="13"/>
    <col hidden="1" width="12.33203125" customWidth="1" style="679" min="14" max="14"/>
    <col hidden="1" width="11.1640625" customWidth="1" style="679" min="15" max="15"/>
    <col width="11.1640625" customWidth="1" style="679" min="16" max="16"/>
    <col width="11.6640625" customWidth="1" style="679" min="17" max="17"/>
    <col width="11.5" customWidth="1" style="5" min="18" max="18"/>
    <col width="13.6640625" bestFit="1" customWidth="1" style="5" min="19" max="19"/>
    <col width="11.6640625" bestFit="1" customWidth="1" style="5" min="20" max="20"/>
    <col width="10.33203125" customWidth="1" style="5" min="21" max="16384"/>
  </cols>
  <sheetData>
    <row r="1" ht="50" customFormat="1" customHeight="1" s="3">
      <c r="A1" s="2" t="inlineStr">
        <is>
          <t>Date</t>
        </is>
      </c>
      <c r="B1" s="783" t="inlineStr">
        <is>
          <t>LG1 Canteen and China Garden</t>
        </is>
      </c>
      <c r="C1" s="783" t="inlineStr">
        <is>
          <t>LG7 Canteens</t>
        </is>
      </c>
      <c r="D1" s="783" t="inlineStr">
        <is>
          <t>McDonald's</t>
        </is>
      </c>
      <c r="E1" s="783" t="inlineStr">
        <is>
          <t>LG7 Canteen + McDonald's</t>
        </is>
      </c>
      <c r="F1" s="783" t="inlineStr">
        <is>
          <t>LG7 Fusion</t>
        </is>
      </c>
      <c r="G1" s="783" t="inlineStr">
        <is>
          <t>Courtyard (Lift 25)</t>
        </is>
      </c>
      <c r="H1" s="783" t="inlineStr">
        <is>
          <t>UC Bistro (Tower C)</t>
        </is>
      </c>
      <c r="I1" s="783" t="inlineStr">
        <is>
          <t>LSK Campus</t>
        </is>
      </c>
      <c r="J1" s="783" t="inlineStr">
        <is>
          <t>Seafront Cafeteria (now collected at UG6 starting July 23)</t>
        </is>
      </c>
      <c r="K1" s="783" t="inlineStr">
        <is>
          <t>UG Halls</t>
        </is>
      </c>
      <c r="L1" s="783" t="inlineStr">
        <is>
          <t xml:space="preserve">UG Halls + Seafront Cafeteria </t>
        </is>
      </c>
      <c r="M1" s="783" t="inlineStr">
        <is>
          <t>Conference Lodge</t>
        </is>
      </c>
      <c r="N1" s="783" t="inlineStr">
        <is>
          <t>Staff Quarters</t>
        </is>
      </c>
      <c r="O1" s="783" t="inlineStr">
        <is>
          <t>Junior Staff Quarters</t>
        </is>
      </c>
      <c r="P1" s="783" t="inlineStr">
        <is>
          <t>Staff Quarters (All)</t>
        </is>
      </c>
      <c r="Q1" s="783" t="inlineStr">
        <is>
          <t>Total (kg)</t>
        </is>
      </c>
      <c r="R1" s="502" t="inlineStr">
        <is>
          <t>Yearly Total (kg)</t>
        </is>
      </c>
    </row>
    <row r="2" ht="16" customHeight="1">
      <c r="A2" s="784" t="n">
        <v>42644</v>
      </c>
      <c r="B2" s="340" t="n">
        <v>4750</v>
      </c>
      <c r="C2" s="340" t="n">
        <v>11825</v>
      </c>
      <c r="D2" s="340" t="n"/>
      <c r="E2" s="340">
        <f>(C2+D2)</f>
        <v/>
      </c>
      <c r="F2" s="340" t="n"/>
      <c r="G2" s="340" t="n">
        <v>2000</v>
      </c>
      <c r="H2" s="340" t="n">
        <v>1050</v>
      </c>
      <c r="I2" s="340" t="n">
        <v>250</v>
      </c>
      <c r="J2" s="340" t="n">
        <v>1075</v>
      </c>
      <c r="K2" s="340" t="n"/>
      <c r="L2" s="340">
        <f>J2+K2</f>
        <v/>
      </c>
      <c r="M2" s="340" t="n">
        <v>850</v>
      </c>
      <c r="N2" s="340" t="n"/>
      <c r="O2" s="340" t="n"/>
      <c r="P2" s="340">
        <f>N2+O2</f>
        <v/>
      </c>
      <c r="Q2" s="340">
        <f>B2+SUM(E2:I2)+SUM(L2:M2)+P2</f>
        <v/>
      </c>
      <c r="R2" s="679" t="n"/>
    </row>
    <row r="3" ht="16" customHeight="1">
      <c r="A3" s="784" t="n">
        <v>42675</v>
      </c>
      <c r="B3" s="340" t="n">
        <v>4350</v>
      </c>
      <c r="C3" s="340" t="n">
        <v>9850</v>
      </c>
      <c r="D3" s="340" t="n"/>
      <c r="E3" s="340">
        <f>(C3+D3)</f>
        <v/>
      </c>
      <c r="F3" s="340" t="n"/>
      <c r="G3" s="340" t="n">
        <v>2375</v>
      </c>
      <c r="H3" s="340" t="n">
        <v>875</v>
      </c>
      <c r="I3" s="340" t="n">
        <v>100</v>
      </c>
      <c r="J3" s="340" t="n">
        <v>775</v>
      </c>
      <c r="K3" s="340" t="n"/>
      <c r="L3" s="340">
        <f>J3+K3</f>
        <v/>
      </c>
      <c r="M3" s="340" t="n">
        <v>925</v>
      </c>
      <c r="N3" s="340" t="n"/>
      <c r="O3" s="340" t="n"/>
      <c r="P3" s="340">
        <f>N3+O3</f>
        <v/>
      </c>
      <c r="Q3" s="340">
        <f>B3+SUM(E3:I3)+SUM(L3:M3)+P3</f>
        <v/>
      </c>
      <c r="R3" s="679" t="n"/>
    </row>
    <row r="4" ht="16" customHeight="1">
      <c r="A4" s="784" t="n">
        <v>42705</v>
      </c>
      <c r="B4" s="340" t="n">
        <v>4600</v>
      </c>
      <c r="C4" s="340" t="n">
        <v>7300</v>
      </c>
      <c r="D4" s="340" t="n"/>
      <c r="E4" s="340">
        <f>(C4+D4)</f>
        <v/>
      </c>
      <c r="F4" s="340" t="n"/>
      <c r="G4" s="340" t="n">
        <v>1650</v>
      </c>
      <c r="H4" s="340" t="n">
        <v>900</v>
      </c>
      <c r="I4" s="340" t="n">
        <v>975</v>
      </c>
      <c r="J4" s="340" t="n">
        <v>625</v>
      </c>
      <c r="K4" s="340" t="n"/>
      <c r="L4" s="340">
        <f>J4+K4</f>
        <v/>
      </c>
      <c r="M4" s="340" t="n">
        <v>850</v>
      </c>
      <c r="N4" s="340" t="n"/>
      <c r="O4" s="340" t="n"/>
      <c r="P4" s="340">
        <f>N4+O4</f>
        <v/>
      </c>
      <c r="Q4" s="340">
        <f>B4+SUM(E4:I4)+SUM(L4:M4)+P4</f>
        <v/>
      </c>
      <c r="R4" s="679" t="n"/>
    </row>
    <row r="5" ht="16" customHeight="1">
      <c r="A5" s="784" t="n">
        <v>42736</v>
      </c>
      <c r="B5" s="340" t="n">
        <v>4025</v>
      </c>
      <c r="C5" s="340" t="n">
        <v>5700</v>
      </c>
      <c r="D5" s="340" t="n"/>
      <c r="E5" s="340">
        <f>(C5+D5)</f>
        <v/>
      </c>
      <c r="F5" s="340" t="n"/>
      <c r="G5" s="340" t="n">
        <v>1325</v>
      </c>
      <c r="H5" s="340" t="n">
        <v>825</v>
      </c>
      <c r="I5" s="340" t="n">
        <v>875</v>
      </c>
      <c r="J5" s="340" t="n">
        <v>100</v>
      </c>
      <c r="K5" s="340" t="n"/>
      <c r="L5" s="340">
        <f>J5+K5</f>
        <v/>
      </c>
      <c r="M5" s="340" t="n">
        <v>900</v>
      </c>
      <c r="N5" s="340" t="n"/>
      <c r="O5" s="340" t="n"/>
      <c r="P5" s="340">
        <f>N5+O5</f>
        <v/>
      </c>
      <c r="Q5" s="340">
        <f>B5+SUM(E5:I5)+SUM(L5:M5)+P5</f>
        <v/>
      </c>
      <c r="R5" s="679" t="n"/>
    </row>
    <row r="6" ht="16" customHeight="1">
      <c r="A6" s="784" t="n">
        <v>42767</v>
      </c>
      <c r="B6" s="340" t="n">
        <v>5175</v>
      </c>
      <c r="C6" s="340" t="n">
        <v>7725</v>
      </c>
      <c r="D6" s="340" t="n"/>
      <c r="E6" s="340">
        <f>(C6+D6)</f>
        <v/>
      </c>
      <c r="F6" s="340" t="n"/>
      <c r="G6" s="340" t="n">
        <v>2125</v>
      </c>
      <c r="H6" s="340" t="n">
        <v>875</v>
      </c>
      <c r="I6" s="340" t="n">
        <v>1925</v>
      </c>
      <c r="J6" s="340" t="n">
        <v>750</v>
      </c>
      <c r="K6" s="340" t="n"/>
      <c r="L6" s="340">
        <f>J6+K6</f>
        <v/>
      </c>
      <c r="M6" s="340" t="n">
        <v>250</v>
      </c>
      <c r="N6" s="340" t="n"/>
      <c r="O6" s="340" t="n"/>
      <c r="P6" s="340">
        <f>N6+O6</f>
        <v/>
      </c>
      <c r="Q6" s="340">
        <f>B6+SUM(E6:I6)+SUM(L6:M6)+P6</f>
        <v/>
      </c>
      <c r="R6" s="679" t="n"/>
    </row>
    <row r="7" ht="16" customHeight="1">
      <c r="A7" s="784" t="n">
        <v>42795</v>
      </c>
      <c r="B7" s="340" t="n">
        <v>5850</v>
      </c>
      <c r="C7" s="340" t="n">
        <v>8200</v>
      </c>
      <c r="D7" s="340" t="n"/>
      <c r="E7" s="340">
        <f>(C7+D7)</f>
        <v/>
      </c>
      <c r="F7" s="340" t="n"/>
      <c r="G7" s="340" t="n">
        <v>2500</v>
      </c>
      <c r="H7" s="340" t="n">
        <v>825</v>
      </c>
      <c r="I7" s="340" t="n">
        <v>3350</v>
      </c>
      <c r="J7" s="340" t="n">
        <v>825</v>
      </c>
      <c r="K7" s="340" t="n"/>
      <c r="L7" s="340">
        <f>J7+K7</f>
        <v/>
      </c>
      <c r="M7" s="340" t="n">
        <v>100</v>
      </c>
      <c r="N7" s="340" t="n"/>
      <c r="O7" s="340" t="n">
        <v>325</v>
      </c>
      <c r="P7" s="340">
        <f>N7+O7</f>
        <v/>
      </c>
      <c r="Q7" s="340">
        <f>B7+SUM(E7:I7)+SUM(L7:M7)+P7</f>
        <v/>
      </c>
      <c r="R7" s="679" t="n"/>
    </row>
    <row r="8" ht="16" customHeight="1">
      <c r="A8" s="784" t="n">
        <v>42826</v>
      </c>
      <c r="B8" s="340" t="n">
        <v>4750</v>
      </c>
      <c r="C8" s="340" t="n">
        <v>6475</v>
      </c>
      <c r="D8" s="340" t="n"/>
      <c r="E8" s="340">
        <f>(C8+D8)</f>
        <v/>
      </c>
      <c r="F8" s="340" t="n"/>
      <c r="G8" s="340" t="n">
        <v>1850</v>
      </c>
      <c r="H8" s="340" t="n">
        <v>1200</v>
      </c>
      <c r="I8" s="340" t="n">
        <v>2625</v>
      </c>
      <c r="J8" s="340" t="n">
        <v>975</v>
      </c>
      <c r="K8" s="340" t="n"/>
      <c r="L8" s="340">
        <f>J8+K8</f>
        <v/>
      </c>
      <c r="M8" s="340" t="n">
        <v>25</v>
      </c>
      <c r="N8" s="340" t="n"/>
      <c r="O8" s="340" t="n">
        <v>950</v>
      </c>
      <c r="P8" s="340">
        <f>N8+O8</f>
        <v/>
      </c>
      <c r="Q8" s="340">
        <f>B8+SUM(E8:I8)+SUM(L8:M8)+P8</f>
        <v/>
      </c>
      <c r="R8" s="679" t="n"/>
    </row>
    <row r="9" ht="16" customHeight="1">
      <c r="A9" s="784" t="n">
        <v>42856</v>
      </c>
      <c r="B9" s="340" t="n">
        <v>7225</v>
      </c>
      <c r="C9" s="340" t="n">
        <v>6250</v>
      </c>
      <c r="D9" s="340" t="n"/>
      <c r="E9" s="340">
        <f>(C9+D9)</f>
        <v/>
      </c>
      <c r="F9" s="340" t="n"/>
      <c r="G9" s="340" t="n">
        <v>1575</v>
      </c>
      <c r="H9" s="340" t="n">
        <v>850</v>
      </c>
      <c r="I9" s="340" t="n">
        <v>2675</v>
      </c>
      <c r="J9" s="340" t="n">
        <v>750</v>
      </c>
      <c r="K9" s="340" t="n"/>
      <c r="L9" s="340">
        <f>J9+K9</f>
        <v/>
      </c>
      <c r="M9" s="340" t="n">
        <v>175</v>
      </c>
      <c r="N9" s="340" t="n"/>
      <c r="O9" s="340" t="n">
        <v>775</v>
      </c>
      <c r="P9" s="340">
        <f>N9+O9</f>
        <v/>
      </c>
      <c r="Q9" s="340">
        <f>B9+SUM(E9:I9)+SUM(L9:M9)+P9</f>
        <v/>
      </c>
      <c r="R9" s="679" t="n"/>
    </row>
    <row r="10" ht="16" customHeight="1">
      <c r="A10" s="784" t="n">
        <v>42887</v>
      </c>
      <c r="B10" s="340" t="n">
        <v>8300</v>
      </c>
      <c r="C10" s="340" t="n">
        <v>6200</v>
      </c>
      <c r="D10" s="340" t="n"/>
      <c r="E10" s="340">
        <f>(C10+D10)</f>
        <v/>
      </c>
      <c r="F10" s="340" t="n"/>
      <c r="G10" s="340" t="n">
        <v>1375</v>
      </c>
      <c r="H10" s="340" t="n">
        <v>925</v>
      </c>
      <c r="I10" s="340" t="n">
        <v>2250</v>
      </c>
      <c r="J10" s="340" t="n">
        <v>300</v>
      </c>
      <c r="K10" s="340" t="n"/>
      <c r="L10" s="340">
        <f>J10+K10</f>
        <v/>
      </c>
      <c r="M10" s="340" t="n">
        <v>950</v>
      </c>
      <c r="N10" s="340" t="n"/>
      <c r="O10" s="340" t="n">
        <v>725</v>
      </c>
      <c r="P10" s="340">
        <f>N10+O10</f>
        <v/>
      </c>
      <c r="Q10" s="340">
        <f>B10+SUM(E10:I10)+SUM(L10:M10)+P10</f>
        <v/>
      </c>
      <c r="R10" s="679" t="n"/>
    </row>
    <row r="11" ht="16" customHeight="1">
      <c r="A11" s="784" t="n">
        <v>42917</v>
      </c>
      <c r="B11" s="340" t="n">
        <v>0</v>
      </c>
      <c r="C11" s="340" t="n">
        <v>6425</v>
      </c>
      <c r="D11" s="340" t="n"/>
      <c r="E11" s="340">
        <f>(C11+D11)</f>
        <v/>
      </c>
      <c r="F11" s="340" t="n"/>
      <c r="G11" s="340" t="n">
        <v>1625</v>
      </c>
      <c r="H11" s="340" t="n">
        <v>0</v>
      </c>
      <c r="I11" s="340" t="n">
        <v>2500</v>
      </c>
      <c r="J11" s="340" t="n">
        <v>200</v>
      </c>
      <c r="K11" s="340" t="n"/>
      <c r="L11" s="340">
        <f>J11+K11</f>
        <v/>
      </c>
      <c r="M11" s="340" t="n">
        <v>1750</v>
      </c>
      <c r="N11" s="340" t="n"/>
      <c r="O11" s="340" t="n">
        <v>775</v>
      </c>
      <c r="P11" s="340">
        <f>N11+O11</f>
        <v/>
      </c>
      <c r="Q11" s="340">
        <f>B11+SUM(E11:I11)+SUM(L11:M11)+P11</f>
        <v/>
      </c>
      <c r="R11" s="679" t="n"/>
    </row>
    <row r="12" ht="16" customHeight="1">
      <c r="A12" s="784" t="n">
        <v>42948</v>
      </c>
      <c r="B12" s="340" t="n">
        <v>0</v>
      </c>
      <c r="C12" s="340" t="n">
        <v>7525</v>
      </c>
      <c r="D12" s="340" t="n"/>
      <c r="E12" s="340">
        <f>(C12+D12)</f>
        <v/>
      </c>
      <c r="F12" s="340" t="n"/>
      <c r="G12" s="340" t="n">
        <v>1950</v>
      </c>
      <c r="H12" s="340" t="n">
        <v>0</v>
      </c>
      <c r="I12" s="340" t="n">
        <v>2600</v>
      </c>
      <c r="J12" s="340" t="n">
        <v>25</v>
      </c>
      <c r="K12" s="340" t="n"/>
      <c r="L12" s="340">
        <f>J12+K12</f>
        <v/>
      </c>
      <c r="M12" s="340" t="n">
        <v>2450</v>
      </c>
      <c r="N12" s="340" t="n"/>
      <c r="O12" s="340" t="n">
        <v>975</v>
      </c>
      <c r="P12" s="340">
        <f>N12+O12</f>
        <v/>
      </c>
      <c r="Q12" s="340">
        <f>B12+SUM(E12:I12)+SUM(L12:M12)+P12</f>
        <v/>
      </c>
      <c r="R12" s="679" t="n"/>
    </row>
    <row r="13" ht="16" customHeight="1">
      <c r="A13" s="784" t="n">
        <v>42979</v>
      </c>
      <c r="B13" s="340" t="n">
        <v>0</v>
      </c>
      <c r="C13" s="340" t="n">
        <v>12775</v>
      </c>
      <c r="D13" s="340" t="n"/>
      <c r="E13" s="340">
        <f>(C13+D13)</f>
        <v/>
      </c>
      <c r="F13" s="340" t="n"/>
      <c r="G13" s="340" t="n">
        <v>3975</v>
      </c>
      <c r="H13" s="340" t="n">
        <v>0</v>
      </c>
      <c r="I13" s="340" t="n">
        <v>3650</v>
      </c>
      <c r="J13" s="340" t="n">
        <v>950</v>
      </c>
      <c r="K13" s="340" t="n"/>
      <c r="L13" s="340">
        <f>J13+K13</f>
        <v/>
      </c>
      <c r="M13" s="340" t="n">
        <v>2825</v>
      </c>
      <c r="N13" s="340" t="n"/>
      <c r="O13" s="340" t="n">
        <v>875</v>
      </c>
      <c r="P13" s="340">
        <f>N13+O13</f>
        <v/>
      </c>
      <c r="Q13" s="340">
        <f>B13+SUM(E13:I13)+SUM(L13:M13)+P13</f>
        <v/>
      </c>
      <c r="R13" s="679" t="n"/>
    </row>
    <row r="14" ht="16" customHeight="1">
      <c r="A14" s="784" t="n">
        <v>43009</v>
      </c>
      <c r="B14" s="340" t="n">
        <v>0</v>
      </c>
      <c r="C14" s="340" t="n">
        <v>13875</v>
      </c>
      <c r="D14" s="340" t="n"/>
      <c r="E14" s="340">
        <f>(C14+D14)</f>
        <v/>
      </c>
      <c r="F14" s="340" t="n"/>
      <c r="G14" s="340" t="n">
        <v>3825</v>
      </c>
      <c r="H14" s="340" t="n">
        <v>0</v>
      </c>
      <c r="I14" s="340" t="n">
        <v>3000</v>
      </c>
      <c r="J14" s="340" t="n">
        <v>675</v>
      </c>
      <c r="K14" s="340" t="n"/>
      <c r="L14" s="340">
        <f>J14+K14</f>
        <v/>
      </c>
      <c r="M14" s="340" t="n">
        <v>3025</v>
      </c>
      <c r="N14" s="340" t="n"/>
      <c r="O14" s="340" t="n">
        <v>775</v>
      </c>
      <c r="P14" s="340">
        <f>N14+O14</f>
        <v/>
      </c>
      <c r="Q14" s="340">
        <f>B14+SUM(E14:I14)+SUM(L14:M14)+P14</f>
        <v/>
      </c>
      <c r="R14" s="679" t="n"/>
    </row>
    <row r="15" ht="16" customHeight="1">
      <c r="A15" s="784" t="n">
        <v>43040</v>
      </c>
      <c r="B15" s="340" t="n">
        <v>0</v>
      </c>
      <c r="C15" s="340" t="n">
        <v>16550</v>
      </c>
      <c r="D15" s="340" t="n"/>
      <c r="E15" s="340">
        <f>(C15+D15)</f>
        <v/>
      </c>
      <c r="F15" s="340" t="n"/>
      <c r="G15" s="340" t="n">
        <v>4600</v>
      </c>
      <c r="H15" s="340" t="n">
        <v>675</v>
      </c>
      <c r="I15" s="340" t="n">
        <v>3300</v>
      </c>
      <c r="J15" s="340" t="n">
        <v>875</v>
      </c>
      <c r="K15" s="340" t="n"/>
      <c r="L15" s="340">
        <f>J15+K15</f>
        <v/>
      </c>
      <c r="M15" s="340" t="n">
        <v>3900</v>
      </c>
      <c r="N15" s="340" t="n"/>
      <c r="O15" s="340" t="n">
        <v>200</v>
      </c>
      <c r="P15" s="340">
        <f>N15+O15</f>
        <v/>
      </c>
      <c r="Q15" s="340">
        <f>B15+SUM(E15:I15)+SUM(L15:M15)+P15</f>
        <v/>
      </c>
      <c r="R15" s="679" t="n"/>
    </row>
    <row r="16" ht="16" customHeight="1">
      <c r="A16" s="784" t="n">
        <v>43070</v>
      </c>
      <c r="B16" s="340" t="n">
        <v>0</v>
      </c>
      <c r="C16" s="340" t="n">
        <v>17675</v>
      </c>
      <c r="D16" s="340" t="n"/>
      <c r="E16" s="340">
        <f>(C16+D16)</f>
        <v/>
      </c>
      <c r="F16" s="340" t="n"/>
      <c r="G16" s="340" t="n">
        <v>3400</v>
      </c>
      <c r="H16" s="340" t="n">
        <v>675</v>
      </c>
      <c r="I16" s="340" t="n">
        <v>2500</v>
      </c>
      <c r="J16" s="340" t="n">
        <v>675</v>
      </c>
      <c r="K16" s="340" t="n"/>
      <c r="L16" s="340">
        <f>J16+K16</f>
        <v/>
      </c>
      <c r="M16" s="340" t="n">
        <v>4525</v>
      </c>
      <c r="N16" s="340" t="n"/>
      <c r="O16" s="340" t="n">
        <v>750</v>
      </c>
      <c r="P16" s="340">
        <f>N16+O16</f>
        <v/>
      </c>
      <c r="Q16" s="340">
        <f>B16+SUM(E16:I16)+SUM(L16:M16)+P16</f>
        <v/>
      </c>
      <c r="R16" s="679" t="n"/>
    </row>
    <row r="17" ht="16" customHeight="1">
      <c r="A17" s="784" t="n">
        <v>43101</v>
      </c>
      <c r="B17" s="340" t="n">
        <v>2825</v>
      </c>
      <c r="C17" s="340" t="n">
        <v>15750</v>
      </c>
      <c r="D17" s="340" t="n"/>
      <c r="E17" s="340">
        <f>(C17+D17)</f>
        <v/>
      </c>
      <c r="F17" s="340" t="n"/>
      <c r="G17" s="340" t="n">
        <v>1975</v>
      </c>
      <c r="H17" s="340" t="n">
        <v>1200</v>
      </c>
      <c r="I17" s="340" t="n">
        <v>2075</v>
      </c>
      <c r="J17" s="340" t="n">
        <v>875</v>
      </c>
      <c r="K17" s="340" t="n"/>
      <c r="L17" s="340">
        <f>J17+K17</f>
        <v/>
      </c>
      <c r="M17" s="340" t="n">
        <v>2450</v>
      </c>
      <c r="N17" s="340" t="n"/>
      <c r="O17" s="340" t="n">
        <v>825</v>
      </c>
      <c r="P17" s="340">
        <f>N17+O17</f>
        <v/>
      </c>
      <c r="Q17" s="340">
        <f>B17+SUM(E17:I17)+SUM(L17:M17)+P17</f>
        <v/>
      </c>
      <c r="R17" s="679" t="n"/>
    </row>
    <row r="18" ht="16" customHeight="1">
      <c r="A18" s="784" t="n">
        <v>43132</v>
      </c>
      <c r="B18" s="340" t="n">
        <v>6300</v>
      </c>
      <c r="C18" s="340" t="n">
        <v>7950</v>
      </c>
      <c r="D18" s="340" t="n"/>
      <c r="E18" s="340">
        <f>(C18+D18)</f>
        <v/>
      </c>
      <c r="F18" s="340" t="n"/>
      <c r="G18" s="340" t="n">
        <v>1900</v>
      </c>
      <c r="H18" s="340" t="n">
        <v>625</v>
      </c>
      <c r="I18" s="340" t="n">
        <v>1700</v>
      </c>
      <c r="J18" s="340" t="n">
        <v>525</v>
      </c>
      <c r="K18" s="340" t="n"/>
      <c r="L18" s="340">
        <f>J18+K18</f>
        <v/>
      </c>
      <c r="M18" s="340" t="n">
        <v>2125</v>
      </c>
      <c r="N18" s="340" t="n"/>
      <c r="O18" s="340" t="n">
        <v>700</v>
      </c>
      <c r="P18" s="340">
        <f>N18+O18</f>
        <v/>
      </c>
      <c r="Q18" s="340">
        <f>B18+SUM(E18:I18)+SUM(L18:M18)+P18</f>
        <v/>
      </c>
      <c r="R18" s="679" t="n"/>
    </row>
    <row r="19" ht="16" customHeight="1">
      <c r="A19" s="784" t="n">
        <v>43160</v>
      </c>
      <c r="B19" s="340" t="n">
        <v>6100</v>
      </c>
      <c r="C19" s="340" t="n">
        <v>9275</v>
      </c>
      <c r="D19" s="340" t="n"/>
      <c r="E19" s="340">
        <f>(C19+D19)</f>
        <v/>
      </c>
      <c r="F19" s="340" t="n"/>
      <c r="G19" s="340" t="n">
        <v>2150</v>
      </c>
      <c r="H19" s="340" t="n">
        <v>875</v>
      </c>
      <c r="I19" s="340" t="n">
        <v>2550</v>
      </c>
      <c r="J19" s="340" t="n">
        <v>900</v>
      </c>
      <c r="K19" s="340" t="n"/>
      <c r="L19" s="340">
        <f>J19+K19</f>
        <v/>
      </c>
      <c r="M19" s="340" t="n">
        <v>2725</v>
      </c>
      <c r="N19" s="340" t="n"/>
      <c r="O19" s="340" t="n">
        <v>725</v>
      </c>
      <c r="P19" s="340">
        <f>N19+O19</f>
        <v/>
      </c>
      <c r="Q19" s="340">
        <f>B19+SUM(E19:I19)+SUM(L19:M19)+P19</f>
        <v/>
      </c>
      <c r="R19" s="679" t="n"/>
    </row>
    <row r="20" ht="16" customHeight="1">
      <c r="A20" s="784" t="n">
        <v>43191</v>
      </c>
      <c r="B20" s="340" t="n">
        <v>4950</v>
      </c>
      <c r="C20" s="340" t="n">
        <v>10850</v>
      </c>
      <c r="D20" s="340" t="n"/>
      <c r="E20" s="340">
        <f>(C20+D20)</f>
        <v/>
      </c>
      <c r="F20" s="340" t="n"/>
      <c r="G20" s="340" t="n">
        <v>1875</v>
      </c>
      <c r="H20" s="340" t="n">
        <v>900</v>
      </c>
      <c r="I20" s="340" t="n">
        <v>2525</v>
      </c>
      <c r="J20" s="340" t="n">
        <v>900</v>
      </c>
      <c r="K20" s="340" t="n"/>
      <c r="L20" s="340">
        <f>J20+K20</f>
        <v/>
      </c>
      <c r="M20" s="340" t="n">
        <v>2475</v>
      </c>
      <c r="N20" s="340" t="n"/>
      <c r="O20" s="340" t="n">
        <v>750</v>
      </c>
      <c r="P20" s="340">
        <f>N20+O20</f>
        <v/>
      </c>
      <c r="Q20" s="340">
        <f>B20+SUM(E20:I20)+SUM(L20:M20)+P20</f>
        <v/>
      </c>
      <c r="R20" s="679" t="n"/>
    </row>
    <row r="21" ht="16" customHeight="1">
      <c r="A21" s="784" t="n">
        <v>43221</v>
      </c>
      <c r="B21" s="340" t="n">
        <v>5850</v>
      </c>
      <c r="C21" s="340" t="n">
        <v>18650</v>
      </c>
      <c r="D21" s="340" t="n"/>
      <c r="E21" s="340">
        <f>(C21+D21)</f>
        <v/>
      </c>
      <c r="F21" s="340" t="n"/>
      <c r="G21" s="340" t="n">
        <v>1350</v>
      </c>
      <c r="H21" s="340" t="n">
        <v>1625</v>
      </c>
      <c r="I21" s="340" t="n">
        <v>3000</v>
      </c>
      <c r="J21" s="340" t="n">
        <v>1025</v>
      </c>
      <c r="K21" s="340" t="n"/>
      <c r="L21" s="340">
        <f>J21+K21</f>
        <v/>
      </c>
      <c r="M21" s="340" t="n">
        <v>4875</v>
      </c>
      <c r="N21" s="340" t="n"/>
      <c r="O21" s="340" t="n">
        <v>825</v>
      </c>
      <c r="P21" s="340">
        <f>N21+O21</f>
        <v/>
      </c>
      <c r="Q21" s="340">
        <f>B21+SUM(E21:I21)+SUM(L21:M21)+P21</f>
        <v/>
      </c>
      <c r="R21" s="679" t="n"/>
    </row>
    <row r="22" ht="16" customHeight="1">
      <c r="A22" s="784" t="n">
        <v>43252</v>
      </c>
      <c r="B22" s="340" t="n">
        <v>6150</v>
      </c>
      <c r="C22" s="340" t="n">
        <v>13025</v>
      </c>
      <c r="D22" s="340" t="n"/>
      <c r="E22" s="340">
        <f>(C22+D22)</f>
        <v/>
      </c>
      <c r="F22" s="340" t="n"/>
      <c r="G22" s="340" t="n">
        <v>0</v>
      </c>
      <c r="H22" s="340" t="n">
        <v>725</v>
      </c>
      <c r="I22" s="340" t="n">
        <v>1725</v>
      </c>
      <c r="J22" s="340" t="n">
        <v>725</v>
      </c>
      <c r="K22" s="340" t="n"/>
      <c r="L22" s="340">
        <f>J22+K22</f>
        <v/>
      </c>
      <c r="M22" s="340" t="n">
        <v>4775</v>
      </c>
      <c r="N22" s="340" t="n"/>
      <c r="O22" s="340" t="n">
        <v>775</v>
      </c>
      <c r="P22" s="340">
        <f>N22+O22</f>
        <v/>
      </c>
      <c r="Q22" s="340">
        <f>B22+SUM(E22:I22)+SUM(L22:M22)+P22</f>
        <v/>
      </c>
      <c r="R22" s="679" t="n"/>
    </row>
    <row r="23" ht="16" customHeight="1">
      <c r="A23" s="784" t="n">
        <v>43282</v>
      </c>
      <c r="B23" s="339" t="n">
        <v>6675</v>
      </c>
      <c r="C23" s="339" t="n">
        <v>11525</v>
      </c>
      <c r="D23" s="339" t="n"/>
      <c r="E23" s="340">
        <f>(C23+D23)</f>
        <v/>
      </c>
      <c r="F23" s="339" t="n"/>
      <c r="G23" s="339" t="n">
        <v>0</v>
      </c>
      <c r="H23" s="339" t="n">
        <v>825</v>
      </c>
      <c r="I23" s="339" t="n">
        <v>100</v>
      </c>
      <c r="J23" s="339" t="n">
        <v>800</v>
      </c>
      <c r="K23" s="339" t="n"/>
      <c r="L23" s="340">
        <f>J23+K23</f>
        <v/>
      </c>
      <c r="M23" s="339" t="n">
        <v>4900</v>
      </c>
      <c r="N23" s="339" t="n"/>
      <c r="O23" s="339" t="n">
        <v>850</v>
      </c>
      <c r="P23" s="340">
        <f>N23+O23</f>
        <v/>
      </c>
      <c r="Q23" s="340">
        <f>B23+SUM(E23:I23)+SUM(L23:M23)+P23</f>
        <v/>
      </c>
      <c r="R23" s="679" t="n"/>
    </row>
    <row r="24" ht="16" customHeight="1">
      <c r="A24" s="784" t="n">
        <v>43313</v>
      </c>
      <c r="B24" s="339" t="n">
        <v>4449</v>
      </c>
      <c r="C24" s="339" t="n">
        <v>8041.3</v>
      </c>
      <c r="D24" s="339" t="n"/>
      <c r="E24" s="340">
        <f>(C24+D24)</f>
        <v/>
      </c>
      <c r="F24" s="339" t="n">
        <v>106</v>
      </c>
      <c r="G24" s="339" t="n">
        <v>0</v>
      </c>
      <c r="H24" s="339" t="n">
        <v>402.3</v>
      </c>
      <c r="I24" s="339" t="n">
        <v>596.5</v>
      </c>
      <c r="J24" s="339" t="n">
        <v>1049.5</v>
      </c>
      <c r="K24" s="339" t="n">
        <v>79.5</v>
      </c>
      <c r="L24" s="340">
        <f>J24+K24</f>
        <v/>
      </c>
      <c r="M24" s="339" t="n">
        <v>698</v>
      </c>
      <c r="N24" s="339" t="n">
        <v>410</v>
      </c>
      <c r="O24" s="339" t="n">
        <v>801.8</v>
      </c>
      <c r="P24" s="340">
        <f>N24+O24</f>
        <v/>
      </c>
      <c r="Q24" s="340">
        <f>B24+SUM(E24:I24)+SUM(L24:M24)+P24</f>
        <v/>
      </c>
      <c r="R24" s="679" t="n"/>
    </row>
    <row r="25" ht="16" customHeight="1">
      <c r="A25" s="784" t="n">
        <v>43344</v>
      </c>
      <c r="B25" s="339" t="n">
        <v>4678</v>
      </c>
      <c r="C25" s="339" t="n">
        <v>7819.5</v>
      </c>
      <c r="D25" s="339" t="n"/>
      <c r="E25" s="340">
        <f>(C25+D25)</f>
        <v/>
      </c>
      <c r="F25" s="339" t="n">
        <v>92</v>
      </c>
      <c r="G25" s="339" t="n">
        <v>0</v>
      </c>
      <c r="H25" s="339" t="n">
        <v>623</v>
      </c>
      <c r="I25" s="339" t="n">
        <v>1688.05</v>
      </c>
      <c r="J25" s="339" t="n">
        <v>542</v>
      </c>
      <c r="K25" s="339" t="n">
        <v>427</v>
      </c>
      <c r="L25" s="340">
        <f>J25+K25</f>
        <v/>
      </c>
      <c r="M25" s="339" t="n">
        <v>1428.5</v>
      </c>
      <c r="N25" s="339" t="n">
        <v>464</v>
      </c>
      <c r="O25" s="339" t="n">
        <v>432</v>
      </c>
      <c r="P25" s="340">
        <f>N25+O25</f>
        <v/>
      </c>
      <c r="Q25" s="340">
        <f>B25+SUM(E25:I25)+SUM(L25:M25)+P25</f>
        <v/>
      </c>
      <c r="R25" s="679" t="n"/>
    </row>
    <row r="26" ht="16" customHeight="1">
      <c r="A26" s="784" t="n">
        <v>43374</v>
      </c>
      <c r="B26" s="339" t="n">
        <v>7165.5</v>
      </c>
      <c r="C26" s="339" t="n">
        <v>10113</v>
      </c>
      <c r="D26" s="339" t="n"/>
      <c r="E26" s="340">
        <f>(C26+D26)</f>
        <v/>
      </c>
      <c r="F26" s="339" t="n">
        <v>147.5</v>
      </c>
      <c r="G26" s="339" t="n">
        <v>61.5</v>
      </c>
      <c r="H26" s="339" t="n">
        <v>993.5</v>
      </c>
      <c r="I26" s="339" t="n">
        <v>3076.5</v>
      </c>
      <c r="J26" s="339" t="n">
        <v>518.5</v>
      </c>
      <c r="K26" s="339" t="n">
        <v>866.5</v>
      </c>
      <c r="L26" s="340">
        <f>J26+K26</f>
        <v/>
      </c>
      <c r="M26" s="339" t="n">
        <v>1943</v>
      </c>
      <c r="N26" s="339" t="n">
        <v>771</v>
      </c>
      <c r="O26" s="339" t="n">
        <v>401.5</v>
      </c>
      <c r="P26" s="340">
        <f>N26+O26</f>
        <v/>
      </c>
      <c r="Q26" s="340">
        <f>B26+SUM(E26:I26)+SUM(L26:M26)+P26</f>
        <v/>
      </c>
      <c r="R26" s="679" t="n"/>
    </row>
    <row r="27" ht="16" customHeight="1">
      <c r="A27" s="784" t="n">
        <v>43405</v>
      </c>
      <c r="B27" s="339" t="n">
        <v>9863.5</v>
      </c>
      <c r="C27" s="339" t="n">
        <v>10139</v>
      </c>
      <c r="D27" s="339" t="n"/>
      <c r="E27" s="340">
        <f>(C27+D27)</f>
        <v/>
      </c>
      <c r="F27" s="339" t="n">
        <v>311</v>
      </c>
      <c r="G27" s="339" t="n">
        <v>757</v>
      </c>
      <c r="H27" s="339" t="n">
        <v>737</v>
      </c>
      <c r="I27" s="339" t="n">
        <v>3278</v>
      </c>
      <c r="J27" s="339" t="n">
        <v>148</v>
      </c>
      <c r="K27" s="339" t="n">
        <v>744</v>
      </c>
      <c r="L27" s="340">
        <f>J27+K27</f>
        <v/>
      </c>
      <c r="M27" s="339" t="n">
        <v>1859</v>
      </c>
      <c r="N27" s="339" t="n">
        <v>701</v>
      </c>
      <c r="O27" s="339" t="n">
        <v>355</v>
      </c>
      <c r="P27" s="340">
        <f>N27+O27</f>
        <v/>
      </c>
      <c r="Q27" s="340">
        <f>B27+SUM(E27:I27)+SUM(L27:M27)+P27</f>
        <v/>
      </c>
      <c r="R27" s="679" t="n"/>
    </row>
    <row r="28" ht="16" customHeight="1">
      <c r="A28" s="784" t="n">
        <v>43435</v>
      </c>
      <c r="B28" s="339" t="n">
        <v>6931</v>
      </c>
      <c r="C28" s="339" t="n">
        <v>7915</v>
      </c>
      <c r="D28" s="339" t="n"/>
      <c r="E28" s="340">
        <f>(C28+D28)</f>
        <v/>
      </c>
      <c r="F28" s="339" t="n">
        <v>328.5</v>
      </c>
      <c r="G28" s="339" t="n">
        <v>877</v>
      </c>
      <c r="H28" s="339" t="n">
        <v>794.5</v>
      </c>
      <c r="I28" s="339" t="n">
        <v>2441</v>
      </c>
      <c r="J28" s="339" t="n">
        <v>384.5</v>
      </c>
      <c r="K28" s="339" t="n">
        <v>628.5</v>
      </c>
      <c r="L28" s="340">
        <f>J28+K28</f>
        <v/>
      </c>
      <c r="M28" s="339" t="n">
        <v>2771</v>
      </c>
      <c r="N28" s="339" t="n">
        <v>873</v>
      </c>
      <c r="O28" s="339" t="n">
        <v>590.5</v>
      </c>
      <c r="P28" s="340">
        <f>N28+O28</f>
        <v/>
      </c>
      <c r="Q28" s="340">
        <f>B28+SUM(E28:I28)+SUM(L28:M28)+P28</f>
        <v/>
      </c>
      <c r="R28" s="679" t="n"/>
    </row>
    <row r="29" ht="16" customHeight="1">
      <c r="A29" s="784" t="n">
        <v>43466</v>
      </c>
      <c r="B29" s="339" t="n">
        <v>6138</v>
      </c>
      <c r="C29" s="339" t="n">
        <v>6203</v>
      </c>
      <c r="D29" s="339" t="n"/>
      <c r="E29" s="340">
        <f>(C29+D29)</f>
        <v/>
      </c>
      <c r="F29" s="339" t="n">
        <v>519</v>
      </c>
      <c r="G29" s="339" t="n">
        <v>642</v>
      </c>
      <c r="H29" s="339" t="n">
        <v>702</v>
      </c>
      <c r="I29" s="339" t="n">
        <v>2362.5</v>
      </c>
      <c r="J29" s="339" t="n">
        <v>538.5</v>
      </c>
      <c r="K29" s="339" t="n">
        <v>464</v>
      </c>
      <c r="L29" s="340">
        <f>J29+K29</f>
        <v/>
      </c>
      <c r="M29" s="339" t="n">
        <v>2805</v>
      </c>
      <c r="N29" s="339" t="n">
        <v>722.5</v>
      </c>
      <c r="O29" s="339" t="n">
        <v>661</v>
      </c>
      <c r="P29" s="340">
        <f>N29+O29</f>
        <v/>
      </c>
      <c r="Q29" s="340">
        <f>B29+SUM(E29:I29)+SUM(L29:M29)+P29</f>
        <v/>
      </c>
      <c r="R29" s="679" t="n"/>
    </row>
    <row r="30" ht="16" customHeight="1">
      <c r="A30" s="784" t="n">
        <v>43497</v>
      </c>
      <c r="B30" s="339" t="n">
        <v>8182.5</v>
      </c>
      <c r="C30" s="339" t="n">
        <v>7480</v>
      </c>
      <c r="D30" s="339" t="n"/>
      <c r="E30" s="340">
        <f>(C30+D30)</f>
        <v/>
      </c>
      <c r="F30" s="339" t="n">
        <v>436</v>
      </c>
      <c r="G30" s="339" t="n">
        <v>550</v>
      </c>
      <c r="H30" s="339" t="n">
        <v>788</v>
      </c>
      <c r="I30" s="339" t="n">
        <v>2829</v>
      </c>
      <c r="J30" s="339" t="n">
        <v>573</v>
      </c>
      <c r="K30" s="339" t="n">
        <v>391</v>
      </c>
      <c r="L30" s="340">
        <f>J30+K30</f>
        <v/>
      </c>
      <c r="M30" s="339" t="n">
        <v>2159.5</v>
      </c>
      <c r="N30" s="339" t="n">
        <v>572.5</v>
      </c>
      <c r="O30" s="339" t="n">
        <v>623</v>
      </c>
      <c r="P30" s="340">
        <f>N30+O30</f>
        <v/>
      </c>
      <c r="Q30" s="340">
        <f>B30+SUM(E30:I30)+SUM(L30:M30)+P30</f>
        <v/>
      </c>
      <c r="R30" s="679" t="n"/>
    </row>
    <row r="31" ht="16" customHeight="1">
      <c r="A31" s="784" t="n">
        <v>43525</v>
      </c>
      <c r="B31" s="339" t="n">
        <v>10408</v>
      </c>
      <c r="C31" s="339" t="n">
        <v>8673.5</v>
      </c>
      <c r="D31" s="339" t="n"/>
      <c r="E31" s="340">
        <f>(C31+D31)</f>
        <v/>
      </c>
      <c r="F31" s="339" t="n">
        <v>810</v>
      </c>
      <c r="G31" s="339" t="n">
        <v>797.5</v>
      </c>
      <c r="H31" s="339" t="n">
        <v>818.5</v>
      </c>
      <c r="I31" s="339" t="n">
        <v>3365.5</v>
      </c>
      <c r="J31" s="339" t="n">
        <v>1174</v>
      </c>
      <c r="K31" s="339" t="n">
        <v>720.5</v>
      </c>
      <c r="L31" s="340">
        <f>J31+K31</f>
        <v/>
      </c>
      <c r="M31" s="339" t="n">
        <v>2328.5</v>
      </c>
      <c r="N31" s="339" t="n">
        <v>1050</v>
      </c>
      <c r="O31" s="339" t="n">
        <v>784.5</v>
      </c>
      <c r="P31" s="340">
        <f>N31+O31</f>
        <v/>
      </c>
      <c r="Q31" s="340">
        <f>B31+SUM(E31:I31)+SUM(L31:M31)+P31</f>
        <v/>
      </c>
      <c r="R31" s="679" t="n"/>
    </row>
    <row r="32" ht="16" customHeight="1">
      <c r="A32" s="784" t="n">
        <v>43556</v>
      </c>
      <c r="B32" s="339" t="n">
        <v>9209.5</v>
      </c>
      <c r="C32" s="339" t="n">
        <v>11363</v>
      </c>
      <c r="D32" s="339" t="n"/>
      <c r="E32" s="340">
        <f>(C32+D32)</f>
        <v/>
      </c>
      <c r="F32" s="339" t="n">
        <v>329</v>
      </c>
      <c r="G32" s="339" t="n">
        <v>864</v>
      </c>
      <c r="H32" s="339" t="n">
        <v>815.5</v>
      </c>
      <c r="I32" s="339" t="n">
        <v>3463</v>
      </c>
      <c r="J32" s="339" t="n">
        <v>1044.5</v>
      </c>
      <c r="K32" s="339" t="n">
        <v>470.5</v>
      </c>
      <c r="L32" s="340">
        <f>J32+K32</f>
        <v/>
      </c>
      <c r="M32" s="339" t="n">
        <v>2543</v>
      </c>
      <c r="N32" s="339" t="n">
        <v>1346.5</v>
      </c>
      <c r="O32" s="339" t="n">
        <v>1086</v>
      </c>
      <c r="P32" s="340">
        <f>N32+O32</f>
        <v/>
      </c>
      <c r="Q32" s="340">
        <f>B32+SUM(E32:I32)+SUM(L32:M32)+P32</f>
        <v/>
      </c>
      <c r="R32" s="679" t="n"/>
    </row>
    <row r="33" ht="16" customHeight="1">
      <c r="A33" s="784" t="n">
        <v>43586</v>
      </c>
      <c r="B33" s="339" t="n">
        <v>11016.5</v>
      </c>
      <c r="C33" s="339" t="n">
        <v>9187</v>
      </c>
      <c r="D33" s="339" t="n"/>
      <c r="E33" s="340">
        <f>(C33+D33)</f>
        <v/>
      </c>
      <c r="F33" s="339" t="n">
        <v>0</v>
      </c>
      <c r="G33" s="339" t="n">
        <v>552.5</v>
      </c>
      <c r="H33" s="339" t="n">
        <v>919</v>
      </c>
      <c r="I33" s="339" t="n">
        <v>3833</v>
      </c>
      <c r="J33" s="339" t="n">
        <v>1153.5</v>
      </c>
      <c r="K33" s="339" t="n">
        <v>177</v>
      </c>
      <c r="L33" s="340">
        <f>J33+K33</f>
        <v/>
      </c>
      <c r="M33" s="339" t="n">
        <v>2498</v>
      </c>
      <c r="N33" s="339" t="n">
        <v>1177</v>
      </c>
      <c r="O33" s="339" t="n">
        <v>1150.5</v>
      </c>
      <c r="P33" s="340">
        <f>N33+O33</f>
        <v/>
      </c>
      <c r="Q33" s="340">
        <f>B33+SUM(E33:I33)+SUM(L33:M33)+P33</f>
        <v/>
      </c>
      <c r="R33" s="679" t="n"/>
    </row>
    <row r="34" ht="16" customHeight="1">
      <c r="A34" s="784" t="n">
        <v>43617</v>
      </c>
      <c r="B34" s="339" t="n">
        <v>10993.5</v>
      </c>
      <c r="C34" s="339" t="n">
        <v>2631</v>
      </c>
      <c r="D34" s="339" t="n"/>
      <c r="E34" s="340">
        <f>(C34+D34)</f>
        <v/>
      </c>
      <c r="F34" s="339" t="n">
        <v>155.5</v>
      </c>
      <c r="G34" s="339" t="n">
        <v>1099</v>
      </c>
      <c r="H34" s="339" t="n">
        <v>0</v>
      </c>
      <c r="I34" s="339" t="n">
        <v>3305.5</v>
      </c>
      <c r="J34" s="339" t="n">
        <v>650</v>
      </c>
      <c r="K34" s="339" t="n">
        <v>201.5</v>
      </c>
      <c r="L34" s="340">
        <f>J34+K34</f>
        <v/>
      </c>
      <c r="M34" s="339" t="n">
        <v>2776.5</v>
      </c>
      <c r="N34" s="339" t="n">
        <v>522.5</v>
      </c>
      <c r="O34" s="339" t="n">
        <v>827.5</v>
      </c>
      <c r="P34" s="340">
        <f>N34+O34</f>
        <v/>
      </c>
      <c r="Q34" s="340">
        <f>B34+SUM(E34:I34)+SUM(L34:M34)+P34</f>
        <v/>
      </c>
      <c r="R34" s="679" t="n"/>
    </row>
    <row r="35" ht="16" customHeight="1">
      <c r="A35" s="784" t="n">
        <v>43647</v>
      </c>
      <c r="B35" s="340" t="n">
        <v>10186</v>
      </c>
      <c r="C35" s="340" t="n">
        <v>1470.5</v>
      </c>
      <c r="D35" s="340" t="n"/>
      <c r="E35" s="340">
        <f>(C35+D35)</f>
        <v/>
      </c>
      <c r="F35" s="340" t="n">
        <v>0</v>
      </c>
      <c r="G35" s="340" t="n">
        <v>1016</v>
      </c>
      <c r="H35" s="340" t="n">
        <v>44.5</v>
      </c>
      <c r="I35" s="340" t="n">
        <v>3162</v>
      </c>
      <c r="J35" s="340" t="n">
        <v>854</v>
      </c>
      <c r="K35" s="340" t="n">
        <v>26</v>
      </c>
      <c r="L35" s="340">
        <f>J35+K35</f>
        <v/>
      </c>
      <c r="M35" s="340" t="n">
        <v>2117</v>
      </c>
      <c r="N35" s="340" t="n">
        <v>0</v>
      </c>
      <c r="O35" s="340" t="n">
        <v>690</v>
      </c>
      <c r="P35" s="340">
        <f>N35+O35</f>
        <v/>
      </c>
      <c r="Q35" s="340">
        <f>B35+SUM(E35:I35)+SUM(L35:M35)+P35</f>
        <v/>
      </c>
      <c r="R35" s="679" t="n"/>
    </row>
    <row r="36" ht="16" customHeight="1">
      <c r="A36" s="784" t="n">
        <v>43678</v>
      </c>
      <c r="B36" s="340" t="n">
        <v>10046.5</v>
      </c>
      <c r="C36" s="340" t="n">
        <v>2820.5</v>
      </c>
      <c r="D36" s="340" t="n"/>
      <c r="E36" s="340">
        <f>(C36+D36)</f>
        <v/>
      </c>
      <c r="F36" s="340" t="n">
        <v>0</v>
      </c>
      <c r="G36" s="340" t="n">
        <v>1861</v>
      </c>
      <c r="H36" s="340" t="n">
        <v>0</v>
      </c>
      <c r="I36" s="340" t="n">
        <v>4044</v>
      </c>
      <c r="J36" s="340" t="n">
        <v>892.5</v>
      </c>
      <c r="K36" s="340" t="n">
        <v>115.5</v>
      </c>
      <c r="L36" s="340">
        <f>J36+K36</f>
        <v/>
      </c>
      <c r="M36" s="340" t="n">
        <v>3266</v>
      </c>
      <c r="N36" s="340" t="n">
        <v>570</v>
      </c>
      <c r="O36" s="340" t="n">
        <v>982</v>
      </c>
      <c r="P36" s="340">
        <f>N36+O36</f>
        <v/>
      </c>
      <c r="Q36" s="340">
        <f>B36+SUM(E36:I36)+SUM(L36:M36)+P36</f>
        <v/>
      </c>
      <c r="R36" s="679" t="n"/>
    </row>
    <row r="37" ht="16" customHeight="1">
      <c r="A37" s="784" t="n">
        <v>43709</v>
      </c>
      <c r="B37" s="339" t="n">
        <v>10054.5</v>
      </c>
      <c r="C37" s="339" t="n">
        <v>12670</v>
      </c>
      <c r="D37" s="339" t="n"/>
      <c r="E37" s="340">
        <f>(C37+D37)</f>
        <v/>
      </c>
      <c r="F37" s="339" t="n">
        <v>0</v>
      </c>
      <c r="G37" s="339" t="n">
        <v>2183</v>
      </c>
      <c r="H37" s="339" t="n">
        <v>661.5</v>
      </c>
      <c r="I37" s="339" t="n">
        <v>3391</v>
      </c>
      <c r="J37" s="339" t="n">
        <v>1247.5</v>
      </c>
      <c r="K37" s="339" t="n">
        <v>270</v>
      </c>
      <c r="L37" s="340">
        <f>J37+K37</f>
        <v/>
      </c>
      <c r="M37" s="339" t="n">
        <v>2346</v>
      </c>
      <c r="N37" s="339" t="n">
        <v>1577.5</v>
      </c>
      <c r="O37" s="339" t="n">
        <v>478.5</v>
      </c>
      <c r="P37" s="340">
        <f>N37+O37</f>
        <v/>
      </c>
      <c r="Q37" s="340">
        <f>B37+SUM(E37:I37)+SUM(L37:M37)+P37</f>
        <v/>
      </c>
      <c r="R37" s="679" t="n"/>
    </row>
    <row r="38" ht="16" customHeight="1">
      <c r="A38" s="784" t="n">
        <v>43739</v>
      </c>
      <c r="B38" s="339" t="n">
        <v>9752</v>
      </c>
      <c r="C38" s="339" t="n">
        <v>15110</v>
      </c>
      <c r="D38" s="339" t="n"/>
      <c r="E38" s="340">
        <f>(C38+D38)</f>
        <v/>
      </c>
      <c r="F38" s="339" t="n">
        <v>1132</v>
      </c>
      <c r="G38" s="339" t="n">
        <v>2105</v>
      </c>
      <c r="H38" s="339" t="n">
        <v>459</v>
      </c>
      <c r="I38" s="339" t="n">
        <v>3258</v>
      </c>
      <c r="J38" s="339" t="n">
        <v>742</v>
      </c>
      <c r="K38" s="339" t="n">
        <v>65</v>
      </c>
      <c r="L38" s="340">
        <f>J38+K38</f>
        <v/>
      </c>
      <c r="M38" s="339" t="n">
        <v>3256</v>
      </c>
      <c r="N38" s="339" t="n">
        <v>1197</v>
      </c>
      <c r="O38" s="339" t="n">
        <v>648</v>
      </c>
      <c r="P38" s="340">
        <f>N38+O38</f>
        <v/>
      </c>
      <c r="Q38" s="340">
        <f>B38+SUM(E38:I38)+SUM(L38:M38)+P38</f>
        <v/>
      </c>
      <c r="R38" s="679" t="n"/>
    </row>
    <row r="39" ht="16" customHeight="1">
      <c r="A39" s="784" t="n">
        <v>43770</v>
      </c>
      <c r="B39" s="339" t="n">
        <v>7072</v>
      </c>
      <c r="C39" s="339" t="n">
        <v>9635</v>
      </c>
      <c r="D39" s="339" t="n"/>
      <c r="E39" s="340">
        <f>(C39+D39)</f>
        <v/>
      </c>
      <c r="F39" s="339" t="n">
        <v>1191</v>
      </c>
      <c r="G39" s="339" t="n">
        <v>1993.5</v>
      </c>
      <c r="H39" s="339" t="n">
        <v>727.5</v>
      </c>
      <c r="I39" s="339" t="n">
        <v>1252.5</v>
      </c>
      <c r="J39" s="339" t="n">
        <v>833.5</v>
      </c>
      <c r="K39" s="339" t="n">
        <v>200</v>
      </c>
      <c r="L39" s="340">
        <f>J39+K39</f>
        <v/>
      </c>
      <c r="M39" s="339" t="n">
        <v>2227</v>
      </c>
      <c r="N39" s="339" t="n">
        <v>1445</v>
      </c>
      <c r="O39" s="339" t="n">
        <v>688.5</v>
      </c>
      <c r="P39" s="340">
        <f>N39+O39</f>
        <v/>
      </c>
      <c r="Q39" s="340">
        <f>B39+SUM(E39:I39)+SUM(L39:M39)+P39</f>
        <v/>
      </c>
      <c r="R39" s="679" t="n"/>
    </row>
    <row r="40" ht="16" customHeight="1">
      <c r="A40" s="784" t="n">
        <v>43800</v>
      </c>
      <c r="B40" s="339" t="n">
        <v>8786.5</v>
      </c>
      <c r="C40" s="339" t="n">
        <v>10543</v>
      </c>
      <c r="D40" s="339" t="n"/>
      <c r="E40" s="340">
        <f>(C40+D40)</f>
        <v/>
      </c>
      <c r="F40" s="339" t="n">
        <v>169.5</v>
      </c>
      <c r="G40" s="339" t="n">
        <v>1681</v>
      </c>
      <c r="H40" s="339" t="n">
        <v>719.5</v>
      </c>
      <c r="I40" s="339" t="n">
        <v>0</v>
      </c>
      <c r="J40" s="339" t="n">
        <v>458</v>
      </c>
      <c r="K40" s="339" t="n">
        <v>0</v>
      </c>
      <c r="L40" s="340">
        <f>J40+K40</f>
        <v/>
      </c>
      <c r="M40" s="339" t="n">
        <v>3077</v>
      </c>
      <c r="N40" s="339" t="n">
        <v>2081</v>
      </c>
      <c r="O40" s="339" t="n">
        <v>556</v>
      </c>
      <c r="P40" s="340">
        <f>N40+O40</f>
        <v/>
      </c>
      <c r="Q40" s="340">
        <f>B40+SUM(E40:I40)+SUM(L40:M40)+P40</f>
        <v/>
      </c>
      <c r="R40" s="679" t="n"/>
    </row>
    <row r="41" ht="16" customHeight="1">
      <c r="A41" s="784" t="n">
        <v>43831</v>
      </c>
      <c r="B41" s="339" t="n">
        <v>7388</v>
      </c>
      <c r="C41" s="339" t="n">
        <v>9703.5</v>
      </c>
      <c r="D41" s="339" t="n"/>
      <c r="E41" s="340">
        <f>(C41+D41)</f>
        <v/>
      </c>
      <c r="F41" s="339" t="n">
        <v>385</v>
      </c>
      <c r="G41" s="339" t="n">
        <v>666.5</v>
      </c>
      <c r="H41" s="339" t="n">
        <v>194.5</v>
      </c>
      <c r="I41" s="339" t="n">
        <v>2182</v>
      </c>
      <c r="J41" s="339" t="n">
        <v>178</v>
      </c>
      <c r="K41" s="339" t="n">
        <v>140.5</v>
      </c>
      <c r="L41" s="340">
        <f>J41+K41</f>
        <v/>
      </c>
      <c r="M41" s="339" t="n">
        <v>2438</v>
      </c>
      <c r="N41" s="339" t="n">
        <v>331</v>
      </c>
      <c r="O41" s="339" t="n">
        <v>174.5</v>
      </c>
      <c r="P41" s="340">
        <f>N41+O41</f>
        <v/>
      </c>
      <c r="Q41" s="340">
        <f>B41+SUM(E41:I41)+SUM(L41:M41)+P41</f>
        <v/>
      </c>
      <c r="R41" s="679" t="n"/>
    </row>
    <row r="42" ht="16" customHeight="1">
      <c r="A42" s="784" t="n">
        <v>43862</v>
      </c>
      <c r="B42" s="339" t="n">
        <v>5697.5</v>
      </c>
      <c r="C42" s="339" t="n">
        <v>2906</v>
      </c>
      <c r="D42" s="339" t="n"/>
      <c r="E42" s="340">
        <f>(C42+D42)</f>
        <v/>
      </c>
      <c r="F42" s="339" t="n">
        <v>379.5</v>
      </c>
      <c r="G42" s="339" t="n">
        <v>430.5</v>
      </c>
      <c r="H42" s="339" t="n">
        <v>489</v>
      </c>
      <c r="I42" s="339" t="n">
        <v>66.5</v>
      </c>
      <c r="J42" s="339" t="n">
        <v>171</v>
      </c>
      <c r="K42" s="339" t="n">
        <v>252.5</v>
      </c>
      <c r="L42" s="340">
        <f>J42+K42</f>
        <v/>
      </c>
      <c r="M42" s="339" t="n">
        <v>163</v>
      </c>
      <c r="N42" s="339" t="n">
        <v>598</v>
      </c>
      <c r="O42" s="339" t="n">
        <v>480</v>
      </c>
      <c r="P42" s="340">
        <f>N42+O42</f>
        <v/>
      </c>
      <c r="Q42" s="340">
        <f>B42+SUM(E42:I42)+SUM(L42:M42)+P42</f>
        <v/>
      </c>
      <c r="R42" s="679" t="n"/>
    </row>
    <row r="43" ht="16" customHeight="1">
      <c r="A43" s="784" t="n">
        <v>43891</v>
      </c>
      <c r="B43" s="339" t="n">
        <v>4929</v>
      </c>
      <c r="C43" s="339" t="n">
        <v>4687.5</v>
      </c>
      <c r="D43" s="339" t="n"/>
      <c r="E43" s="340">
        <f>(C43+D43)</f>
        <v/>
      </c>
      <c r="F43" s="339" t="n">
        <v>704.5</v>
      </c>
      <c r="G43" s="339" t="n">
        <v>455.5</v>
      </c>
      <c r="H43" s="339" t="n">
        <v>436</v>
      </c>
      <c r="I43" s="339" t="n">
        <v>534</v>
      </c>
      <c r="J43" s="339" t="n">
        <v>597.5</v>
      </c>
      <c r="K43" s="339" t="n">
        <v>0</v>
      </c>
      <c r="L43" s="340">
        <f>J43+K43</f>
        <v/>
      </c>
      <c r="M43" s="339" t="n">
        <v>239.5</v>
      </c>
      <c r="N43" s="339" t="n">
        <v>719</v>
      </c>
      <c r="O43" s="339" t="n">
        <v>480</v>
      </c>
      <c r="P43" s="340">
        <f>N43+O43</f>
        <v/>
      </c>
      <c r="Q43" s="340">
        <f>B43+SUM(E43:I43)+SUM(L43:M43)+P43</f>
        <v/>
      </c>
      <c r="R43" s="679" t="n"/>
    </row>
    <row r="44" ht="16" customHeight="1">
      <c r="A44" s="784" t="n">
        <v>43922</v>
      </c>
      <c r="B44" s="339" t="n">
        <v>4545</v>
      </c>
      <c r="C44" s="339" t="n">
        <v>4585</v>
      </c>
      <c r="D44" s="339" t="n"/>
      <c r="E44" s="340">
        <f>(C44+D44)</f>
        <v/>
      </c>
      <c r="F44" s="339" t="n">
        <v>570</v>
      </c>
      <c r="G44" s="339" t="n">
        <v>497</v>
      </c>
      <c r="H44" s="339" t="n">
        <v>191</v>
      </c>
      <c r="I44" s="339" t="n">
        <v>0</v>
      </c>
      <c r="J44" s="339" t="n">
        <v>290</v>
      </c>
      <c r="K44" s="339" t="n">
        <v>0</v>
      </c>
      <c r="L44" s="340">
        <f>J44+K44</f>
        <v/>
      </c>
      <c r="M44" s="339" t="n">
        <v>0</v>
      </c>
      <c r="N44" s="339" t="n">
        <v>776</v>
      </c>
      <c r="O44" s="339" t="n">
        <v>325</v>
      </c>
      <c r="P44" s="340">
        <f>N44+O44</f>
        <v/>
      </c>
      <c r="Q44" s="340">
        <f>B44+SUM(E44:I44)+SUM(L44:M44)+P44</f>
        <v/>
      </c>
      <c r="R44" s="679" t="n"/>
    </row>
    <row r="45" ht="16" customHeight="1">
      <c r="A45" s="784" t="n">
        <v>43952</v>
      </c>
      <c r="B45" s="339" t="n">
        <v>5970.5</v>
      </c>
      <c r="C45" s="339" t="n">
        <v>6634</v>
      </c>
      <c r="D45" s="339" t="n"/>
      <c r="E45" s="340">
        <f>(C45+D45)</f>
        <v/>
      </c>
      <c r="F45" s="339" t="n">
        <v>672.5</v>
      </c>
      <c r="G45" s="339" t="n">
        <v>693.5</v>
      </c>
      <c r="H45" s="339" t="n">
        <v>378</v>
      </c>
      <c r="I45" s="339" t="n">
        <v>136.5</v>
      </c>
      <c r="J45" s="339" t="n">
        <v>377</v>
      </c>
      <c r="K45" s="339" t="n">
        <v>0</v>
      </c>
      <c r="L45" s="340">
        <f>J45+K45</f>
        <v/>
      </c>
      <c r="M45" s="339" t="n">
        <v>0</v>
      </c>
      <c r="N45" s="339" t="n">
        <v>569.5</v>
      </c>
      <c r="O45" s="339" t="n">
        <v>333.5</v>
      </c>
      <c r="P45" s="340">
        <f>N45+O45</f>
        <v/>
      </c>
      <c r="Q45" s="340">
        <f>B45+SUM(E45:I45)+SUM(L45:M45)+P45</f>
        <v/>
      </c>
      <c r="R45" s="679" t="n"/>
    </row>
    <row r="46" ht="16" customHeight="1">
      <c r="A46" s="784" t="n">
        <v>43983</v>
      </c>
      <c r="B46" s="340" t="n">
        <v>6952.610878528385</v>
      </c>
      <c r="C46" s="340" t="n">
        <v>8682.2847446876</v>
      </c>
      <c r="D46" s="340" t="n"/>
      <c r="E46" s="340">
        <f>(C46+D46)</f>
        <v/>
      </c>
      <c r="F46" s="340" t="n">
        <v>1208.259118300032</v>
      </c>
      <c r="G46" s="340" t="n">
        <v>1008.791373295274</v>
      </c>
      <c r="H46" s="340" t="n">
        <v>679.0805899143672</v>
      </c>
      <c r="I46" s="340" t="n">
        <v>590.4596574690771</v>
      </c>
      <c r="J46" s="340" t="n">
        <v>436.1266730098319</v>
      </c>
      <c r="K46" s="340" t="n">
        <v>0</v>
      </c>
      <c r="L46" s="340">
        <f>J46+K46</f>
        <v/>
      </c>
      <c r="M46" s="340" t="n">
        <v>0</v>
      </c>
      <c r="N46" s="340" t="n">
        <v>258.5056771328893</v>
      </c>
      <c r="O46" s="340" t="n">
        <v>185.8812876625436</v>
      </c>
      <c r="P46" s="340">
        <f>N46+O46</f>
        <v/>
      </c>
      <c r="Q46" s="340">
        <f>B46+SUM(E46:I46)+SUM(L46:M46)+P46</f>
        <v/>
      </c>
      <c r="R46" s="679" t="n"/>
    </row>
    <row r="47" ht="16" customHeight="1">
      <c r="A47" s="784" t="n">
        <v>44013</v>
      </c>
      <c r="B47" s="340" t="n">
        <v>8829.439613066919</v>
      </c>
      <c r="C47" s="340" t="n">
        <v>8887.778560101491</v>
      </c>
      <c r="D47" s="340" t="n"/>
      <c r="E47" s="340">
        <f>(C47+D47)</f>
        <v/>
      </c>
      <c r="F47" s="340" t="n">
        <v>1858.837139232477</v>
      </c>
      <c r="G47" s="340" t="n">
        <v>1114.666254360926</v>
      </c>
      <c r="H47" s="340" t="n">
        <v>499.9240723120837</v>
      </c>
      <c r="I47" s="340" t="n">
        <v>483.3892483349191</v>
      </c>
      <c r="J47" s="340" t="n">
        <v>739.3131620678719</v>
      </c>
      <c r="K47" s="340" t="n">
        <v>69</v>
      </c>
      <c r="L47" s="340">
        <f>J47+K47</f>
        <v/>
      </c>
      <c r="M47" s="340" t="n">
        <v>890</v>
      </c>
      <c r="N47" s="340" t="n">
        <v>947.9133840786553</v>
      </c>
      <c r="O47" s="340" t="n">
        <v>488.7385664446559</v>
      </c>
      <c r="P47" s="340">
        <f>N47+O47</f>
        <v/>
      </c>
      <c r="Q47" s="340">
        <f>B47+SUM(E47:I47)+SUM(L47:M47)+P47</f>
        <v/>
      </c>
      <c r="R47" s="679" t="n"/>
    </row>
    <row r="48" ht="16" customHeight="1">
      <c r="A48" s="784" t="n">
        <v>44044</v>
      </c>
      <c r="B48" s="340" t="n">
        <v>7495</v>
      </c>
      <c r="C48" s="340" t="n">
        <v>7263</v>
      </c>
      <c r="D48" s="340" t="n"/>
      <c r="E48" s="340">
        <f>(C48+D48)</f>
        <v/>
      </c>
      <c r="F48" s="340" t="n">
        <v>2792</v>
      </c>
      <c r="G48" s="340" t="n">
        <v>1329</v>
      </c>
      <c r="H48" s="340" t="n">
        <v>544</v>
      </c>
      <c r="I48" s="340" t="n">
        <v>0</v>
      </c>
      <c r="J48" s="340" t="n">
        <v>205</v>
      </c>
      <c r="K48" s="340" t="n">
        <v>639</v>
      </c>
      <c r="L48" s="340">
        <f>J48+K48</f>
        <v/>
      </c>
      <c r="M48" s="340" t="n">
        <v>939</v>
      </c>
      <c r="N48" s="340" t="n">
        <v>1200</v>
      </c>
      <c r="O48" s="340" t="n">
        <v>737</v>
      </c>
      <c r="P48" s="340">
        <f>N48+O48</f>
        <v/>
      </c>
      <c r="Q48" s="340">
        <f>B48+SUM(E48:I48)+SUM(L48:M48)+P48</f>
        <v/>
      </c>
      <c r="R48" s="679" t="n"/>
    </row>
    <row r="49" ht="16" customHeight="1">
      <c r="A49" s="784" t="n">
        <v>44075</v>
      </c>
      <c r="B49" s="340" t="n">
        <v>8103</v>
      </c>
      <c r="C49" s="340" t="n">
        <v>10089</v>
      </c>
      <c r="D49" s="340" t="n"/>
      <c r="E49" s="340">
        <f>(C49+D49)</f>
        <v/>
      </c>
      <c r="F49" s="340" t="n">
        <v>3099</v>
      </c>
      <c r="G49" s="340" t="n">
        <v>1187</v>
      </c>
      <c r="H49" s="340" t="n">
        <v>1248</v>
      </c>
      <c r="I49" s="340" t="n">
        <v>947</v>
      </c>
      <c r="J49" s="340" t="n">
        <v>586</v>
      </c>
      <c r="K49" s="340" t="n">
        <v>338</v>
      </c>
      <c r="L49" s="340">
        <f>J49+K49</f>
        <v/>
      </c>
      <c r="M49" s="340" t="n">
        <v>1363</v>
      </c>
      <c r="N49" s="340" t="n">
        <v>917</v>
      </c>
      <c r="O49" s="340" t="n">
        <v>734</v>
      </c>
      <c r="P49" s="340">
        <f>N49+O49</f>
        <v/>
      </c>
      <c r="Q49" s="340">
        <f>B49+SUM(E49:I49)+SUM(L49:M49)+P49</f>
        <v/>
      </c>
      <c r="R49" s="679" t="n"/>
    </row>
    <row r="50" ht="16" customHeight="1">
      <c r="A50" s="784" t="n">
        <v>44105</v>
      </c>
      <c r="B50" s="340" t="n">
        <v>9737</v>
      </c>
      <c r="C50" s="340" t="n">
        <v>10006</v>
      </c>
      <c r="D50" s="340" t="n"/>
      <c r="E50" s="340">
        <f>(C50+D50)</f>
        <v/>
      </c>
      <c r="F50" s="340" t="n">
        <v>3012</v>
      </c>
      <c r="G50" s="340" t="n">
        <v>1173</v>
      </c>
      <c r="H50" s="340" t="n">
        <v>1175</v>
      </c>
      <c r="I50" s="340" t="n">
        <v>1215</v>
      </c>
      <c r="J50" s="340" t="n">
        <v>782</v>
      </c>
      <c r="K50" s="340" t="n">
        <v>40</v>
      </c>
      <c r="L50" s="340">
        <f>J50+K50</f>
        <v/>
      </c>
      <c r="M50" s="340" t="n">
        <v>1157</v>
      </c>
      <c r="N50" s="340" t="n">
        <v>1958</v>
      </c>
      <c r="O50" s="340" t="n">
        <v>754</v>
      </c>
      <c r="P50" s="340">
        <f>N50+O50</f>
        <v/>
      </c>
      <c r="Q50" s="340">
        <f>B50+SUM(E50:I50)+SUM(L50:M50)+P50</f>
        <v/>
      </c>
      <c r="R50" s="679" t="n"/>
    </row>
    <row r="51" ht="16" customHeight="1">
      <c r="A51" s="784" t="n">
        <v>44136</v>
      </c>
      <c r="B51" s="340" t="n">
        <v>10105</v>
      </c>
      <c r="C51" s="340" t="n">
        <v>10887</v>
      </c>
      <c r="D51" s="340" t="n"/>
      <c r="E51" s="340">
        <f>(C51+D51)</f>
        <v/>
      </c>
      <c r="F51" s="340" t="n">
        <v>2985</v>
      </c>
      <c r="G51" s="340" t="n">
        <v>1480</v>
      </c>
      <c r="H51" s="340" t="n">
        <v>1564</v>
      </c>
      <c r="I51" s="340" t="n">
        <v>1514</v>
      </c>
      <c r="J51" s="340" t="n">
        <v>1480</v>
      </c>
      <c r="K51" s="340" t="n">
        <v>0</v>
      </c>
      <c r="L51" s="340">
        <f>J51+K51</f>
        <v/>
      </c>
      <c r="M51" s="340" t="n">
        <v>1802</v>
      </c>
      <c r="N51" s="340" t="n">
        <v>1465</v>
      </c>
      <c r="O51" s="340" t="n">
        <v>1007</v>
      </c>
      <c r="P51" s="340">
        <f>N51+O51</f>
        <v/>
      </c>
      <c r="Q51" s="340">
        <f>B51+SUM(E51:I51)+SUM(L51:M51)+P51</f>
        <v/>
      </c>
      <c r="R51" s="679" t="n"/>
    </row>
    <row r="52" ht="16" customHeight="1">
      <c r="A52" s="784" t="n">
        <v>44166</v>
      </c>
      <c r="B52" s="339" t="n">
        <v>10767</v>
      </c>
      <c r="C52" s="339" t="n">
        <v>11802</v>
      </c>
      <c r="D52" s="339" t="n"/>
      <c r="E52" s="340">
        <f>(C52+D52)</f>
        <v/>
      </c>
      <c r="F52" s="339" t="n">
        <v>3207</v>
      </c>
      <c r="G52" s="339" t="n">
        <v>1181</v>
      </c>
      <c r="H52" s="339" t="n">
        <v>1612</v>
      </c>
      <c r="I52" s="339" t="n">
        <v>415</v>
      </c>
      <c r="J52" s="339" t="n">
        <v>1224</v>
      </c>
      <c r="K52" s="339" t="n">
        <v>0</v>
      </c>
      <c r="L52" s="340">
        <f>J52+K52</f>
        <v/>
      </c>
      <c r="M52" s="339" t="n">
        <v>583</v>
      </c>
      <c r="N52" s="341" t="n">
        <v>1649</v>
      </c>
      <c r="O52" s="339" t="n">
        <v>920</v>
      </c>
      <c r="P52" s="340">
        <f>N52+O52</f>
        <v/>
      </c>
      <c r="Q52" s="340">
        <f>B52+SUM(E52:I52)+SUM(L52:M52)+P52</f>
        <v/>
      </c>
      <c r="R52" s="679" t="n"/>
    </row>
    <row r="53" ht="16" customHeight="1">
      <c r="A53" s="784" t="n">
        <v>44197</v>
      </c>
      <c r="B53" s="339" t="n">
        <v>10921</v>
      </c>
      <c r="C53" s="340" t="n">
        <v>14669</v>
      </c>
      <c r="D53" s="339" t="n"/>
      <c r="E53" s="340">
        <f>(C53+D53)</f>
        <v/>
      </c>
      <c r="F53" s="339" t="n">
        <v>3280</v>
      </c>
      <c r="G53" s="339" t="n">
        <v>1365</v>
      </c>
      <c r="H53" s="339" t="n">
        <v>1508</v>
      </c>
      <c r="I53" s="339" t="n">
        <v>0</v>
      </c>
      <c r="J53" s="339" t="n">
        <v>1338</v>
      </c>
      <c r="K53" s="339" t="n">
        <v>0</v>
      </c>
      <c r="L53" s="340">
        <f>J53+K53</f>
        <v/>
      </c>
      <c r="M53" s="342" t="n">
        <v>0</v>
      </c>
      <c r="N53" s="340" t="n">
        <v>152</v>
      </c>
      <c r="O53" s="343" t="n">
        <v>284</v>
      </c>
      <c r="P53" s="340">
        <f>N53+O53</f>
        <v/>
      </c>
      <c r="Q53" s="340">
        <f>B53+SUM(E53:I53)+SUM(L53:M53)+P53</f>
        <v/>
      </c>
      <c r="R53" s="679" t="n"/>
    </row>
    <row r="54" ht="16" customHeight="1">
      <c r="A54" s="784" t="n">
        <v>44228</v>
      </c>
      <c r="B54" s="340" t="n">
        <v>8722</v>
      </c>
      <c r="C54" s="340" t="n">
        <v>12242</v>
      </c>
      <c r="D54" s="340" t="n"/>
      <c r="E54" s="340">
        <f>(C54+D54)</f>
        <v/>
      </c>
      <c r="F54" s="340" t="n">
        <v>3032</v>
      </c>
      <c r="G54" s="340" t="n">
        <v>1523</v>
      </c>
      <c r="H54" s="340" t="n">
        <v>1538</v>
      </c>
      <c r="I54" s="340" t="n">
        <v>0</v>
      </c>
      <c r="J54" s="340" t="n">
        <v>1268</v>
      </c>
      <c r="K54" s="340" t="n">
        <v>0</v>
      </c>
      <c r="L54" s="340">
        <f>J54+K54</f>
        <v/>
      </c>
      <c r="M54" s="340" t="n">
        <v>0</v>
      </c>
      <c r="N54" s="344" t="n">
        <v>471</v>
      </c>
      <c r="O54" s="340" t="n">
        <v>672</v>
      </c>
      <c r="P54" s="340">
        <f>N54+O54</f>
        <v/>
      </c>
      <c r="Q54" s="340">
        <f>B54+SUM(E54:I54)+SUM(L54:M54)+P54</f>
        <v/>
      </c>
      <c r="R54" s="679" t="n"/>
    </row>
    <row r="55" ht="16" customHeight="1">
      <c r="A55" s="784" t="n">
        <v>44256</v>
      </c>
      <c r="B55" s="340" t="n">
        <v>10116</v>
      </c>
      <c r="C55" s="340" t="n">
        <v>14060</v>
      </c>
      <c r="D55" s="340" t="n"/>
      <c r="E55" s="340">
        <f>(C55+D55)</f>
        <v/>
      </c>
      <c r="F55" s="340" t="n">
        <v>2985</v>
      </c>
      <c r="G55" s="340" t="n">
        <v>1571</v>
      </c>
      <c r="H55" s="340" t="n">
        <v>1700</v>
      </c>
      <c r="I55" s="340" t="n">
        <v>647</v>
      </c>
      <c r="J55" s="340" t="n">
        <v>1542</v>
      </c>
      <c r="K55" s="340" t="n">
        <v>42</v>
      </c>
      <c r="L55" s="340">
        <f>J55+K55</f>
        <v/>
      </c>
      <c r="M55" s="340" t="n">
        <v>120</v>
      </c>
      <c r="N55" s="340" t="n">
        <v>1367</v>
      </c>
      <c r="O55" s="340" t="n">
        <v>1297</v>
      </c>
      <c r="P55" s="340">
        <f>N55+O55</f>
        <v/>
      </c>
      <c r="Q55" s="340">
        <f>B55+SUM(E55:I55)+SUM(L55:M55)+P55</f>
        <v/>
      </c>
      <c r="R55" s="679" t="n"/>
    </row>
    <row r="56" ht="16" customHeight="1">
      <c r="A56" s="784" t="n">
        <v>44287</v>
      </c>
      <c r="B56" s="340" t="n">
        <v>12627</v>
      </c>
      <c r="C56" s="340" t="n">
        <v>16149</v>
      </c>
      <c r="D56" s="340" t="n"/>
      <c r="E56" s="340">
        <f>(C56+D56)</f>
        <v/>
      </c>
      <c r="F56" s="340" t="n">
        <v>5447</v>
      </c>
      <c r="G56" s="340" t="n">
        <v>3213</v>
      </c>
      <c r="H56" s="340" t="n">
        <v>1811</v>
      </c>
      <c r="I56" s="340" t="n">
        <v>890</v>
      </c>
      <c r="J56" s="340" t="n">
        <v>1467</v>
      </c>
      <c r="K56" s="340" t="n">
        <v>126</v>
      </c>
      <c r="L56" s="340">
        <f>J56+K56</f>
        <v/>
      </c>
      <c r="M56" s="340" t="n">
        <v>80</v>
      </c>
      <c r="N56" s="340" t="n">
        <v>1465</v>
      </c>
      <c r="O56" s="340" t="n">
        <v>222</v>
      </c>
      <c r="P56" s="340">
        <f>N56+O56</f>
        <v/>
      </c>
      <c r="Q56" s="340">
        <f>B56+SUM(E56:I56)+SUM(L56:M56)+P56</f>
        <v/>
      </c>
      <c r="R56" s="679" t="n"/>
    </row>
    <row r="57" ht="16" customHeight="1">
      <c r="A57" s="784" t="n">
        <v>44317</v>
      </c>
      <c r="B57" s="340" t="n">
        <v>11557</v>
      </c>
      <c r="C57" s="340" t="n">
        <v>13985</v>
      </c>
      <c r="D57" s="340" t="n"/>
      <c r="E57" s="340">
        <f>(C57+D57)</f>
        <v/>
      </c>
      <c r="F57" s="340" t="n">
        <v>4974</v>
      </c>
      <c r="G57" s="340" t="n">
        <v>2960</v>
      </c>
      <c r="H57" s="340" t="n">
        <v>1867</v>
      </c>
      <c r="I57" s="340" t="n">
        <v>1243</v>
      </c>
      <c r="J57" s="340" t="n">
        <v>1575</v>
      </c>
      <c r="K57" s="340" t="n">
        <v>0</v>
      </c>
      <c r="L57" s="340">
        <f>J57+K57</f>
        <v/>
      </c>
      <c r="M57" s="340" t="n">
        <v>566</v>
      </c>
      <c r="N57" s="340" t="n">
        <v>1138</v>
      </c>
      <c r="O57" s="340" t="n">
        <v>323</v>
      </c>
      <c r="P57" s="340">
        <f>N57+O57</f>
        <v/>
      </c>
      <c r="Q57" s="340">
        <f>B57+SUM(E57:I57)+SUM(L57:M57)+P57</f>
        <v/>
      </c>
      <c r="R57" s="679" t="n"/>
    </row>
    <row r="58" ht="16" customHeight="1">
      <c r="A58" s="784" t="n">
        <v>44348</v>
      </c>
      <c r="B58" s="340" t="n">
        <v>9571</v>
      </c>
      <c r="C58" s="340" t="n">
        <v>11038</v>
      </c>
      <c r="D58" s="340" t="n"/>
      <c r="E58" s="340">
        <f>(C58+D58)</f>
        <v/>
      </c>
      <c r="F58" s="340" t="n">
        <v>4383</v>
      </c>
      <c r="G58" s="340" t="n">
        <v>2001</v>
      </c>
      <c r="H58" s="340" t="n">
        <v>1774</v>
      </c>
      <c r="I58" s="340" t="n">
        <v>1457</v>
      </c>
      <c r="J58" s="340" t="n">
        <v>1542</v>
      </c>
      <c r="K58" s="340" t="n">
        <v>0</v>
      </c>
      <c r="L58" s="340">
        <f>J58+K58</f>
        <v/>
      </c>
      <c r="M58" s="340" t="n">
        <v>2054</v>
      </c>
      <c r="N58" s="340" t="n">
        <v>1580</v>
      </c>
      <c r="O58" s="340" t="n">
        <v>183</v>
      </c>
      <c r="P58" s="340">
        <f>N58+O58</f>
        <v/>
      </c>
      <c r="Q58" s="340">
        <f>B58+SUM(E58:I58)+SUM(L58:M58)+P58</f>
        <v/>
      </c>
      <c r="R58" s="679" t="n"/>
    </row>
    <row r="59" ht="16" customHeight="1">
      <c r="A59" s="784" t="n">
        <v>44378</v>
      </c>
      <c r="B59" s="340" t="n">
        <v>9926</v>
      </c>
      <c r="C59" s="340" t="n">
        <v>12358</v>
      </c>
      <c r="D59" s="340" t="n"/>
      <c r="E59" s="340">
        <f>(C59+D59)</f>
        <v/>
      </c>
      <c r="F59" s="340" t="n">
        <v>4424</v>
      </c>
      <c r="G59" s="340" t="n">
        <v>1477</v>
      </c>
      <c r="H59" s="340" t="n">
        <v>1523</v>
      </c>
      <c r="I59" s="340" t="n">
        <v>856</v>
      </c>
      <c r="J59" s="340" t="n">
        <v>1305</v>
      </c>
      <c r="K59" s="340" t="n">
        <v>0</v>
      </c>
      <c r="L59" s="340">
        <f>J59+K59</f>
        <v/>
      </c>
      <c r="M59" s="340" t="n">
        <v>1877</v>
      </c>
      <c r="N59" s="340" t="n">
        <v>1597</v>
      </c>
      <c r="O59" s="340" t="n">
        <v>1094</v>
      </c>
      <c r="P59" s="340">
        <f>N59+O59</f>
        <v/>
      </c>
      <c r="Q59" s="340">
        <f>B59+SUM(E59:I59)+SUM(L59:M59)+P59</f>
        <v/>
      </c>
      <c r="R59" s="679" t="n"/>
    </row>
    <row r="60" ht="16" customHeight="1">
      <c r="A60" s="784" t="n">
        <v>44409</v>
      </c>
      <c r="B60" s="340" t="n">
        <v>10844</v>
      </c>
      <c r="C60" s="340" t="n">
        <v>9630</v>
      </c>
      <c r="D60" s="340" t="n"/>
      <c r="E60" s="340">
        <f>(C60+D60)</f>
        <v/>
      </c>
      <c r="F60" s="340" t="n">
        <v>4518</v>
      </c>
      <c r="G60" s="340" t="n">
        <v>1308</v>
      </c>
      <c r="H60" s="340" t="n">
        <v>1272</v>
      </c>
      <c r="I60" s="340" t="n">
        <v>821</v>
      </c>
      <c r="J60" s="340" t="n">
        <v>1290</v>
      </c>
      <c r="K60" s="340" t="n">
        <v>0</v>
      </c>
      <c r="L60" s="340">
        <f>J60+K60</f>
        <v/>
      </c>
      <c r="M60" s="340" t="n">
        <v>1489</v>
      </c>
      <c r="N60" s="340" t="n">
        <v>1183</v>
      </c>
      <c r="O60" s="340" t="n">
        <v>1229</v>
      </c>
      <c r="P60" s="340">
        <f>N60+O60</f>
        <v/>
      </c>
      <c r="Q60" s="340">
        <f>B60+SUM(E60:I60)+SUM(L60:M60)+P60</f>
        <v/>
      </c>
      <c r="R60" s="679" t="n"/>
    </row>
    <row r="61" ht="16" customHeight="1">
      <c r="A61" s="784" t="n">
        <v>44440</v>
      </c>
      <c r="B61" s="340" t="n">
        <v>10427</v>
      </c>
      <c r="C61" s="340" t="n">
        <v>12690</v>
      </c>
      <c r="D61" s="340" t="n"/>
      <c r="E61" s="340">
        <f>(C61+D61)</f>
        <v/>
      </c>
      <c r="F61" s="340" t="n">
        <v>4807</v>
      </c>
      <c r="G61" s="340" t="n">
        <v>996</v>
      </c>
      <c r="H61" s="340" t="n">
        <v>912</v>
      </c>
      <c r="I61" s="340" t="n">
        <v>640</v>
      </c>
      <c r="J61" s="340" t="n">
        <v>1146</v>
      </c>
      <c r="K61" s="340" t="n">
        <v>121</v>
      </c>
      <c r="L61" s="340">
        <f>J61+K61</f>
        <v/>
      </c>
      <c r="M61" s="340" t="n">
        <v>1101</v>
      </c>
      <c r="N61" s="340" t="n">
        <v>1239</v>
      </c>
      <c r="O61" s="340" t="n">
        <v>1297</v>
      </c>
      <c r="P61" s="340">
        <f>N61+O61</f>
        <v/>
      </c>
      <c r="Q61" s="340">
        <f>B61+SUM(E61:I61)+SUM(L61:M61)+P61</f>
        <v/>
      </c>
      <c r="R61" s="679" t="n"/>
    </row>
    <row r="62" ht="16" customHeight="1">
      <c r="A62" s="784" t="n">
        <v>44470</v>
      </c>
      <c r="B62" s="340" t="n">
        <v>13958</v>
      </c>
      <c r="C62" s="340" t="n">
        <v>13721</v>
      </c>
      <c r="D62" s="340" t="n">
        <v>708</v>
      </c>
      <c r="E62" s="340">
        <f>(C62+D62)</f>
        <v/>
      </c>
      <c r="F62" s="340" t="n">
        <v>5212</v>
      </c>
      <c r="G62" s="340" t="n">
        <v>1328</v>
      </c>
      <c r="H62" s="340" t="n">
        <v>1773</v>
      </c>
      <c r="I62" s="340" t="n">
        <v>1648</v>
      </c>
      <c r="J62" s="340" t="n">
        <v>1407</v>
      </c>
      <c r="K62" s="340" t="n">
        <v>976</v>
      </c>
      <c r="L62" s="340">
        <f>J62+K62</f>
        <v/>
      </c>
      <c r="M62" s="340" t="n">
        <v>1707</v>
      </c>
      <c r="N62" s="340" t="n">
        <v>1651</v>
      </c>
      <c r="O62" s="340" t="n">
        <v>1311</v>
      </c>
      <c r="P62" s="340">
        <f>N62+O62</f>
        <v/>
      </c>
      <c r="Q62" s="340">
        <f>B62+SUM(E62:I62)+SUM(L62:M62)+P62</f>
        <v/>
      </c>
      <c r="R62" s="679" t="n"/>
    </row>
    <row r="63" ht="16" customHeight="1">
      <c r="A63" s="784" t="n">
        <v>44501</v>
      </c>
      <c r="B63" s="340" t="n">
        <v>10607</v>
      </c>
      <c r="C63" s="340" t="n">
        <v>14354</v>
      </c>
      <c r="D63" s="340" t="n">
        <v>1740</v>
      </c>
      <c r="E63" s="340">
        <f>(C63+D63)</f>
        <v/>
      </c>
      <c r="F63" s="340" t="n">
        <v>4468</v>
      </c>
      <c r="G63" s="340" t="n">
        <v>1566</v>
      </c>
      <c r="H63" s="340" t="n">
        <v>1457</v>
      </c>
      <c r="I63" s="340" t="n">
        <v>1563</v>
      </c>
      <c r="J63" s="340" t="n">
        <v>1156</v>
      </c>
      <c r="K63" s="340" t="n">
        <v>842</v>
      </c>
      <c r="L63" s="340">
        <f>J63+K63</f>
        <v/>
      </c>
      <c r="M63" s="340" t="n">
        <v>1660</v>
      </c>
      <c r="N63" s="340" t="n">
        <v>1535</v>
      </c>
      <c r="O63" s="340" t="n">
        <v>1717</v>
      </c>
      <c r="P63" s="340">
        <f>N63+O63</f>
        <v/>
      </c>
      <c r="Q63" s="340">
        <f>B63+SUM(E63:I63)+SUM(L63:M63)+P63</f>
        <v/>
      </c>
      <c r="R63" s="679" t="n"/>
    </row>
    <row r="64" ht="16" customHeight="1">
      <c r="A64" s="784" t="n">
        <v>44531</v>
      </c>
      <c r="B64" s="340" t="n">
        <v>12824</v>
      </c>
      <c r="C64" s="340" t="n">
        <v>10146</v>
      </c>
      <c r="D64" s="340" t="n">
        <v>1844</v>
      </c>
      <c r="E64" s="340">
        <f>(C64+D64)</f>
        <v/>
      </c>
      <c r="F64" s="340" t="n">
        <v>5198</v>
      </c>
      <c r="G64" s="340" t="n">
        <v>1227</v>
      </c>
      <c r="H64" s="340" t="n">
        <v>1641</v>
      </c>
      <c r="I64" s="340" t="n">
        <v>1634</v>
      </c>
      <c r="J64" s="340" t="n">
        <v>1187</v>
      </c>
      <c r="K64" s="340" t="n">
        <v>660</v>
      </c>
      <c r="L64" s="340">
        <f>J64+K64</f>
        <v/>
      </c>
      <c r="M64" s="340" t="n">
        <v>1949</v>
      </c>
      <c r="N64" s="340" t="n">
        <v>1298</v>
      </c>
      <c r="O64" s="340" t="n">
        <v>1730</v>
      </c>
      <c r="P64" s="340">
        <f>N64+O64</f>
        <v/>
      </c>
      <c r="Q64" s="340">
        <f>B64+SUM(E64:I64)+SUM(L64:M64)+P64</f>
        <v/>
      </c>
      <c r="R64" s="679" t="n"/>
    </row>
    <row r="65" ht="16" customHeight="1">
      <c r="A65" s="784" t="n">
        <v>44562</v>
      </c>
      <c r="B65" s="340" t="n">
        <v>8566</v>
      </c>
      <c r="C65" s="340" t="n">
        <v>8810</v>
      </c>
      <c r="D65" s="340" t="n">
        <v>1919</v>
      </c>
      <c r="E65" s="340">
        <f>(C65+D65)</f>
        <v/>
      </c>
      <c r="F65" s="340" t="n">
        <v>4794</v>
      </c>
      <c r="G65" s="340" t="n">
        <v>929</v>
      </c>
      <c r="H65" s="340" t="n">
        <v>1354</v>
      </c>
      <c r="I65" s="340" t="n">
        <v>874</v>
      </c>
      <c r="J65" s="340" t="n">
        <v>1034</v>
      </c>
      <c r="K65" s="340" t="n">
        <v>686</v>
      </c>
      <c r="L65" s="340">
        <f>J65+K65</f>
        <v/>
      </c>
      <c r="M65" s="340" t="n">
        <v>1449</v>
      </c>
      <c r="N65" s="340" t="n">
        <v>1243</v>
      </c>
      <c r="O65" s="340" t="n">
        <v>1413</v>
      </c>
      <c r="P65" s="340">
        <f>N65+O65</f>
        <v/>
      </c>
      <c r="Q65" s="340">
        <f>B65+SUM(E65:I65)+SUM(L65:M65)+P65</f>
        <v/>
      </c>
      <c r="R65" s="679" t="n"/>
    </row>
    <row r="66" ht="16" customHeight="1">
      <c r="A66" s="784" t="n">
        <v>44593</v>
      </c>
      <c r="B66" s="340" t="n">
        <v>6686</v>
      </c>
      <c r="C66" s="340" t="n">
        <v>8256</v>
      </c>
      <c r="D66" s="340" t="n">
        <v>1206</v>
      </c>
      <c r="E66" s="340">
        <f>(C66+D66)</f>
        <v/>
      </c>
      <c r="F66" s="340" t="n">
        <v>3189</v>
      </c>
      <c r="G66" s="340" t="n">
        <v>778</v>
      </c>
      <c r="H66" s="340" t="n">
        <v>751</v>
      </c>
      <c r="I66" s="340" t="n">
        <v>430</v>
      </c>
      <c r="J66" s="340" t="n">
        <v>952</v>
      </c>
      <c r="K66" s="340" t="n">
        <v>541</v>
      </c>
      <c r="L66" s="340">
        <f>J66+K66</f>
        <v/>
      </c>
      <c r="M66" s="340" t="n">
        <v>614</v>
      </c>
      <c r="N66" s="340" t="n">
        <v>715</v>
      </c>
      <c r="O66" s="340" t="n">
        <v>829</v>
      </c>
      <c r="P66" s="340">
        <f>N66+O66</f>
        <v/>
      </c>
      <c r="Q66" s="340">
        <f>B66+SUM(E66:I66)+SUM(L66:M66)+P66</f>
        <v/>
      </c>
      <c r="R66" s="679" t="n"/>
    </row>
    <row r="67" ht="16" customHeight="1">
      <c r="A67" s="784" t="n">
        <v>44621</v>
      </c>
      <c r="B67" s="340" t="n">
        <v>4351</v>
      </c>
      <c r="C67" s="340" t="n">
        <v>5420</v>
      </c>
      <c r="D67" s="340" t="n">
        <v>1022</v>
      </c>
      <c r="E67" s="340">
        <f>(C67+D67)</f>
        <v/>
      </c>
      <c r="F67" s="340" t="n">
        <v>5829</v>
      </c>
      <c r="G67" s="340" t="n">
        <v>774</v>
      </c>
      <c r="H67" s="340" t="n">
        <v>809</v>
      </c>
      <c r="I67" s="340" t="n">
        <v>579</v>
      </c>
      <c r="J67" s="340" t="n">
        <v>848</v>
      </c>
      <c r="K67" s="340" t="n">
        <v>492</v>
      </c>
      <c r="L67" s="340">
        <f>J67+K67</f>
        <v/>
      </c>
      <c r="M67" s="340" t="n">
        <v>436</v>
      </c>
      <c r="N67" s="340" t="n">
        <v>719</v>
      </c>
      <c r="O67" s="340" t="n">
        <v>812</v>
      </c>
      <c r="P67" s="340">
        <f>N67+O67</f>
        <v/>
      </c>
      <c r="Q67" s="340">
        <f>B67+SUM(E67:I67)+SUM(L67:M67)+P67</f>
        <v/>
      </c>
      <c r="R67" s="679" t="n"/>
    </row>
    <row r="68" ht="16" customHeight="1">
      <c r="A68" s="784" t="n">
        <v>44652</v>
      </c>
      <c r="B68" s="340" t="n">
        <v>6373.3</v>
      </c>
      <c r="C68" s="340" t="n">
        <v>5682</v>
      </c>
      <c r="D68" s="340" t="n">
        <v>1561</v>
      </c>
      <c r="E68" s="340">
        <f>(C68+D68)</f>
        <v/>
      </c>
      <c r="F68" s="340" t="n">
        <v>4437.3</v>
      </c>
      <c r="G68" s="340" t="n">
        <v>965</v>
      </c>
      <c r="H68" s="340" t="n">
        <v>890</v>
      </c>
      <c r="I68" s="340" t="n">
        <v>224</v>
      </c>
      <c r="J68" s="340" t="n">
        <v>1273</v>
      </c>
      <c r="K68" s="340" t="n">
        <v>684</v>
      </c>
      <c r="L68" s="340">
        <f>J68+K68</f>
        <v/>
      </c>
      <c r="M68" s="340" t="n">
        <v>220</v>
      </c>
      <c r="N68" s="340" t="n">
        <v>1151</v>
      </c>
      <c r="O68" s="340" t="n">
        <v>1126</v>
      </c>
      <c r="P68" s="340">
        <f>N68+O68</f>
        <v/>
      </c>
      <c r="Q68" s="340">
        <f>B68+SUM(E68:I68)+SUM(L68:M68)+P68</f>
        <v/>
      </c>
      <c r="R68" s="679" t="n"/>
    </row>
    <row r="69" ht="16" customHeight="1">
      <c r="A69" s="784" t="n">
        <v>44682</v>
      </c>
      <c r="B69" s="340" t="n">
        <v>6973</v>
      </c>
      <c r="C69" s="340" t="n">
        <v>7170</v>
      </c>
      <c r="D69" s="340" t="n">
        <v>1769</v>
      </c>
      <c r="E69" s="340">
        <f>(C69+D69)</f>
        <v/>
      </c>
      <c r="F69" s="340" t="n">
        <v>4356</v>
      </c>
      <c r="G69" s="340" t="n">
        <v>1248</v>
      </c>
      <c r="H69" s="340" t="n">
        <v>1170</v>
      </c>
      <c r="I69" s="340" t="n">
        <v>476</v>
      </c>
      <c r="J69" s="340" t="n">
        <v>1026</v>
      </c>
      <c r="K69" s="340" t="n">
        <v>645</v>
      </c>
      <c r="L69" s="340">
        <f>J69+K69</f>
        <v/>
      </c>
      <c r="M69" s="340" t="n">
        <v>381</v>
      </c>
      <c r="N69" s="340" t="n">
        <v>1186</v>
      </c>
      <c r="O69" s="340" t="n">
        <v>1062</v>
      </c>
      <c r="P69" s="340">
        <f>N69+O69</f>
        <v/>
      </c>
      <c r="Q69" s="340">
        <f>B69+SUM(E69:I69)+SUM(L69:M69)+P69</f>
        <v/>
      </c>
      <c r="R69" s="679" t="n"/>
    </row>
    <row r="70" ht="17" customHeight="1" thickBot="1">
      <c r="A70" s="785" t="n">
        <v>44713</v>
      </c>
      <c r="B70" s="510" t="n">
        <v>3331</v>
      </c>
      <c r="C70" s="510" t="n">
        <v>7588</v>
      </c>
      <c r="D70" s="510" t="n">
        <v>1395</v>
      </c>
      <c r="E70" s="510">
        <f>(C70+D70)</f>
        <v/>
      </c>
      <c r="F70" s="510" t="n">
        <v>3488</v>
      </c>
      <c r="G70" s="510" t="n">
        <v>1308</v>
      </c>
      <c r="H70" s="510" t="n">
        <v>801</v>
      </c>
      <c r="I70" s="510" t="n">
        <v>582</v>
      </c>
      <c r="J70" s="510" t="n">
        <v>1023</v>
      </c>
      <c r="K70" s="510" t="n">
        <v>720</v>
      </c>
      <c r="L70" s="510">
        <f>J70+K70</f>
        <v/>
      </c>
      <c r="M70" s="510" t="n">
        <v>657</v>
      </c>
      <c r="N70" s="510" t="n">
        <v>1001</v>
      </c>
      <c r="O70" s="510" t="n">
        <v>972</v>
      </c>
      <c r="P70" s="510">
        <f>N70+O70</f>
        <v/>
      </c>
      <c r="Q70" s="510">
        <f>B70+SUM(E70:I70)+SUM(L70:M70)+P70</f>
        <v/>
      </c>
      <c r="R70" s="786">
        <f>SUM(Q59:Q70)</f>
        <v/>
      </c>
      <c r="S70" s="5">
        <f>R70/365</f>
        <v/>
      </c>
      <c r="T70" s="5">
        <f>S70*0.9</f>
        <v/>
      </c>
    </row>
    <row r="71" ht="16" customHeight="1">
      <c r="A71" s="787" t="n">
        <v>44743</v>
      </c>
      <c r="B71" s="344" t="n">
        <v>3449</v>
      </c>
      <c r="C71" s="344" t="n">
        <v>9430</v>
      </c>
      <c r="D71" s="344" t="n">
        <v>1463</v>
      </c>
      <c r="E71" s="344">
        <f>(C71+D71)</f>
        <v/>
      </c>
      <c r="F71" s="344" t="n">
        <v>3526</v>
      </c>
      <c r="G71" s="344" t="n">
        <v>1270</v>
      </c>
      <c r="H71" s="344" t="n">
        <v>810</v>
      </c>
      <c r="I71" s="344" t="n">
        <v>804</v>
      </c>
      <c r="J71" s="344" t="n">
        <v>841</v>
      </c>
      <c r="K71" s="344" t="n">
        <v>716</v>
      </c>
      <c r="L71" s="344">
        <f>J71+K71</f>
        <v/>
      </c>
      <c r="M71" s="344" t="n">
        <v>936</v>
      </c>
      <c r="N71" s="344" t="n">
        <v>970</v>
      </c>
      <c r="O71" s="344" t="n">
        <v>961</v>
      </c>
      <c r="P71" s="344">
        <f>N71+O71</f>
        <v/>
      </c>
      <c r="Q71" s="344">
        <f>B71+SUM(E71:I71)+SUM(L71:M71)+P71</f>
        <v/>
      </c>
      <c r="R71" s="679" t="n"/>
    </row>
    <row r="72" ht="16" customHeight="1">
      <c r="A72" s="784" t="n">
        <v>44774</v>
      </c>
      <c r="B72" s="340" t="n">
        <v>4836</v>
      </c>
      <c r="C72" s="340" t="n">
        <v>9262</v>
      </c>
      <c r="D72" s="340" t="n">
        <v>1815</v>
      </c>
      <c r="E72" s="340">
        <f>(C72+D72)</f>
        <v/>
      </c>
      <c r="F72" s="340" t="n">
        <v>2985</v>
      </c>
      <c r="G72" s="340" t="n">
        <v>1248</v>
      </c>
      <c r="H72" s="340" t="n">
        <v>937</v>
      </c>
      <c r="I72" s="340" t="n">
        <v>827</v>
      </c>
      <c r="J72" s="340" t="n">
        <v>1025</v>
      </c>
      <c r="K72" s="340" t="n">
        <v>713</v>
      </c>
      <c r="L72" s="340">
        <f>J72+K72</f>
        <v/>
      </c>
      <c r="M72" s="340" t="n">
        <v>1091</v>
      </c>
      <c r="N72" s="340" t="n">
        <v>979</v>
      </c>
      <c r="O72" s="340" t="n">
        <v>942</v>
      </c>
      <c r="P72" s="340">
        <f>N72+O72</f>
        <v/>
      </c>
      <c r="Q72" s="340">
        <f>B72+SUM(E72:I72)+SUM(L72:M72)+P72</f>
        <v/>
      </c>
      <c r="R72" s="679" t="n"/>
    </row>
    <row r="73" ht="16" customHeight="1">
      <c r="A73" s="784" t="n">
        <v>44805</v>
      </c>
      <c r="B73" s="340" t="n">
        <v>10816</v>
      </c>
      <c r="C73" s="340" t="n">
        <v>9754</v>
      </c>
      <c r="D73" s="340" t="n">
        <v>1769</v>
      </c>
      <c r="E73" s="340">
        <f>(C73+D73)</f>
        <v/>
      </c>
      <c r="F73" s="340" t="n">
        <v>2506</v>
      </c>
      <c r="G73" s="340" t="n">
        <v>1224</v>
      </c>
      <c r="H73" s="340" t="n">
        <v>1034</v>
      </c>
      <c r="I73" s="340" t="n">
        <v>2337</v>
      </c>
      <c r="J73" s="340" t="n">
        <v>1118</v>
      </c>
      <c r="K73" s="340" t="n">
        <v>775</v>
      </c>
      <c r="L73" s="340">
        <f>J73+K73</f>
        <v/>
      </c>
      <c r="M73" s="340" t="n">
        <v>1322</v>
      </c>
      <c r="N73" s="340" t="n">
        <v>1760</v>
      </c>
      <c r="O73" s="340" t="n">
        <v>1204</v>
      </c>
      <c r="P73" s="340">
        <f>N73+O73</f>
        <v/>
      </c>
      <c r="Q73" s="340">
        <f>B73+SUM(E73:I73)+SUM(L73:M73)+P73</f>
        <v/>
      </c>
      <c r="R73" s="679" t="n"/>
    </row>
    <row r="74" ht="16" customHeight="1">
      <c r="A74" s="784" t="n">
        <v>44835</v>
      </c>
      <c r="B74" s="340" t="n">
        <v>14257</v>
      </c>
      <c r="C74" s="340" t="n">
        <v>10807</v>
      </c>
      <c r="D74" s="340" t="n">
        <v>1792</v>
      </c>
      <c r="E74" s="340">
        <f>(C74+D74)</f>
        <v/>
      </c>
      <c r="F74" s="340" t="n">
        <v>3218</v>
      </c>
      <c r="G74" s="340" t="n">
        <v>1091</v>
      </c>
      <c r="H74" s="340" t="n">
        <v>1106</v>
      </c>
      <c r="I74" s="340" t="n">
        <v>2337</v>
      </c>
      <c r="J74" s="340" t="n">
        <v>1136</v>
      </c>
      <c r="K74" s="340" t="n">
        <v>741</v>
      </c>
      <c r="L74" s="340">
        <f>J74+K74</f>
        <v/>
      </c>
      <c r="M74" s="340" t="n">
        <v>1089</v>
      </c>
      <c r="N74" s="340" t="n">
        <v>1227</v>
      </c>
      <c r="O74" s="340" t="n">
        <v>1050</v>
      </c>
      <c r="P74" s="340">
        <f>N74+O74</f>
        <v/>
      </c>
      <c r="Q74" s="340">
        <f>B74+SUM(E74:I74)+SUM(L74:M74)+P74</f>
        <v/>
      </c>
      <c r="R74" s="679" t="n"/>
    </row>
    <row r="75" ht="16" customHeight="1">
      <c r="A75" s="784" t="n">
        <v>44866</v>
      </c>
      <c r="B75" s="340" t="n">
        <v>14456</v>
      </c>
      <c r="C75" s="340" t="n">
        <v>13505</v>
      </c>
      <c r="D75" s="340" t="n">
        <v>2002</v>
      </c>
      <c r="E75" s="340">
        <f>(C75+D75)</f>
        <v/>
      </c>
      <c r="F75" s="340" t="n">
        <v>1953</v>
      </c>
      <c r="G75" s="340" t="n">
        <v>1076</v>
      </c>
      <c r="H75" s="340" t="n">
        <v>941</v>
      </c>
      <c r="I75" s="340" t="n">
        <v>3507</v>
      </c>
      <c r="J75" s="340" t="n">
        <v>808</v>
      </c>
      <c r="K75" s="340" t="n">
        <v>743</v>
      </c>
      <c r="L75" s="340">
        <f>J75+K75</f>
        <v/>
      </c>
      <c r="M75" s="340" t="n">
        <v>1116</v>
      </c>
      <c r="N75" s="340" t="n">
        <v>1166</v>
      </c>
      <c r="O75" s="340" t="n">
        <v>955</v>
      </c>
      <c r="P75" s="340">
        <f>N75+O75</f>
        <v/>
      </c>
      <c r="Q75" s="340">
        <f>B75+SUM(E75:I75)+SUM(L75:M75)+P75</f>
        <v/>
      </c>
      <c r="R75" s="679" t="n"/>
    </row>
    <row r="76" ht="16" customHeight="1">
      <c r="A76" s="784" t="n">
        <v>44896</v>
      </c>
      <c r="B76" s="340" t="n">
        <v>15710</v>
      </c>
      <c r="C76" s="340" t="n">
        <v>13300</v>
      </c>
      <c r="D76" s="340" t="n">
        <v>2630</v>
      </c>
      <c r="E76" s="340">
        <f>(C76+D76)</f>
        <v/>
      </c>
      <c r="F76" s="340" t="n">
        <v>1843</v>
      </c>
      <c r="G76" s="340" t="n">
        <v>1366</v>
      </c>
      <c r="H76" s="340" t="n">
        <v>1069</v>
      </c>
      <c r="I76" s="340" t="n">
        <v>2089</v>
      </c>
      <c r="J76" s="340" t="n">
        <v>1227</v>
      </c>
      <c r="K76" s="340" t="n">
        <v>827</v>
      </c>
      <c r="L76" s="340">
        <f>J76+K76</f>
        <v/>
      </c>
      <c r="M76" s="340" t="n">
        <v>1484</v>
      </c>
      <c r="N76" s="340" t="n">
        <v>1563</v>
      </c>
      <c r="O76" s="340" t="n">
        <v>1230</v>
      </c>
      <c r="P76" s="340">
        <f>N76+O76</f>
        <v/>
      </c>
      <c r="Q76" s="340">
        <f>B76+SUM(E76:I76)+SUM(L76:M76)+P76</f>
        <v/>
      </c>
      <c r="R76" s="679" t="n"/>
    </row>
    <row r="77" ht="16" customHeight="1">
      <c r="A77" s="784" t="n">
        <v>44927</v>
      </c>
      <c r="B77" s="340" t="n">
        <v>13455</v>
      </c>
      <c r="C77" s="340" t="n">
        <v>7867</v>
      </c>
      <c r="D77" s="340" t="n">
        <v>1633</v>
      </c>
      <c r="E77" s="340">
        <f>(C77+D77)</f>
        <v/>
      </c>
      <c r="F77" s="340" t="n">
        <v>2893</v>
      </c>
      <c r="G77" s="340" t="n">
        <v>1291</v>
      </c>
      <c r="H77" s="340" t="n">
        <v>993</v>
      </c>
      <c r="I77" s="340" t="n">
        <v>1108</v>
      </c>
      <c r="J77" s="340" t="n">
        <v>812</v>
      </c>
      <c r="K77" s="340" t="n">
        <v>774</v>
      </c>
      <c r="L77" s="340">
        <f>J77+K77</f>
        <v/>
      </c>
      <c r="M77" s="340" t="n">
        <v>1144</v>
      </c>
      <c r="N77" s="340" t="n">
        <v>1287</v>
      </c>
      <c r="O77" s="340" t="n">
        <v>1150</v>
      </c>
      <c r="P77" s="340">
        <f>N77+O77</f>
        <v/>
      </c>
      <c r="Q77" s="340">
        <f>B77+SUM(E77:I77)+SUM(L77:M77)+P77</f>
        <v/>
      </c>
      <c r="R77" s="679" t="n"/>
    </row>
    <row r="78" ht="16" customHeight="1">
      <c r="A78" s="784" t="n">
        <v>44958</v>
      </c>
      <c r="B78" s="340" t="n">
        <v>8271</v>
      </c>
      <c r="C78" s="340" t="n">
        <v>6764</v>
      </c>
      <c r="D78" s="340" t="n">
        <v>2252</v>
      </c>
      <c r="E78" s="340">
        <f>(C78+D78)</f>
        <v/>
      </c>
      <c r="F78" s="340" t="n">
        <v>3334</v>
      </c>
      <c r="G78" s="340" t="n">
        <v>1219</v>
      </c>
      <c r="H78" s="340" t="n">
        <v>779</v>
      </c>
      <c r="I78" s="340" t="n">
        <v>1223</v>
      </c>
      <c r="J78" s="340" t="n">
        <v>773</v>
      </c>
      <c r="K78" s="340" t="n">
        <v>698</v>
      </c>
      <c r="L78" s="340">
        <f>J78+K78</f>
        <v/>
      </c>
      <c r="M78" s="340" t="n">
        <v>1292</v>
      </c>
      <c r="N78" s="340" t="n">
        <v>1024</v>
      </c>
      <c r="O78" s="340" t="n">
        <v>924</v>
      </c>
      <c r="P78" s="340">
        <f>N78+O78</f>
        <v/>
      </c>
      <c r="Q78" s="340">
        <f>B78+SUM(E78:I78)+SUM(L78:M78)+P78</f>
        <v/>
      </c>
      <c r="R78" s="679" t="n"/>
    </row>
    <row r="79" ht="16" customHeight="1">
      <c r="A79" s="784" t="n">
        <v>44986</v>
      </c>
      <c r="B79" s="340" t="n">
        <v>11401</v>
      </c>
      <c r="C79" s="340" t="n">
        <v>7565</v>
      </c>
      <c r="D79" s="340" t="n">
        <v>3044</v>
      </c>
      <c r="E79" s="340">
        <f>(C79+D79)</f>
        <v/>
      </c>
      <c r="F79" s="340" t="n">
        <v>3640</v>
      </c>
      <c r="G79" s="340" t="n">
        <v>1310</v>
      </c>
      <c r="H79" s="340" t="n">
        <v>892</v>
      </c>
      <c r="I79" s="340" t="n">
        <v>1465</v>
      </c>
      <c r="J79" s="340" t="n">
        <v>898</v>
      </c>
      <c r="K79" s="340" t="n">
        <v>783</v>
      </c>
      <c r="L79" s="340">
        <f>J79+K79</f>
        <v/>
      </c>
      <c r="M79" s="340" t="n">
        <v>1366</v>
      </c>
      <c r="N79" s="340" t="n">
        <v>1764</v>
      </c>
      <c r="O79" s="340" t="n">
        <v>1059</v>
      </c>
      <c r="P79" s="340">
        <f>N79+O79</f>
        <v/>
      </c>
      <c r="Q79" s="340">
        <f>B79+SUM(E79:I79)+SUM(L79:M79)+P79</f>
        <v/>
      </c>
      <c r="R79" s="679" t="n"/>
    </row>
    <row r="80" ht="16" customHeight="1">
      <c r="A80" s="784" t="n">
        <v>45017</v>
      </c>
      <c r="B80" s="340" t="n">
        <v>15479</v>
      </c>
      <c r="C80" s="340" t="n">
        <v>8123</v>
      </c>
      <c r="D80" s="340" t="n">
        <v>2949</v>
      </c>
      <c r="E80" s="340">
        <f>(C80+D80)</f>
        <v/>
      </c>
      <c r="F80" s="340" t="n">
        <v>3492</v>
      </c>
      <c r="G80" s="340" t="n">
        <v>1411</v>
      </c>
      <c r="H80" s="340" t="n">
        <v>1048</v>
      </c>
      <c r="I80" s="340" t="n">
        <v>1577</v>
      </c>
      <c r="J80" s="340" t="n">
        <v>1103</v>
      </c>
      <c r="K80" s="340" t="n">
        <v>684</v>
      </c>
      <c r="L80" s="340">
        <f>J80+K80</f>
        <v/>
      </c>
      <c r="M80" s="340" t="n">
        <v>1342</v>
      </c>
      <c r="N80" s="340" t="n">
        <v>1648.5</v>
      </c>
      <c r="O80" s="340" t="n">
        <v>954</v>
      </c>
      <c r="P80" s="340">
        <f>N80+O80</f>
        <v/>
      </c>
      <c r="Q80" s="340">
        <f>B80+SUM(E80:I80)+SUM(L80:M80)+P80</f>
        <v/>
      </c>
      <c r="R80" s="679" t="n"/>
    </row>
    <row r="81" ht="16" customHeight="1">
      <c r="A81" s="784" t="n">
        <v>45047</v>
      </c>
      <c r="B81" s="340" t="n">
        <v>14653</v>
      </c>
      <c r="C81" s="15" t="n">
        <v>8999</v>
      </c>
      <c r="D81" s="15" t="n">
        <v>2871</v>
      </c>
      <c r="E81" s="340">
        <f>(C81+D81)</f>
        <v/>
      </c>
      <c r="F81" s="340" t="n">
        <v>2166</v>
      </c>
      <c r="G81" s="340" t="n">
        <v>1636</v>
      </c>
      <c r="H81" s="340" t="n">
        <v>1127</v>
      </c>
      <c r="I81" s="340" t="n">
        <v>2063</v>
      </c>
      <c r="J81" s="340" t="n">
        <v>1068</v>
      </c>
      <c r="K81" s="340" t="n">
        <v>616</v>
      </c>
      <c r="L81" s="340">
        <f>J81+K81</f>
        <v/>
      </c>
      <c r="M81" s="340" t="n">
        <v>1642</v>
      </c>
      <c r="N81" s="340" t="n">
        <v>2110</v>
      </c>
      <c r="O81" s="340" t="n">
        <v>833</v>
      </c>
      <c r="P81" s="340">
        <f>N81+O81</f>
        <v/>
      </c>
      <c r="Q81" s="340">
        <f>B81+SUM(E81:I81)+SUM(L81:M81)+P81</f>
        <v/>
      </c>
      <c r="R81" s="679" t="n"/>
    </row>
    <row r="82" ht="17" customHeight="1" thickBot="1">
      <c r="A82" s="785" t="n">
        <v>45078</v>
      </c>
      <c r="B82" s="510">
        <f>4156+9925</f>
        <v/>
      </c>
      <c r="C82" s="510" t="n">
        <v>8465</v>
      </c>
      <c r="D82" s="510" t="n">
        <v>2788</v>
      </c>
      <c r="E82" s="510">
        <f>(C82+D82)</f>
        <v/>
      </c>
      <c r="F82" s="510" t="n">
        <v>2130</v>
      </c>
      <c r="G82" s="510" t="n">
        <v>1685</v>
      </c>
      <c r="H82" s="510" t="n">
        <v>1303</v>
      </c>
      <c r="I82" s="510" t="n">
        <v>2420</v>
      </c>
      <c r="J82" s="510" t="n">
        <v>1158</v>
      </c>
      <c r="K82" s="510" t="n">
        <v>591</v>
      </c>
      <c r="L82" s="510">
        <f>J82+K82</f>
        <v/>
      </c>
      <c r="M82" s="510" t="n">
        <v>1746</v>
      </c>
      <c r="N82" s="510" t="n">
        <v>2087.6</v>
      </c>
      <c r="O82" s="510">
        <f>798+897</f>
        <v/>
      </c>
      <c r="P82" s="510">
        <f>N82+O82</f>
        <v/>
      </c>
      <c r="Q82" s="510">
        <f>B82+SUM(E82:I82)+SUM(L82:M82)+P82</f>
        <v/>
      </c>
      <c r="R82" s="786">
        <f>SUM(Q71:Q82)</f>
        <v/>
      </c>
      <c r="S82" s="5">
        <f>R82/365</f>
        <v/>
      </c>
      <c r="T82" s="5">
        <f>S82*0.9</f>
        <v/>
      </c>
    </row>
    <row r="83" ht="16" customHeight="1">
      <c r="A83" s="787" t="n">
        <v>45108</v>
      </c>
      <c r="B83" s="507" t="n">
        <v>7456</v>
      </c>
      <c r="C83" s="507" t="n"/>
      <c r="D83" s="507" t="n"/>
      <c r="E83" s="463" t="n">
        <v>7333.6</v>
      </c>
      <c r="F83" s="507" t="n">
        <v>1940.5</v>
      </c>
      <c r="G83" s="507" t="n">
        <v>1322.5</v>
      </c>
      <c r="H83" s="507" t="n">
        <v>427.5</v>
      </c>
      <c r="I83" s="507" t="n">
        <v>1793.5</v>
      </c>
      <c r="J83" s="507" t="n"/>
      <c r="K83" s="507" t="n"/>
      <c r="L83" s="348" t="n">
        <v>0</v>
      </c>
      <c r="M83" s="507" t="n">
        <v>738.5</v>
      </c>
      <c r="N83" s="507" t="n">
        <v>2185.4</v>
      </c>
      <c r="O83" s="507" t="n"/>
      <c r="P83" s="344">
        <f>SUM(N83:O83)+99</f>
        <v/>
      </c>
      <c r="Q83" s="344">
        <f>B83+SUM(E83:I83)+SUM(L83:M83)+P83</f>
        <v/>
      </c>
      <c r="R83" s="679" t="n"/>
    </row>
    <row r="84" ht="16" customHeight="1">
      <c r="A84" s="784" t="n">
        <v>45139</v>
      </c>
      <c r="B84" s="345">
        <f>10135</f>
        <v/>
      </c>
      <c r="C84" s="345" t="n"/>
      <c r="D84" s="345" t="n"/>
      <c r="E84" s="346" t="n">
        <v>10227.8</v>
      </c>
      <c r="F84" s="345" t="n">
        <v>1272</v>
      </c>
      <c r="G84" s="345" t="n">
        <v>1102</v>
      </c>
      <c r="H84" s="345" t="n">
        <v>456</v>
      </c>
      <c r="I84" s="345" t="n">
        <v>2079</v>
      </c>
      <c r="J84" s="345" t="n"/>
      <c r="K84" s="345" t="n"/>
      <c r="L84" s="346" t="n">
        <v>123</v>
      </c>
      <c r="M84" s="345" t="n">
        <v>589.6</v>
      </c>
      <c r="N84" s="345" t="n">
        <v>2150.1</v>
      </c>
      <c r="O84" s="345" t="n"/>
      <c r="P84" s="340">
        <f>SUM(N84:O84)+56</f>
        <v/>
      </c>
      <c r="Q84" s="340">
        <f>B84+SUM(E84:I84)+SUM(L84:M84)+P84</f>
        <v/>
      </c>
      <c r="R84" s="679" t="n"/>
    </row>
    <row r="85" ht="16" customHeight="1">
      <c r="A85" s="784" t="n">
        <v>45192</v>
      </c>
      <c r="B85" s="345" t="n">
        <v>10338</v>
      </c>
      <c r="C85" s="345" t="n"/>
      <c r="D85" s="345" t="n"/>
      <c r="E85" s="346" t="n">
        <v>11338.2</v>
      </c>
      <c r="F85" s="345" t="n">
        <v>464.9</v>
      </c>
      <c r="G85" s="345" t="n">
        <v>1964.4</v>
      </c>
      <c r="H85" s="345" t="n">
        <v>628</v>
      </c>
      <c r="I85" s="345" t="n">
        <v>2438.7</v>
      </c>
      <c r="J85" s="345" t="n"/>
      <c r="K85" s="345" t="n"/>
      <c r="L85" s="346" t="n">
        <v>525.9</v>
      </c>
      <c r="M85" s="345" t="n">
        <v>530.6</v>
      </c>
      <c r="N85" s="345" t="n">
        <v>2013.8</v>
      </c>
      <c r="O85" s="345" t="n"/>
      <c r="P85" s="340">
        <f>SUM(N85:O85)+144.5</f>
        <v/>
      </c>
      <c r="Q85" s="340">
        <f>B85+SUM(E85:I85)+SUM(L85:M85)+P85</f>
        <v/>
      </c>
      <c r="R85" s="679" t="n"/>
    </row>
    <row r="86" ht="16" customHeight="1">
      <c r="A86" s="784" t="n">
        <v>45222</v>
      </c>
      <c r="B86" s="346" t="n">
        <v>10324.6</v>
      </c>
      <c r="C86" s="345" t="n"/>
      <c r="D86" s="345" t="n"/>
      <c r="E86" s="346" t="n">
        <v>10794.8</v>
      </c>
      <c r="F86" s="346" t="n">
        <v>1523</v>
      </c>
      <c r="G86" s="346" t="n">
        <v>1648.9</v>
      </c>
      <c r="H86" s="345" t="n">
        <v>410.9</v>
      </c>
      <c r="I86" s="345" t="n">
        <v>2014.9</v>
      </c>
      <c r="J86" s="345" t="n"/>
      <c r="K86" s="345" t="n"/>
      <c r="L86" s="345">
        <f>435.4+41.4</f>
        <v/>
      </c>
      <c r="M86" s="345" t="n">
        <v>564</v>
      </c>
      <c r="N86" s="345" t="n">
        <v>2241.6</v>
      </c>
      <c r="O86" s="345" t="n"/>
      <c r="P86" s="340">
        <f>SUM(N86:O86)+157</f>
        <v/>
      </c>
      <c r="Q86" s="340">
        <f>B86+SUM(E86:I86)+SUM(L86:M86)+P86</f>
        <v/>
      </c>
      <c r="R86" s="679" t="n"/>
    </row>
    <row r="87" ht="15" customHeight="1">
      <c r="A87" s="784" t="n">
        <v>45253</v>
      </c>
      <c r="B87" s="346" t="n">
        <v>14389.8</v>
      </c>
      <c r="C87" s="346" t="n"/>
      <c r="D87" s="346" t="n"/>
      <c r="E87" s="346" t="n">
        <v>17059.3</v>
      </c>
      <c r="F87" s="346" t="n">
        <v>797.5</v>
      </c>
      <c r="G87" s="346" t="n">
        <v>2422</v>
      </c>
      <c r="H87" s="346" t="n">
        <v>545.8</v>
      </c>
      <c r="I87" s="346" t="n">
        <v>3703.9</v>
      </c>
      <c r="J87" s="346" t="n"/>
      <c r="K87" s="346" t="n"/>
      <c r="L87" s="346" t="n">
        <v>770.6</v>
      </c>
      <c r="M87" s="346" t="n">
        <v>650.6</v>
      </c>
      <c r="N87" s="346" t="n">
        <v>2147.6</v>
      </c>
      <c r="O87" s="346" t="n"/>
      <c r="P87" s="346" t="n">
        <v>2276.4</v>
      </c>
      <c r="Q87" s="340">
        <f>B87+SUM(E87:I87)+SUM(L87:M87)+P87</f>
        <v/>
      </c>
      <c r="R87" s="679" t="n"/>
    </row>
    <row r="88" ht="15" customHeight="1">
      <c r="A88" s="784" t="n">
        <v>45283</v>
      </c>
      <c r="B88" s="346" t="n">
        <v>13139.5</v>
      </c>
      <c r="C88" s="346" t="n"/>
      <c r="D88" s="346" t="n"/>
      <c r="E88" s="346" t="n">
        <v>12822.3</v>
      </c>
      <c r="F88" s="346" t="n">
        <v>714.5</v>
      </c>
      <c r="G88" s="346" t="n">
        <v>1756.1</v>
      </c>
      <c r="H88" s="346" t="n">
        <v>746.4</v>
      </c>
      <c r="I88" s="346" t="n">
        <v>2987.4</v>
      </c>
      <c r="J88" s="346" t="n"/>
      <c r="K88" s="346" t="n"/>
      <c r="L88" s="346" t="n">
        <v>490.1</v>
      </c>
      <c r="M88" s="346" t="n">
        <v>796.8</v>
      </c>
      <c r="N88" s="346" t="n">
        <v>2069.9</v>
      </c>
      <c r="O88" s="346" t="n"/>
      <c r="P88" s="346" t="n">
        <v>2240.2</v>
      </c>
      <c r="Q88" s="340">
        <f>B88+SUM(E88:I88)+SUM(L88:M88)+P88</f>
        <v/>
      </c>
      <c r="R88" s="679" t="n"/>
    </row>
    <row r="89" ht="15" customHeight="1">
      <c r="A89" s="784" t="n">
        <v>45314</v>
      </c>
      <c r="B89" s="346" t="n">
        <v>10440.2</v>
      </c>
      <c r="C89" s="346" t="n"/>
      <c r="D89" s="346" t="n"/>
      <c r="E89" s="346" t="n">
        <v>10518.7</v>
      </c>
      <c r="F89" s="346" t="n">
        <v>549.9</v>
      </c>
      <c r="G89" s="346" t="n">
        <v>1402.4</v>
      </c>
      <c r="H89" s="346" t="n">
        <v>413.5</v>
      </c>
      <c r="I89" s="346" t="n">
        <v>2540.4</v>
      </c>
      <c r="J89" s="346" t="n"/>
      <c r="K89" s="346" t="n"/>
      <c r="L89" s="346" t="n">
        <v>221.8</v>
      </c>
      <c r="M89" s="346" t="n">
        <v>870.1</v>
      </c>
      <c r="N89" s="346" t="n"/>
      <c r="O89" s="346" t="n"/>
      <c r="P89" s="346" t="n">
        <v>2420.9</v>
      </c>
      <c r="Q89" s="340">
        <f>B89+SUM(E89:I89)+SUM(L89:M89)+P89</f>
        <v/>
      </c>
      <c r="R89" s="679" t="n"/>
    </row>
    <row r="90" ht="15" customHeight="1">
      <c r="A90" s="784" t="n">
        <v>45345</v>
      </c>
      <c r="B90" s="346" t="n">
        <v>13343</v>
      </c>
      <c r="C90" s="346" t="n"/>
      <c r="D90" s="346" t="n"/>
      <c r="E90" s="346" t="n">
        <v>12271.5</v>
      </c>
      <c r="F90" s="346" t="n">
        <v>372.5</v>
      </c>
      <c r="G90" s="346" t="n">
        <v>2301.4</v>
      </c>
      <c r="H90" s="346" t="n">
        <v>438.2</v>
      </c>
      <c r="I90" s="346" t="n">
        <v>2848.4</v>
      </c>
      <c r="J90" s="346" t="n"/>
      <c r="K90" s="346" t="n"/>
      <c r="L90" s="346" t="n">
        <v>612</v>
      </c>
      <c r="M90" s="346" t="n">
        <v>790.2</v>
      </c>
      <c r="N90" s="346" t="n"/>
      <c r="O90" s="346" t="n"/>
      <c r="P90" s="346" t="n">
        <v>2675.4</v>
      </c>
      <c r="Q90" s="340">
        <f>B90+SUM(E90:I90)+SUM(L90:M90)+P90</f>
        <v/>
      </c>
      <c r="R90" s="679" t="n"/>
    </row>
    <row r="91" ht="15" customHeight="1">
      <c r="A91" s="784" t="n">
        <v>45374</v>
      </c>
      <c r="B91" s="346" t="n">
        <v>16211.6</v>
      </c>
      <c r="C91" s="346" t="n"/>
      <c r="D91" s="346" t="n"/>
      <c r="E91" s="346" t="n">
        <v>15475.8</v>
      </c>
      <c r="F91" s="346" t="n">
        <v>384.1</v>
      </c>
      <c r="G91" s="346" t="n">
        <v>2645.1</v>
      </c>
      <c r="H91" s="346" t="n">
        <v>504.3</v>
      </c>
      <c r="I91" s="346" t="n">
        <v>3490.9</v>
      </c>
      <c r="J91" s="346" t="n"/>
      <c r="K91" s="346" t="n"/>
      <c r="L91" s="346" t="n">
        <v>733.1</v>
      </c>
      <c r="M91" s="346" t="n">
        <v>947</v>
      </c>
      <c r="N91" s="346" t="n"/>
      <c r="O91" s="346" t="n"/>
      <c r="P91" s="346" t="n">
        <v>3118.9</v>
      </c>
      <c r="Q91" s="340">
        <f>B91+SUM(E91:I91)+SUM(L91:M91)+P91</f>
        <v/>
      </c>
      <c r="R91" s="679" t="n"/>
    </row>
    <row r="92" ht="15" customHeight="1">
      <c r="A92" s="784" t="n">
        <v>45405</v>
      </c>
      <c r="B92" s="346" t="n">
        <v>14442.9</v>
      </c>
      <c r="C92" s="346" t="n"/>
      <c r="D92" s="346" t="n"/>
      <c r="E92" s="346" t="n">
        <v>14528.1</v>
      </c>
      <c r="F92" s="346" t="n">
        <v>462.4</v>
      </c>
      <c r="G92" s="346" t="n">
        <v>2136.4</v>
      </c>
      <c r="H92" s="346" t="n">
        <v>361.5</v>
      </c>
      <c r="I92" s="346" t="n">
        <v>3084.1</v>
      </c>
      <c r="J92" s="346" t="n"/>
      <c r="K92" s="346" t="n"/>
      <c r="L92" s="346" t="n">
        <v>601.2</v>
      </c>
      <c r="M92" s="346" t="n">
        <v>744.9</v>
      </c>
      <c r="N92" s="346" t="n"/>
      <c r="O92" s="346" t="n"/>
      <c r="P92" s="346" t="n">
        <v>3239.5</v>
      </c>
      <c r="Q92" s="340">
        <f>B92+SUM(E92:I92)+SUM(L92:M92)+P92</f>
        <v/>
      </c>
      <c r="R92" s="679" t="n"/>
    </row>
    <row r="93" ht="15" customHeight="1">
      <c r="A93" s="784" t="n">
        <v>45435</v>
      </c>
      <c r="B93" s="346" t="n">
        <v>15427.9</v>
      </c>
      <c r="C93" s="346" t="n"/>
      <c r="D93" s="346" t="n"/>
      <c r="E93" s="346" t="n">
        <v>14693.7</v>
      </c>
      <c r="F93" s="346" t="n">
        <v>495.5</v>
      </c>
      <c r="G93" s="346" t="n">
        <v>2215.9</v>
      </c>
      <c r="H93" s="346" t="n">
        <v>576.4</v>
      </c>
      <c r="I93" s="346" t="n">
        <v>2978.3</v>
      </c>
      <c r="J93" s="346" t="n"/>
      <c r="K93" s="346" t="n"/>
      <c r="L93" s="346" t="n">
        <v>590</v>
      </c>
      <c r="M93" s="346" t="n">
        <v>894</v>
      </c>
      <c r="N93" s="346" t="n"/>
      <c r="O93" s="346" t="n"/>
      <c r="P93" s="346" t="n">
        <v>3033.6</v>
      </c>
      <c r="Q93" s="340">
        <f>B93+SUM(E93:I93)+SUM(L93:M93)+P93</f>
        <v/>
      </c>
      <c r="R93" s="679" t="n"/>
    </row>
    <row r="94" ht="15" customHeight="1" thickBot="1">
      <c r="A94" s="785" t="n">
        <v>45466</v>
      </c>
      <c r="B94" s="512" t="n">
        <v>11557.2</v>
      </c>
      <c r="C94" s="512" t="n"/>
      <c r="D94" s="512" t="n"/>
      <c r="E94" s="512" t="n">
        <v>9417.700000000001</v>
      </c>
      <c r="F94" s="512" t="n">
        <v>586</v>
      </c>
      <c r="G94" s="512" t="n">
        <v>1702.6</v>
      </c>
      <c r="H94" s="512" t="n">
        <v>503.8</v>
      </c>
      <c r="I94" s="512" t="n">
        <v>2130.4</v>
      </c>
      <c r="J94" s="512" t="n"/>
      <c r="K94" s="512" t="n"/>
      <c r="L94" s="512" t="n">
        <v>208.2</v>
      </c>
      <c r="M94" s="512" t="n">
        <v>920</v>
      </c>
      <c r="N94" s="512" t="n"/>
      <c r="O94" s="512" t="n"/>
      <c r="P94" s="512" t="n">
        <v>3034.1</v>
      </c>
      <c r="Q94" s="510">
        <f>B94+SUM(E94:I94)+SUM(L94:M94)+P94</f>
        <v/>
      </c>
      <c r="R94" s="786">
        <f>SUM(Q83:Q94)</f>
        <v/>
      </c>
      <c r="S94" s="5">
        <f>R94/365</f>
        <v/>
      </c>
      <c r="T94" s="5">
        <f>S94*0.9</f>
        <v/>
      </c>
    </row>
    <row r="95" ht="15" customHeight="1">
      <c r="A95" s="787" t="n">
        <v>45496</v>
      </c>
      <c r="B95" s="463" t="n">
        <v>12616.3</v>
      </c>
      <c r="C95" s="463" t="n"/>
      <c r="D95" s="463" t="n"/>
      <c r="E95" s="463" t="n">
        <v>12850.5</v>
      </c>
      <c r="F95" s="463" t="n">
        <v>644.6</v>
      </c>
      <c r="G95" s="463" t="n">
        <v>1284.7</v>
      </c>
      <c r="H95" s="463" t="n">
        <v>425.3</v>
      </c>
      <c r="I95" s="463" t="n">
        <v>2178.2</v>
      </c>
      <c r="J95" s="463" t="n"/>
      <c r="K95" s="463" t="n"/>
      <c r="L95" s="463" t="n">
        <v>239.8</v>
      </c>
      <c r="M95" s="463" t="n">
        <v>734.1</v>
      </c>
      <c r="N95" s="463" t="n"/>
      <c r="O95" s="463" t="n"/>
      <c r="P95" s="463" t="n">
        <v>3135.3</v>
      </c>
      <c r="Q95" s="463">
        <f>B95+SUM(E95:I95)+SUM(L95:M95)+P95</f>
        <v/>
      </c>
      <c r="R95" s="679" t="n"/>
      <c r="S95" s="788" t="n"/>
    </row>
    <row r="96" ht="15" customHeight="1">
      <c r="A96" s="784" t="n">
        <v>45527</v>
      </c>
      <c r="B96" s="15" t="n">
        <v>13470.8</v>
      </c>
      <c r="C96" s="347" t="n"/>
      <c r="D96" s="347" t="n"/>
      <c r="E96" s="15" t="n">
        <v>13539.6</v>
      </c>
      <c r="F96" s="15" t="n">
        <v>406.6</v>
      </c>
      <c r="G96" s="15" t="n">
        <v>1969.5</v>
      </c>
      <c r="H96" s="15" t="n">
        <v>430.9</v>
      </c>
      <c r="I96" s="15" t="n">
        <v>2499.5</v>
      </c>
      <c r="J96" s="347" t="n"/>
      <c r="K96" s="347" t="n"/>
      <c r="L96" s="15" t="n">
        <v>309.3</v>
      </c>
      <c r="M96" s="15" t="n">
        <v>749.4</v>
      </c>
      <c r="N96" s="347" t="n"/>
      <c r="O96" s="347" t="n"/>
      <c r="P96" s="346" t="n">
        <v>3219.9</v>
      </c>
      <c r="Q96" s="346">
        <f>B96+SUM(E96:I96)+SUM(L96:M96)+P96</f>
        <v/>
      </c>
      <c r="R96" s="679" t="n"/>
    </row>
    <row r="97" ht="15" customHeight="1">
      <c r="A97" s="784" t="n">
        <v>45558</v>
      </c>
      <c r="B97" s="346" t="n">
        <v>15432.9</v>
      </c>
      <c r="C97" s="346" t="n"/>
      <c r="D97" s="346" t="n"/>
      <c r="E97" s="346" t="n">
        <v>19435.4</v>
      </c>
      <c r="F97" s="346" t="n">
        <v>414.7</v>
      </c>
      <c r="G97" s="346" t="n">
        <v>2528.6</v>
      </c>
      <c r="H97" s="346" t="n">
        <v>437.8</v>
      </c>
      <c r="I97" s="346" t="n">
        <v>3537.8</v>
      </c>
      <c r="J97" s="346" t="n"/>
      <c r="K97" s="346" t="n"/>
      <c r="L97" s="346" t="n">
        <v>568.1</v>
      </c>
      <c r="M97" s="346" t="n">
        <v>843.4</v>
      </c>
      <c r="N97" s="346" t="n"/>
      <c r="O97" s="346" t="n"/>
      <c r="P97" s="346" t="n">
        <v>2913</v>
      </c>
      <c r="Q97" s="346">
        <f>B97+SUM(E97:I97)+SUM(L97:M97)+P97</f>
        <v/>
      </c>
      <c r="R97" s="679" t="n"/>
    </row>
    <row r="98" ht="15" customHeight="1">
      <c r="A98" s="784" t="n">
        <v>45588</v>
      </c>
      <c r="B98" s="346" t="n">
        <v>17066.9</v>
      </c>
      <c r="C98" s="346" t="n"/>
      <c r="D98" s="346" t="n"/>
      <c r="E98" s="346" t="n">
        <v>21511.2</v>
      </c>
      <c r="F98" s="346" t="n">
        <v>340.3</v>
      </c>
      <c r="G98" s="346" t="n">
        <v>3013.3</v>
      </c>
      <c r="H98" s="346" t="n">
        <v>339.2</v>
      </c>
      <c r="I98" s="346" t="n">
        <v>3904.1</v>
      </c>
      <c r="J98" s="346" t="n"/>
      <c r="K98" s="346" t="n"/>
      <c r="L98" s="346" t="n">
        <v>672.3</v>
      </c>
      <c r="M98" s="346" t="n">
        <v>996.4</v>
      </c>
      <c r="N98" s="346" t="n"/>
      <c r="O98" s="346" t="n"/>
      <c r="P98" s="346" t="n">
        <v>2698.5</v>
      </c>
      <c r="Q98" s="346">
        <f>B98+SUM(E98:I98)+SUM(L98:M98)+P98</f>
        <v/>
      </c>
    </row>
    <row r="99" ht="15" customHeight="1">
      <c r="A99" s="784" t="n">
        <v>45619</v>
      </c>
      <c r="B99" s="346" t="n">
        <v>17036.9</v>
      </c>
      <c r="C99" s="346" t="n"/>
      <c r="D99" s="346" t="n"/>
      <c r="E99" s="346" t="n">
        <v>21337.2</v>
      </c>
      <c r="F99" s="346" t="n">
        <v>276.4</v>
      </c>
      <c r="G99" s="346" t="n">
        <v>3075.9</v>
      </c>
      <c r="H99" s="346" t="n">
        <v>597.3</v>
      </c>
      <c r="I99" s="346" t="n">
        <v>3829.2</v>
      </c>
      <c r="J99" s="346" t="n"/>
      <c r="K99" s="346" t="n"/>
      <c r="L99" s="346" t="n">
        <v>640</v>
      </c>
      <c r="M99" s="346" t="n">
        <v>1211.5</v>
      </c>
      <c r="N99" s="346" t="n"/>
      <c r="O99" s="346" t="n"/>
      <c r="P99" s="346" t="n">
        <v>2738</v>
      </c>
      <c r="Q99" s="346">
        <f>B99+SUM(E99:I99)+SUM(L99:M99)+P99</f>
        <v/>
      </c>
    </row>
    <row r="100" ht="15" customHeight="1">
      <c r="A100" s="784" t="n">
        <v>45649</v>
      </c>
      <c r="B100" s="346" t="n">
        <v>14307.6</v>
      </c>
      <c r="C100" s="346" t="n"/>
      <c r="D100" s="346" t="n"/>
      <c r="E100" s="346" t="n">
        <v>18821.3</v>
      </c>
      <c r="F100" s="346" t="n">
        <v>409.8</v>
      </c>
      <c r="G100" s="346" t="n">
        <v>1746.9</v>
      </c>
      <c r="H100" s="346" t="n">
        <v>558.5</v>
      </c>
      <c r="I100" s="346" t="n">
        <v>2897</v>
      </c>
      <c r="J100" s="346" t="n"/>
      <c r="K100" s="346" t="n"/>
      <c r="L100" s="679" t="n">
        <v>435.6</v>
      </c>
      <c r="M100" s="346" t="n">
        <v>1199.3</v>
      </c>
      <c r="N100" s="346" t="n"/>
      <c r="O100" s="346" t="n"/>
      <c r="P100" s="346" t="n">
        <v>2401</v>
      </c>
      <c r="Q100" s="346">
        <f>B100+SUM(E100:I100)+SUM(L100:M100)+P100</f>
        <v/>
      </c>
    </row>
    <row r="101" ht="15" customHeight="1">
      <c r="A101" s="784" t="n">
        <v>45680</v>
      </c>
      <c r="B101" s="346" t="n">
        <v>11380</v>
      </c>
      <c r="C101" s="346" t="n"/>
      <c r="D101" s="346" t="n"/>
      <c r="E101" s="346" t="n">
        <v>12982.1</v>
      </c>
      <c r="F101" s="346" t="n">
        <v>422.8</v>
      </c>
      <c r="G101" s="346" t="n">
        <v>1253</v>
      </c>
      <c r="H101" s="346" t="n">
        <v>292.3</v>
      </c>
      <c r="I101" s="346" t="n">
        <v>2142.1</v>
      </c>
      <c r="J101" s="346" t="n"/>
      <c r="K101" s="346" t="n"/>
      <c r="L101" s="346" t="n">
        <v>193.4</v>
      </c>
      <c r="M101" s="346" t="n">
        <v>871.4</v>
      </c>
      <c r="N101" s="346" t="n"/>
      <c r="O101" s="346" t="n"/>
      <c r="P101" s="346" t="n">
        <v>2517.9</v>
      </c>
      <c r="Q101" s="346">
        <f>B101+SUM(E101:I101)+SUM(L101:M101)+P101</f>
        <v/>
      </c>
    </row>
    <row r="102" ht="15" customHeight="1">
      <c r="A102" s="784" t="n">
        <v>45711</v>
      </c>
      <c r="B102" s="346" t="n">
        <v>14291.7</v>
      </c>
      <c r="C102" s="346" t="n"/>
      <c r="D102" s="346" t="n"/>
      <c r="E102" s="346" t="n">
        <v>17364</v>
      </c>
      <c r="F102" s="346" t="n">
        <v>291</v>
      </c>
      <c r="G102" s="346" t="n">
        <v>2200.1</v>
      </c>
      <c r="H102" s="346" t="n">
        <v>521.3</v>
      </c>
      <c r="I102" s="346" t="n">
        <v>3128.6</v>
      </c>
      <c r="J102" s="346" t="n"/>
      <c r="K102" s="346" t="n"/>
      <c r="L102" s="346" t="n">
        <v>533.9</v>
      </c>
      <c r="M102" s="346" t="n">
        <v>820.9</v>
      </c>
      <c r="N102" s="346" t="n"/>
      <c r="O102" s="346" t="n"/>
      <c r="P102" s="346" t="n">
        <v>2421.8</v>
      </c>
      <c r="Q102" s="346">
        <f>B102+SUM(E102:I102)+SUM(L102:M102)+P102</f>
        <v/>
      </c>
    </row>
    <row r="103" ht="15" customHeight="1">
      <c r="A103" s="784" t="n">
        <v>45739</v>
      </c>
      <c r="B103" s="346" t="n">
        <v>16689.5</v>
      </c>
      <c r="C103" s="346" t="n"/>
      <c r="D103" s="346" t="n"/>
      <c r="E103" s="346" t="n">
        <v>20873.5</v>
      </c>
      <c r="F103" s="346" t="n">
        <v>217.9</v>
      </c>
      <c r="G103" s="346" t="n">
        <v>3040.7</v>
      </c>
      <c r="H103" s="346" t="n">
        <v>543.6</v>
      </c>
      <c r="I103" s="346" t="n">
        <v>4006.5</v>
      </c>
      <c r="J103" s="346" t="n"/>
      <c r="K103" s="346" t="n"/>
      <c r="L103" s="346" t="n">
        <v>707.7</v>
      </c>
      <c r="M103" s="346" t="n">
        <v>839.6</v>
      </c>
      <c r="N103" s="346" t="n"/>
      <c r="O103" s="346" t="n"/>
      <c r="P103" s="346" t="n">
        <v>2500.1</v>
      </c>
      <c r="Q103" s="346">
        <f>B103+SUM(E103:I103)+SUM(L103:M103)+P103</f>
        <v/>
      </c>
    </row>
    <row r="104" ht="15" customHeight="1">
      <c r="A104" s="784" t="n">
        <v>45770</v>
      </c>
      <c r="B104" s="346" t="n">
        <v>14808.3</v>
      </c>
      <c r="C104" s="346" t="n"/>
      <c r="D104" s="346" t="n"/>
      <c r="E104" s="346" t="n">
        <v>17587.2</v>
      </c>
      <c r="F104" s="346" t="n">
        <v>180.9</v>
      </c>
      <c r="G104" s="346" t="n">
        <v>2598.6</v>
      </c>
      <c r="H104" s="346" t="n">
        <v>395.5</v>
      </c>
      <c r="I104" s="346" t="n">
        <v>3247.9</v>
      </c>
      <c r="J104" s="346" t="n"/>
      <c r="K104" s="346" t="n"/>
      <c r="L104" s="346" t="n">
        <v>543.1</v>
      </c>
      <c r="M104" s="346" t="n">
        <v>904.8</v>
      </c>
      <c r="N104" s="346" t="n"/>
      <c r="O104" s="346" t="n"/>
      <c r="P104" s="346" t="n">
        <v>2026.8</v>
      </c>
      <c r="Q104" s="346">
        <f>B104+SUM(E104:I104)+SUM(L104:M104)+P104</f>
        <v/>
      </c>
    </row>
    <row r="105" ht="15" customHeight="1">
      <c r="A105" s="784" t="n">
        <v>45800</v>
      </c>
      <c r="B105" s="346" t="n">
        <v>14697.1</v>
      </c>
      <c r="C105" s="346" t="n"/>
      <c r="D105" s="346" t="n"/>
      <c r="E105" s="346" t="n">
        <v>19797.9</v>
      </c>
      <c r="F105" s="346" t="n">
        <v>201.9</v>
      </c>
      <c r="G105" s="346" t="n">
        <v>2501</v>
      </c>
      <c r="H105" s="346" t="n">
        <v>563</v>
      </c>
      <c r="I105" s="346" t="n">
        <v>3505.2</v>
      </c>
      <c r="J105" s="346" t="n"/>
      <c r="K105" s="346" t="n"/>
      <c r="L105" s="346" t="n">
        <v>486.6</v>
      </c>
      <c r="M105" s="346" t="n">
        <v>923.2</v>
      </c>
      <c r="N105" s="346" t="n"/>
      <c r="O105" s="346" t="n"/>
      <c r="P105" s="346" t="n">
        <v>2102.5</v>
      </c>
      <c r="Q105" s="346">
        <f>B105+SUM(E105:I105)+SUM(L105:M105)+P105</f>
        <v/>
      </c>
    </row>
    <row r="106" ht="15" customHeight="1" thickBot="1">
      <c r="A106" s="785" t="n">
        <v>45831</v>
      </c>
      <c r="B106" s="512" t="n">
        <v>11953.9</v>
      </c>
      <c r="C106" s="512" t="n"/>
      <c r="D106" s="512" t="n"/>
      <c r="E106" s="512" t="n">
        <v>12025.4</v>
      </c>
      <c r="F106" s="512" t="n">
        <v>275.8</v>
      </c>
      <c r="G106" s="512" t="n">
        <v>1250.6</v>
      </c>
      <c r="H106" s="512" t="n">
        <v>445.6</v>
      </c>
      <c r="I106" s="512" t="n">
        <v>2717.6</v>
      </c>
      <c r="J106" s="512" t="n"/>
      <c r="K106" s="512" t="n"/>
      <c r="L106" s="512" t="n">
        <v>195.1</v>
      </c>
      <c r="M106" s="512" t="n">
        <v>718.4</v>
      </c>
      <c r="N106" s="512" t="n"/>
      <c r="O106" s="512" t="n"/>
      <c r="P106" s="512" t="n">
        <v>1952</v>
      </c>
      <c r="Q106" s="512">
        <f>B106+SUM(E106:I106)+SUM(L106:M106)+P106</f>
        <v/>
      </c>
      <c r="R106" s="544">
        <f>SUM(Q95:Q106)</f>
        <v/>
      </c>
      <c r="S106" s="5">
        <f>R106/365</f>
        <v/>
      </c>
      <c r="T106" s="5">
        <f>S106*0.9</f>
        <v/>
      </c>
    </row>
    <row r="107" ht="15" customHeight="1">
      <c r="A107" s="787" t="n">
        <v>45861</v>
      </c>
      <c r="B107" s="463" t="n">
        <v>12164</v>
      </c>
      <c r="C107" s="463" t="n"/>
      <c r="D107" s="463" t="n"/>
      <c r="E107" s="463" t="n">
        <v>12435.9</v>
      </c>
      <c r="F107" s="463" t="n">
        <v>245.8</v>
      </c>
      <c r="G107" s="463" t="n">
        <v>1259.9</v>
      </c>
      <c r="H107" s="463" t="n">
        <v>377.9</v>
      </c>
      <c r="I107" s="463" t="n">
        <v>3060.2</v>
      </c>
      <c r="J107" s="463" t="n"/>
      <c r="K107" s="463" t="n"/>
      <c r="L107" s="463" t="n">
        <v>199.8</v>
      </c>
      <c r="M107" s="463" t="n">
        <v>658.3</v>
      </c>
      <c r="N107" s="463" t="n"/>
      <c r="O107" s="463" t="n"/>
      <c r="P107" s="463" t="n">
        <v>358</v>
      </c>
      <c r="Q107" s="463">
        <f>B107+SUM(E107:I107)+SUM(L107:M107)+P107</f>
        <v/>
      </c>
      <c r="R107" s="62" t="n"/>
    </row>
    <row r="108" ht="15" customHeight="1">
      <c r="A108" s="784" t="n">
        <v>45892</v>
      </c>
      <c r="B108" s="346" t="n">
        <v>11616.2</v>
      </c>
      <c r="C108" s="346" t="n"/>
      <c r="D108" s="346" t="n"/>
      <c r="E108" s="346" t="n">
        <v>13524.2</v>
      </c>
      <c r="F108" s="346" t="n">
        <v>337</v>
      </c>
      <c r="G108" s="346" t="n">
        <v>1333.9</v>
      </c>
      <c r="H108" s="346" t="n">
        <v>438.9</v>
      </c>
      <c r="I108" s="346" t="n">
        <v>3236.6</v>
      </c>
      <c r="J108" s="346" t="n"/>
      <c r="K108" s="346" t="n"/>
      <c r="L108" s="346" t="n">
        <v>303.5</v>
      </c>
      <c r="M108" s="346" t="n">
        <v>869</v>
      </c>
      <c r="N108" s="346" t="n"/>
      <c r="O108" s="346" t="n"/>
      <c r="P108" s="346" t="n">
        <v>334.9</v>
      </c>
      <c r="Q108" s="346">
        <f>B108+SUM(E108:I108)+SUM(L108:M108)+P108</f>
        <v/>
      </c>
      <c r="R108" s="62" t="n"/>
    </row>
    <row r="109" ht="15" customHeight="1">
      <c r="A109" s="784" t="n">
        <v>45923</v>
      </c>
      <c r="B109" s="346" t="n">
        <v>15126.3</v>
      </c>
      <c r="C109" s="346" t="n"/>
      <c r="D109" s="346" t="n"/>
      <c r="E109" s="346" t="n">
        <v>18651.7</v>
      </c>
      <c r="F109" s="346" t="n">
        <v>164.2</v>
      </c>
      <c r="G109" s="346" t="n">
        <v>2538.5</v>
      </c>
      <c r="H109" s="346" t="n">
        <v>431.2</v>
      </c>
      <c r="I109" s="346" t="n">
        <v>3636.8</v>
      </c>
      <c r="J109" s="346" t="n"/>
      <c r="K109" s="346" t="n"/>
      <c r="L109" s="346" t="n">
        <v>547.6</v>
      </c>
      <c r="M109" s="346" t="n">
        <v>991.9</v>
      </c>
      <c r="N109" s="346" t="n"/>
      <c r="O109" s="346" t="n"/>
      <c r="P109" s="346" t="n">
        <v>315.2</v>
      </c>
      <c r="Q109" s="346">
        <f>B109+SUM(E109:I109)+SUM(L109:M109)+P109</f>
        <v/>
      </c>
      <c r="R109" s="62" t="n"/>
    </row>
    <row r="110" ht="15" customHeight="1">
      <c r="A110" s="784" t="n">
        <v>45953</v>
      </c>
      <c r="B110" s="346" t="n">
        <v>17448.3</v>
      </c>
      <c r="C110" s="346" t="n"/>
      <c r="D110" s="346" t="n"/>
      <c r="E110" s="346" t="n">
        <v>19123.1</v>
      </c>
      <c r="F110" s="346" t="n">
        <v>522.6</v>
      </c>
      <c r="G110" s="346" t="n">
        <v>2591</v>
      </c>
      <c r="H110" s="346" t="n">
        <v>822.7</v>
      </c>
      <c r="I110" s="346" t="n">
        <v>3797.6</v>
      </c>
      <c r="J110" s="346" t="n"/>
      <c r="K110" s="346" t="n"/>
      <c r="L110" s="346" t="n">
        <v>819.4</v>
      </c>
      <c r="M110" s="346" t="n">
        <v>1389.2</v>
      </c>
      <c r="N110" s="346" t="n"/>
      <c r="O110" s="346" t="n"/>
      <c r="P110" s="346" t="n">
        <v>541.9</v>
      </c>
      <c r="Q110" s="346">
        <f>B110+SUM(E110:I110)+SUM(L110:M110)+P110</f>
        <v/>
      </c>
      <c r="R110" s="62" t="n"/>
    </row>
    <row r="111" ht="15" customHeight="1">
      <c r="A111" s="784" t="n">
        <v>45984</v>
      </c>
      <c r="B111" s="346" t="n">
        <v>15747.5</v>
      </c>
      <c r="C111" s="346" t="n"/>
      <c r="D111" s="346" t="n"/>
      <c r="E111" s="346" t="n">
        <v>21167.5</v>
      </c>
      <c r="F111" s="346" t="n">
        <v>831.4</v>
      </c>
      <c r="G111" s="346" t="n">
        <v>3449.9</v>
      </c>
      <c r="H111" s="346" t="n">
        <v>1225.2</v>
      </c>
      <c r="I111" s="346" t="n">
        <v>4746.5</v>
      </c>
      <c r="J111" s="346" t="n"/>
      <c r="K111" s="346" t="n"/>
      <c r="L111" s="346">
        <f>1119.8+21.3</f>
        <v/>
      </c>
      <c r="M111" s="346" t="n">
        <v>1982.6</v>
      </c>
      <c r="N111" s="346" t="n"/>
      <c r="O111" s="346" t="n"/>
      <c r="P111" s="346" t="n">
        <v>1228.7</v>
      </c>
      <c r="Q111" s="346">
        <f>B111+SUM(E111:I111)+SUM(L111:M111)+P111</f>
        <v/>
      </c>
      <c r="R111" s="62" t="n"/>
    </row>
    <row r="112" ht="15" customHeight="1">
      <c r="A112" s="784" t="n">
        <v>46014</v>
      </c>
      <c r="B112" s="346" t="n">
        <v>13671.4</v>
      </c>
      <c r="C112" s="346" t="n"/>
      <c r="D112" s="346" t="n"/>
      <c r="E112" s="346" t="n">
        <v>15857.9</v>
      </c>
      <c r="F112" s="346" t="n">
        <v>860.3</v>
      </c>
      <c r="G112" s="346" t="n">
        <v>2087.9</v>
      </c>
      <c r="H112" s="346" t="n">
        <v>1071.6</v>
      </c>
      <c r="I112" s="346" t="n">
        <v>3241.6</v>
      </c>
      <c r="J112" s="346" t="n"/>
      <c r="K112" s="346" t="n"/>
      <c r="L112" s="346">
        <f>985.2+47.4</f>
        <v/>
      </c>
      <c r="M112" s="346" t="n">
        <v>1551.3</v>
      </c>
      <c r="N112" s="346" t="n"/>
      <c r="O112" s="346" t="n"/>
      <c r="P112" s="346" t="n">
        <v>730.5</v>
      </c>
      <c r="Q112" s="346">
        <f>B112+SUM(E112:I112)+SUM(L112:M112)+P112</f>
        <v/>
      </c>
      <c r="R112" s="62" t="n"/>
    </row>
    <row r="113" ht="15" customHeight="1">
      <c r="A113" s="784" t="n">
        <v>46045</v>
      </c>
      <c r="B113" s="346" t="n">
        <v>9607.6</v>
      </c>
      <c r="C113" s="346" t="n"/>
      <c r="D113" s="346" t="n"/>
      <c r="E113" s="346" t="n">
        <v>12785.8</v>
      </c>
      <c r="F113" s="346" t="n">
        <v>668.9</v>
      </c>
      <c r="G113" s="346" t="n">
        <v>1340.2</v>
      </c>
      <c r="H113" s="346" t="n">
        <v>579.8</v>
      </c>
      <c r="I113" s="346" t="n">
        <v>3706</v>
      </c>
      <c r="J113" s="346" t="n"/>
      <c r="K113" s="346" t="n"/>
      <c r="L113" s="346" t="n">
        <v>371.9</v>
      </c>
      <c r="M113" s="346" t="n">
        <v>895.6</v>
      </c>
      <c r="N113" s="346" t="n"/>
      <c r="O113" s="346" t="n"/>
      <c r="P113" s="346" t="n">
        <v>533.2</v>
      </c>
      <c r="Q113" s="346">
        <f>B113+SUM(E113:I113)+SUM(L113:M113)+P113</f>
        <v/>
      </c>
      <c r="R113" s="62" t="n"/>
    </row>
    <row r="114" ht="15" customHeight="1">
      <c r="A114" s="784" t="n">
        <v>46076</v>
      </c>
      <c r="B114" s="346" t="n">
        <v>8779.200000000001</v>
      </c>
      <c r="C114" s="346" t="n"/>
      <c r="D114" s="346" t="n"/>
      <c r="E114" s="346" t="n">
        <v>10947</v>
      </c>
      <c r="F114" s="346" t="n">
        <v>986.1</v>
      </c>
      <c r="G114" s="346" t="n">
        <v>1427.9</v>
      </c>
      <c r="H114" s="346" t="n">
        <v>627.3</v>
      </c>
      <c r="I114" s="346" t="n">
        <v>2677.2</v>
      </c>
      <c r="J114" s="346" t="n"/>
      <c r="K114" s="346" t="n"/>
      <c r="L114" s="346">
        <f>531.5+22.8</f>
        <v/>
      </c>
      <c r="M114" s="346" t="n">
        <v>1019.6</v>
      </c>
      <c r="N114" s="346" t="n"/>
      <c r="O114" s="346" t="n"/>
      <c r="P114" s="346" t="n">
        <v>470.4</v>
      </c>
      <c r="Q114" s="346">
        <f>B114+SUM(E114:I114)+SUM(L114:M114)+P114</f>
        <v/>
      </c>
      <c r="S114" s="5" t="inlineStr">
        <is>
          <t xml:space="preserve"> </t>
        </is>
      </c>
    </row>
    <row r="115" ht="15" customHeight="1">
      <c r="A115" s="784" t="n">
        <v>46104</v>
      </c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</row>
    <row r="116" ht="15" customHeight="1">
      <c r="A116" s="784" t="n">
        <v>46135</v>
      </c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</row>
    <row r="117" ht="15" customHeight="1">
      <c r="A117" s="784" t="n">
        <v>46165</v>
      </c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</row>
    <row r="118" ht="15" customHeight="1">
      <c r="A118" s="784" t="n">
        <v>46196</v>
      </c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C33" sqref="A1:XFD1048576"/>
    </sheetView>
  </sheetViews>
  <sheetFormatPr baseColWidth="10" defaultColWidth="10.6640625" defaultRowHeight="16"/>
  <cols>
    <col width="13.33203125" customWidth="1" style="55" min="1" max="1"/>
    <col width="15.6640625" customWidth="1" style="55" min="2" max="11"/>
    <col width="14.5" bestFit="1" customWidth="1" style="55" min="12" max="12"/>
    <col width="13.33203125" customWidth="1" style="55" min="13" max="13"/>
    <col width="10.6640625" customWidth="1" style="55" min="14" max="16384"/>
  </cols>
  <sheetData>
    <row r="1" ht="51" customHeight="1">
      <c r="A1" s="369" t="inlineStr">
        <is>
          <t>Date</t>
        </is>
      </c>
      <c r="B1" s="370" t="inlineStr">
        <is>
          <t>LG1 Canteen and China Garden</t>
        </is>
      </c>
      <c r="C1" s="370" t="inlineStr">
        <is>
          <t>LG7 Canteen + McDonald's</t>
        </is>
      </c>
      <c r="D1" s="370" t="inlineStr">
        <is>
          <t>LG7 Fusion</t>
        </is>
      </c>
      <c r="E1" s="370" t="inlineStr">
        <is>
          <t>Courtyard (Lift 25)</t>
        </is>
      </c>
      <c r="F1" s="370" t="inlineStr">
        <is>
          <t>UC Bistro (Tower C)</t>
        </is>
      </c>
      <c r="G1" s="370" t="inlineStr">
        <is>
          <t>LSK Campus</t>
        </is>
      </c>
      <c r="H1" s="370" t="inlineStr">
        <is>
          <t>UG Halls + Seafront Cafeteria</t>
        </is>
      </c>
      <c r="I1" s="370" t="inlineStr">
        <is>
          <t>Conference Lodge</t>
        </is>
      </c>
      <c r="J1" s="370" t="inlineStr">
        <is>
          <t>Staff Quarters (All)</t>
        </is>
      </c>
      <c r="K1" s="370" t="inlineStr">
        <is>
          <t>Total (kg)</t>
        </is>
      </c>
      <c r="L1" s="370" t="inlineStr">
        <is>
          <t>Daily Food Waste</t>
        </is>
      </c>
    </row>
    <row r="2" ht="17" customHeight="1">
      <c r="A2" s="18" t="inlineStr">
        <is>
          <t>2016/17</t>
        </is>
      </c>
      <c r="B2" s="244" t="n">
        <v>49025</v>
      </c>
      <c r="C2" s="244" t="n">
        <v>69525</v>
      </c>
      <c r="D2" s="55" t="n">
        <v>0</v>
      </c>
      <c r="E2" s="244" t="n">
        <v>16775</v>
      </c>
      <c r="F2" s="244" t="n">
        <v>8325</v>
      </c>
      <c r="G2" s="244" t="n">
        <v>15025</v>
      </c>
      <c r="H2" s="244" t="n">
        <v>6175</v>
      </c>
      <c r="I2" s="244" t="n">
        <v>5025</v>
      </c>
      <c r="J2" s="244" t="n">
        <v>2775</v>
      </c>
      <c r="K2" s="244" t="n">
        <v>251125</v>
      </c>
      <c r="L2" s="482">
        <f>K2/365</f>
        <v/>
      </c>
      <c r="M2" s="244" t="n"/>
    </row>
    <row r="3" ht="17" customHeight="1">
      <c r="A3" s="18" t="inlineStr">
        <is>
          <t>2017/18</t>
        </is>
      </c>
      <c r="B3" s="244" t="n">
        <v>32175</v>
      </c>
      <c r="C3" s="244" t="n">
        <v>150325</v>
      </c>
      <c r="D3" s="55" t="n">
        <v>0</v>
      </c>
      <c r="E3" s="244" t="n">
        <v>28625</v>
      </c>
      <c r="F3" s="244" t="n">
        <v>7300</v>
      </c>
      <c r="G3" s="244" t="n">
        <v>31125</v>
      </c>
      <c r="H3" s="244" t="n">
        <v>8350</v>
      </c>
      <c r="I3" s="244" t="n">
        <v>37900</v>
      </c>
      <c r="J3" s="244" t="n">
        <v>8950</v>
      </c>
      <c r="K3" s="244" t="n">
        <v>472375</v>
      </c>
      <c r="L3" s="482">
        <f>K3/365</f>
        <v/>
      </c>
      <c r="M3" s="244" t="n"/>
    </row>
    <row r="4" ht="17" customHeight="1">
      <c r="A4" s="18" t="inlineStr">
        <is>
          <t>2018/19</t>
        </is>
      </c>
      <c r="B4" s="244" t="n">
        <v>95710</v>
      </c>
      <c r="C4" s="244" t="n">
        <v>101090.3</v>
      </c>
      <c r="D4" s="244" t="n">
        <v>3234.5</v>
      </c>
      <c r="E4" s="244" t="n">
        <v>6200.5</v>
      </c>
      <c r="F4" s="244" t="n">
        <v>8418.299999999999</v>
      </c>
      <c r="G4" s="244" t="n">
        <v>30338.6</v>
      </c>
      <c r="H4" s="244" t="n">
        <v>13746</v>
      </c>
      <c r="I4" s="244" t="n">
        <v>28710</v>
      </c>
      <c r="J4" s="244" t="n">
        <v>17173.3</v>
      </c>
      <c r="K4" s="244" t="n">
        <v>436631.1</v>
      </c>
      <c r="L4" s="482">
        <f>K4/365</f>
        <v/>
      </c>
      <c r="M4" s="244" t="n"/>
    </row>
    <row r="5" ht="17" customHeight="1">
      <c r="A5" s="18" t="inlineStr">
        <is>
          <t>2019/20</t>
        </is>
      </c>
      <c r="B5" s="244" t="n">
        <v>91380.10000000001</v>
      </c>
      <c r="C5" s="244" t="n">
        <v>89447.3</v>
      </c>
      <c r="D5" s="244" t="n">
        <v>6412.3</v>
      </c>
      <c r="E5" s="244" t="n">
        <v>14591.3</v>
      </c>
      <c r="F5" s="244" t="n">
        <v>4979.6</v>
      </c>
      <c r="G5" s="244" t="n">
        <v>18617</v>
      </c>
      <c r="H5" s="244" t="n">
        <v>8146.6</v>
      </c>
      <c r="I5" s="244" t="n">
        <v>19129.5</v>
      </c>
      <c r="J5" s="244" t="n">
        <v>16144.4</v>
      </c>
      <c r="K5" s="244" t="n">
        <v>382586.3</v>
      </c>
      <c r="L5" s="482">
        <f>K5/365</f>
        <v/>
      </c>
      <c r="M5" s="244" t="n"/>
    </row>
    <row r="6" ht="17" customHeight="1">
      <c r="A6" s="18" t="inlineStr">
        <is>
          <t>2020/21</t>
        </is>
      </c>
      <c r="B6" s="244" t="n">
        <v>118550.4</v>
      </c>
      <c r="C6" s="244" t="n">
        <v>140078</v>
      </c>
      <c r="D6" s="244" t="n">
        <v>41054.8</v>
      </c>
      <c r="E6" s="244" t="n">
        <v>20097.7</v>
      </c>
      <c r="F6" s="244" t="n">
        <v>16840.9</v>
      </c>
      <c r="G6" s="244" t="n">
        <v>8811.4</v>
      </c>
      <c r="H6" s="244" t="n">
        <v>15002.3</v>
      </c>
      <c r="I6" s="244" t="n">
        <v>9554</v>
      </c>
      <c r="J6" s="244" t="n">
        <v>21931.7</v>
      </c>
      <c r="K6" s="244" t="n">
        <v>568933.2</v>
      </c>
      <c r="L6" s="482">
        <f>K6/365</f>
        <v/>
      </c>
      <c r="M6" s="244" t="n"/>
    </row>
    <row r="7" ht="17" customHeight="1">
      <c r="A7" s="18" t="inlineStr">
        <is>
          <t>2021/22</t>
        </is>
      </c>
      <c r="B7" s="244" t="n">
        <v>104866.3</v>
      </c>
      <c r="C7" s="244" t="n">
        <v>128989</v>
      </c>
      <c r="D7" s="244" t="n">
        <v>54720.3</v>
      </c>
      <c r="E7" s="244" t="n">
        <v>13904</v>
      </c>
      <c r="F7" s="244" t="n">
        <v>14353</v>
      </c>
      <c r="G7" s="244" t="n">
        <v>10327</v>
      </c>
      <c r="H7" s="244" t="n">
        <v>20014</v>
      </c>
      <c r="I7" s="244" t="n">
        <v>13540</v>
      </c>
      <c r="J7" s="244" t="n">
        <v>29110</v>
      </c>
      <c r="K7" s="244" t="n">
        <v>567936.6</v>
      </c>
      <c r="L7" s="482">
        <f>K7/365</f>
        <v/>
      </c>
      <c r="M7" s="244" t="n"/>
    </row>
    <row r="8" ht="17" customHeight="1">
      <c r="A8" s="18" t="inlineStr">
        <is>
          <t>2022/23</t>
        </is>
      </c>
      <c r="B8" s="244" t="n">
        <v>140864</v>
      </c>
      <c r="C8" s="244" t="n">
        <v>140849</v>
      </c>
      <c r="D8" s="244" t="n">
        <v>33686</v>
      </c>
      <c r="E8" s="244" t="n">
        <v>15827</v>
      </c>
      <c r="F8" s="244" t="n">
        <v>12039</v>
      </c>
      <c r="G8" s="244" t="n">
        <v>21757</v>
      </c>
      <c r="H8" s="244" t="n">
        <v>20628</v>
      </c>
      <c r="I8" s="244" t="n">
        <v>15570</v>
      </c>
      <c r="J8" s="244" t="n">
        <v>30543.1</v>
      </c>
      <c r="K8" s="244" t="n">
        <v>623783.2</v>
      </c>
      <c r="L8" s="482">
        <f>K8/365</f>
        <v/>
      </c>
      <c r="M8" s="244" t="n"/>
    </row>
    <row r="9" ht="17" customHeight="1">
      <c r="A9" s="18" t="inlineStr">
        <is>
          <t>2023/24</t>
        </is>
      </c>
      <c r="B9" s="244">
        <f>SUM('Raw Food Data (KG)'!B83:B94)</f>
        <v/>
      </c>
      <c r="C9" s="244">
        <f>SUM('Raw Food Data (KG)'!E83:E94)</f>
        <v/>
      </c>
      <c r="D9" s="244">
        <f>SUM('Raw Food Data (KG)'!F83:F94)</f>
        <v/>
      </c>
      <c r="E9" s="244">
        <f>SUM('Raw Food Data (KG)'!G83:G94)</f>
        <v/>
      </c>
      <c r="F9" s="244">
        <f>SUM('Raw Food Data (KG)'!H83:H94)</f>
        <v/>
      </c>
      <c r="G9" s="244">
        <f>SUM('Raw Food Data (KG)'!I83:I94)</f>
        <v/>
      </c>
      <c r="H9" s="244">
        <f>SUM('Raw Food Data (KG)'!L83:L94)</f>
        <v/>
      </c>
      <c r="I9" s="244">
        <f>SUM('Raw Food Data (KG)'!M83:M94)</f>
        <v/>
      </c>
      <c r="J9" s="503">
        <f>SUM('Raw Food Data (KG)'!P83:P94)</f>
        <v/>
      </c>
      <c r="K9" s="503">
        <f>B9+SUM(C9:G9)+SUM(H9:I9)+J9</f>
        <v/>
      </c>
      <c r="L9" s="482">
        <f>K9/365</f>
        <v/>
      </c>
    </row>
    <row r="10" ht="17" customHeight="1">
      <c r="A10" s="18" t="inlineStr">
        <is>
          <t>2024/25</t>
        </is>
      </c>
      <c r="B10" s="244">
        <f>SUM('Raw Food Data (KG)'!B95:B106)</f>
        <v/>
      </c>
      <c r="C10" s="244">
        <f>SUM('Raw Food Data (KG)'!E95:E106)</f>
        <v/>
      </c>
      <c r="D10" s="244">
        <f>SUM('Raw Food Data (KG)'!F95:F106)</f>
        <v/>
      </c>
      <c r="E10" s="244">
        <f>SUM('Raw Food Data (KG)'!G95:G106)</f>
        <v/>
      </c>
      <c r="F10" s="244">
        <f>SUM('Raw Food Data (KG)'!H95:H106)</f>
        <v/>
      </c>
      <c r="G10" s="244">
        <f>SUM('Raw Food Data (KG)'!I95:I106)</f>
        <v/>
      </c>
      <c r="H10" s="244">
        <f>SUM('Raw Food Data (KG)'!L95:L106)</f>
        <v/>
      </c>
      <c r="I10" s="244">
        <f>SUM('Raw Food Data (KG)'!M95:M106)</f>
        <v/>
      </c>
      <c r="J10" s="244">
        <f>SUM('Raw Food Data (KG)'!P95:P106)</f>
        <v/>
      </c>
      <c r="K10" s="244">
        <f>SUM(B10:J10)</f>
        <v/>
      </c>
      <c r="L10" s="482">
        <f>K10/365</f>
        <v/>
      </c>
    </row>
    <row r="12">
      <c r="K12" s="244">
        <f>(K10-K2)/K2</f>
        <v/>
      </c>
    </row>
    <row r="13">
      <c r="B13" s="53" t="inlineStr">
        <is>
          <t>Missing formulas for all previous years (except 2024/25).</t>
        </is>
      </c>
    </row>
    <row r="14">
      <c r="B14" s="53" t="inlineStr">
        <is>
          <t>Please do not input any values in columns C, D, J, K, N, and O. This may cause double counting.</t>
        </is>
      </c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10" defaultColWidth="11.5" defaultRowHeight="16"/>
  <cols>
    <col width="11.1640625" bestFit="1" customWidth="1" style="330" min="1" max="1"/>
    <col width="15.6640625" customWidth="1" style="1" min="2" max="7"/>
    <col width="15.1640625" bestFit="1" customWidth="1" style="1" min="8" max="8"/>
    <col width="15.6640625" customWidth="1" style="330" min="9" max="9"/>
    <col width="15.6640625" customWidth="1" style="1" min="10" max="15"/>
    <col width="11.5" customWidth="1" style="1" min="16" max="16384"/>
  </cols>
  <sheetData>
    <row r="1">
      <c r="A1" s="221" t="inlineStr">
        <is>
          <t>Date</t>
        </is>
      </c>
      <c r="B1" s="221" t="inlineStr">
        <is>
          <t>Trash</t>
        </is>
      </c>
      <c r="C1" s="221" t="inlineStr">
        <is>
          <t>Office</t>
        </is>
      </c>
      <c r="D1" s="221" t="inlineStr">
        <is>
          <t>Operations</t>
        </is>
      </c>
      <c r="E1" s="221" t="inlineStr">
        <is>
          <t>Household</t>
        </is>
      </c>
      <c r="F1" s="221" t="inlineStr">
        <is>
          <t>Food Waste</t>
        </is>
      </c>
      <c r="G1" s="221" t="inlineStr">
        <is>
          <t>Compostables</t>
        </is>
      </c>
      <c r="I1" s="221" t="inlineStr">
        <is>
          <t>Quarter</t>
        </is>
      </c>
      <c r="J1" s="221" t="inlineStr">
        <is>
          <t>Trash</t>
        </is>
      </c>
      <c r="K1" s="221" t="inlineStr">
        <is>
          <t>Office</t>
        </is>
      </c>
      <c r="L1" s="221" t="inlineStr">
        <is>
          <t>Operations</t>
        </is>
      </c>
      <c r="M1" s="221" t="inlineStr">
        <is>
          <t>Household</t>
        </is>
      </c>
      <c r="N1" s="221" t="inlineStr">
        <is>
          <t>Food Waste</t>
        </is>
      </c>
      <c r="O1" s="221" t="inlineStr">
        <is>
          <t>Compostables</t>
        </is>
      </c>
    </row>
    <row r="2">
      <c r="A2" s="222" t="n">
        <v>41456</v>
      </c>
      <c r="B2" s="15" t="n">
        <v>282100</v>
      </c>
      <c r="C2" s="14" t="n">
        <v>7478</v>
      </c>
      <c r="D2" s="1" t="n">
        <v>348</v>
      </c>
      <c r="E2" s="1" t="n">
        <v>0</v>
      </c>
      <c r="G2" s="14" t="n">
        <v>0</v>
      </c>
      <c r="I2" s="221" t="inlineStr">
        <is>
          <t>Jul13-Sep13</t>
        </is>
      </c>
      <c r="J2" s="15" t="n">
        <v>837200</v>
      </c>
      <c r="K2" s="14" t="n">
        <v>21307</v>
      </c>
      <c r="L2" s="14" t="n">
        <v>1440</v>
      </c>
      <c r="M2" s="1" t="n">
        <v>0</v>
      </c>
      <c r="N2" s="1" t="n">
        <v>0</v>
      </c>
      <c r="O2" s="1" t="n">
        <v>0</v>
      </c>
    </row>
    <row r="3">
      <c r="A3" s="222" t="n">
        <v>41487</v>
      </c>
      <c r="B3" s="15" t="n">
        <v>282100</v>
      </c>
      <c r="C3" s="14" t="n">
        <v>6470</v>
      </c>
      <c r="D3" s="1" t="n">
        <v>525</v>
      </c>
      <c r="E3" s="1" t="n">
        <v>0</v>
      </c>
      <c r="G3" s="14" t="n">
        <v>0</v>
      </c>
      <c r="I3" s="324" t="inlineStr">
        <is>
          <t>Oct13-Dec13</t>
        </is>
      </c>
      <c r="J3" s="325" t="n">
        <v>837200</v>
      </c>
      <c r="K3" s="316" t="n">
        <v>21287</v>
      </c>
      <c r="L3" s="316" t="n">
        <v>3051</v>
      </c>
      <c r="M3" s="326" t="n">
        <v>3</v>
      </c>
      <c r="N3" s="326" t="n">
        <v>0</v>
      </c>
      <c r="O3" s="326" t="n">
        <v>0</v>
      </c>
    </row>
    <row r="4">
      <c r="A4" s="222" t="n">
        <v>41518</v>
      </c>
      <c r="B4" s="15" t="n">
        <v>273000</v>
      </c>
      <c r="C4" s="14" t="n">
        <v>7358</v>
      </c>
      <c r="D4" s="1" t="n">
        <v>567</v>
      </c>
      <c r="E4" s="1" t="n">
        <v>0</v>
      </c>
      <c r="G4" s="14" t="n">
        <v>0</v>
      </c>
      <c r="I4" s="221" t="inlineStr">
        <is>
          <t>Jan14-Mar14</t>
        </is>
      </c>
      <c r="J4" s="15" t="n">
        <v>819000</v>
      </c>
      <c r="K4" s="14" t="n">
        <v>21166</v>
      </c>
      <c r="L4" s="14" t="n">
        <v>3420</v>
      </c>
      <c r="M4" s="1" t="n">
        <v>0</v>
      </c>
      <c r="N4" s="1" t="n">
        <v>0</v>
      </c>
      <c r="O4" s="1" t="n">
        <v>0</v>
      </c>
    </row>
    <row r="5">
      <c r="A5" s="222" t="n">
        <v>41548</v>
      </c>
      <c r="B5" s="15" t="n">
        <v>282100</v>
      </c>
      <c r="C5" s="14" t="n">
        <v>7288</v>
      </c>
      <c r="D5" s="1" t="n">
        <v>750</v>
      </c>
      <c r="E5" s="1" t="n">
        <v>0</v>
      </c>
      <c r="G5" s="14" t="n">
        <v>0</v>
      </c>
      <c r="I5" s="221" t="inlineStr">
        <is>
          <t>Apr14-Jun14</t>
        </is>
      </c>
      <c r="J5" s="15" t="n">
        <v>828100</v>
      </c>
      <c r="K5" s="14" t="n">
        <v>21948</v>
      </c>
      <c r="L5" s="14" t="n">
        <v>4510</v>
      </c>
      <c r="M5" s="1" t="n">
        <v>0</v>
      </c>
      <c r="N5" s="1" t="n">
        <v>0</v>
      </c>
      <c r="O5" s="1" t="n">
        <v>0</v>
      </c>
    </row>
    <row r="6">
      <c r="A6" s="222" t="n">
        <v>41579</v>
      </c>
      <c r="B6" s="15" t="n">
        <v>273000</v>
      </c>
      <c r="C6" s="14" t="n">
        <v>7126</v>
      </c>
      <c r="D6" s="14" t="n">
        <v>1211</v>
      </c>
      <c r="E6" s="1" t="n">
        <v>0</v>
      </c>
      <c r="G6" s="14" t="n">
        <v>0</v>
      </c>
      <c r="I6" s="221" t="inlineStr">
        <is>
          <t>Jul14-Sep14</t>
        </is>
      </c>
      <c r="J6" s="15" t="n">
        <v>837200</v>
      </c>
      <c r="K6" s="14" t="n">
        <v>21064</v>
      </c>
      <c r="L6" s="14" t="n">
        <v>4640</v>
      </c>
      <c r="M6" s="14" t="n">
        <v>1453</v>
      </c>
      <c r="N6" s="1" t="n">
        <v>0</v>
      </c>
      <c r="O6" s="1" t="n">
        <v>0</v>
      </c>
    </row>
    <row r="7">
      <c r="A7" s="222" t="n">
        <v>41609</v>
      </c>
      <c r="B7" s="15" t="n">
        <v>282100</v>
      </c>
      <c r="C7" s="14" t="n">
        <v>6873</v>
      </c>
      <c r="D7" s="14" t="n">
        <v>1090</v>
      </c>
      <c r="E7" s="1" t="n">
        <v>3</v>
      </c>
      <c r="G7" s="14" t="n">
        <v>0</v>
      </c>
      <c r="I7" s="324" t="inlineStr">
        <is>
          <t>Oct14-Dec14</t>
        </is>
      </c>
      <c r="J7" s="325" t="n">
        <v>837200</v>
      </c>
      <c r="K7" s="316" t="n">
        <v>21207</v>
      </c>
      <c r="L7" s="316" t="n">
        <v>4100</v>
      </c>
      <c r="M7" s="316" t="n">
        <v>3422</v>
      </c>
      <c r="N7" s="326" t="n">
        <v>0</v>
      </c>
      <c r="O7" s="326" t="n">
        <v>0</v>
      </c>
    </row>
    <row r="8">
      <c r="A8" s="222" t="n">
        <v>41640</v>
      </c>
      <c r="B8" s="15" t="n">
        <v>282100</v>
      </c>
      <c r="C8" s="14" t="n">
        <v>6945</v>
      </c>
      <c r="D8" s="1" t="n">
        <v>870</v>
      </c>
      <c r="E8" s="1" t="n">
        <v>0</v>
      </c>
      <c r="G8" s="14" t="n">
        <v>0</v>
      </c>
      <c r="I8" s="221" t="inlineStr">
        <is>
          <t>Jan15-Mar15</t>
        </is>
      </c>
      <c r="J8" s="15" t="n">
        <v>819000</v>
      </c>
      <c r="K8" s="14" t="n">
        <v>20793</v>
      </c>
      <c r="L8" s="14" t="n">
        <v>4220</v>
      </c>
      <c r="M8" s="14" t="n">
        <v>3749</v>
      </c>
      <c r="N8" s="1" t="n">
        <v>0</v>
      </c>
      <c r="O8" s="1" t="n">
        <v>0</v>
      </c>
    </row>
    <row r="9">
      <c r="A9" s="222" t="n">
        <v>41671</v>
      </c>
      <c r="B9" s="15" t="n">
        <v>254800</v>
      </c>
      <c r="C9" s="14" t="n">
        <v>6917</v>
      </c>
      <c r="D9" s="14" t="n">
        <v>1200</v>
      </c>
      <c r="E9" s="1" t="n">
        <v>0</v>
      </c>
      <c r="G9" s="14" t="n">
        <v>0</v>
      </c>
      <c r="I9" s="221" t="inlineStr">
        <is>
          <t>Apr15-Jun15</t>
        </is>
      </c>
      <c r="J9" s="15" t="n">
        <v>828100</v>
      </c>
      <c r="K9" s="14" t="n">
        <v>19734</v>
      </c>
      <c r="L9" s="14" t="n">
        <v>4610</v>
      </c>
      <c r="M9" s="14" t="n">
        <v>4089</v>
      </c>
      <c r="N9" s="1" t="n">
        <v>0</v>
      </c>
      <c r="O9" s="1" t="n">
        <v>0</v>
      </c>
    </row>
    <row r="10">
      <c r="A10" s="222" t="n">
        <v>41699</v>
      </c>
      <c r="B10" s="15" t="n">
        <v>282100</v>
      </c>
      <c r="C10" s="14" t="n">
        <v>7304</v>
      </c>
      <c r="D10" s="14" t="n">
        <v>1350</v>
      </c>
      <c r="E10" s="1" t="n">
        <v>0</v>
      </c>
      <c r="G10" s="14" t="n">
        <v>0</v>
      </c>
      <c r="I10" s="221" t="inlineStr">
        <is>
          <t>Jul15-Sep15</t>
        </is>
      </c>
      <c r="J10" s="15" t="n">
        <v>785810</v>
      </c>
      <c r="K10" s="14" t="n">
        <v>19627</v>
      </c>
      <c r="L10" s="14" t="n">
        <v>4540</v>
      </c>
      <c r="M10" s="14" t="n">
        <v>4130</v>
      </c>
      <c r="N10" s="1" t="n">
        <v>0</v>
      </c>
      <c r="O10" s="1" t="n">
        <v>0</v>
      </c>
    </row>
    <row r="11">
      <c r="A11" s="222" t="n">
        <v>41730</v>
      </c>
      <c r="B11" s="15" t="n">
        <v>273000</v>
      </c>
      <c r="C11" s="14" t="n">
        <v>7255</v>
      </c>
      <c r="D11" s="14" t="n">
        <v>1310</v>
      </c>
      <c r="E11" s="1" t="n">
        <v>0</v>
      </c>
      <c r="G11" s="14" t="n">
        <v>0</v>
      </c>
      <c r="I11" s="324" t="inlineStr">
        <is>
          <t>Oct15-Dec15</t>
        </is>
      </c>
      <c r="J11" s="325" t="n">
        <v>823170</v>
      </c>
      <c r="K11" s="316" t="n">
        <v>19227</v>
      </c>
      <c r="L11" s="316" t="n">
        <v>5240</v>
      </c>
      <c r="M11" s="316" t="n">
        <v>6947</v>
      </c>
      <c r="N11" s="326" t="n">
        <v>0</v>
      </c>
      <c r="O11" s="326" t="n">
        <v>0</v>
      </c>
    </row>
    <row r="12">
      <c r="A12" s="222" t="n">
        <v>41760</v>
      </c>
      <c r="B12" s="15" t="n">
        <v>282100</v>
      </c>
      <c r="C12" s="14" t="n">
        <v>7503</v>
      </c>
      <c r="D12" s="14" t="n">
        <v>1550</v>
      </c>
      <c r="E12" s="1" t="n">
        <v>0</v>
      </c>
      <c r="G12" s="14" t="n">
        <v>0</v>
      </c>
      <c r="I12" s="221" t="inlineStr">
        <is>
          <t>Jan16-Mar16</t>
        </is>
      </c>
      <c r="J12" s="15" t="n">
        <v>773590</v>
      </c>
      <c r="K12" s="14" t="n">
        <v>20602</v>
      </c>
      <c r="L12" s="14" t="n">
        <v>4520</v>
      </c>
      <c r="M12" s="14" t="n">
        <v>6120</v>
      </c>
      <c r="N12" s="1" t="n">
        <v>0</v>
      </c>
      <c r="O12" s="1" t="n">
        <v>0</v>
      </c>
    </row>
    <row r="13">
      <c r="A13" s="222" t="n">
        <v>41791</v>
      </c>
      <c r="B13" s="15" t="n">
        <v>273000</v>
      </c>
      <c r="C13" s="14" t="n">
        <v>7190</v>
      </c>
      <c r="D13" s="14" t="n">
        <v>1650</v>
      </c>
      <c r="E13" s="1" t="n">
        <v>0</v>
      </c>
      <c r="G13" s="14" t="n">
        <v>0</v>
      </c>
      <c r="I13" s="221" t="inlineStr">
        <is>
          <t>Apr16-Jun16</t>
        </is>
      </c>
      <c r="J13" s="15" t="n">
        <v>804680</v>
      </c>
      <c r="K13" s="14" t="n">
        <v>20283</v>
      </c>
      <c r="L13" s="14" t="n">
        <v>4120</v>
      </c>
      <c r="M13" s="14" t="n">
        <v>5483</v>
      </c>
      <c r="N13" s="1" t="n">
        <v>0</v>
      </c>
      <c r="O13" s="1" t="n">
        <v>0</v>
      </c>
    </row>
    <row r="14">
      <c r="A14" s="222" t="n">
        <v>41821</v>
      </c>
      <c r="B14" s="15" t="n">
        <v>282100</v>
      </c>
      <c r="C14" s="14" t="n">
        <v>6993</v>
      </c>
      <c r="D14" s="14" t="n">
        <v>1750</v>
      </c>
      <c r="E14" s="1" t="n">
        <v>0</v>
      </c>
      <c r="G14" s="14" t="n">
        <v>0</v>
      </c>
      <c r="I14" s="221" t="inlineStr">
        <is>
          <t>Jul16-Sep16</t>
        </is>
      </c>
      <c r="J14" s="15" t="n">
        <v>741730</v>
      </c>
      <c r="K14" s="14" t="n">
        <v>28760</v>
      </c>
      <c r="L14" s="14" t="n">
        <v>7310</v>
      </c>
      <c r="M14" s="14" t="n">
        <v>6261</v>
      </c>
      <c r="N14" s="14" t="n">
        <v>11950</v>
      </c>
      <c r="O14" s="1" t="n">
        <v>0</v>
      </c>
    </row>
    <row r="15">
      <c r="A15" s="222" t="n">
        <v>41852</v>
      </c>
      <c r="B15" s="15" t="n">
        <v>282100</v>
      </c>
      <c r="C15" s="14" t="n">
        <v>7084</v>
      </c>
      <c r="D15" s="14" t="n">
        <v>1340</v>
      </c>
      <c r="E15" s="1" t="n">
        <v>626</v>
      </c>
      <c r="G15" s="14" t="n">
        <v>0</v>
      </c>
      <c r="I15" s="324" t="inlineStr">
        <is>
          <t>Oct16-Dec16</t>
        </is>
      </c>
      <c r="J15" s="325" t="n">
        <v>768960</v>
      </c>
      <c r="K15" s="316" t="n">
        <v>35755</v>
      </c>
      <c r="L15" s="316" t="n">
        <v>6330</v>
      </c>
      <c r="M15" s="316" t="n">
        <v>6632</v>
      </c>
      <c r="N15" s="316" t="n">
        <v>57950</v>
      </c>
      <c r="O15" s="326" t="n">
        <v>129</v>
      </c>
    </row>
    <row r="16">
      <c r="A16" s="222" t="n">
        <v>41883</v>
      </c>
      <c r="B16" s="15" t="n">
        <v>273000</v>
      </c>
      <c r="C16" s="14" t="n">
        <v>6987</v>
      </c>
      <c r="D16" s="14" t="n">
        <v>1550</v>
      </c>
      <c r="E16" s="1" t="n">
        <v>827</v>
      </c>
      <c r="G16" s="14" t="n">
        <v>0</v>
      </c>
      <c r="I16" s="221" t="inlineStr">
        <is>
          <t>Jan17-Mar17</t>
        </is>
      </c>
      <c r="J16" s="15" t="n">
        <v>722770</v>
      </c>
      <c r="K16" s="14" t="n">
        <v>41137</v>
      </c>
      <c r="L16" s="14" t="n">
        <v>7300</v>
      </c>
      <c r="M16" s="14" t="n">
        <v>5137</v>
      </c>
      <c r="N16" s="14" t="n">
        <v>54550</v>
      </c>
      <c r="O16" s="1" t="n">
        <v>0</v>
      </c>
    </row>
    <row r="17">
      <c r="A17" s="222" t="n">
        <v>41913</v>
      </c>
      <c r="B17" s="15" t="n">
        <v>282100</v>
      </c>
      <c r="C17" s="14" t="n">
        <v>6613</v>
      </c>
      <c r="D17" s="14" t="n">
        <v>1290</v>
      </c>
      <c r="E17" s="1" t="n">
        <v>728</v>
      </c>
      <c r="G17" s="14" t="n">
        <v>0</v>
      </c>
      <c r="I17" s="221" t="inlineStr">
        <is>
          <t>Apr17-Jun17</t>
        </is>
      </c>
      <c r="J17" s="15" t="n">
        <v>727860</v>
      </c>
      <c r="K17" s="14" t="n">
        <v>42187</v>
      </c>
      <c r="L17" s="14" t="n">
        <v>7750</v>
      </c>
      <c r="M17" s="14" t="n">
        <v>6088</v>
      </c>
      <c r="N17" s="14" t="n">
        <v>60150</v>
      </c>
      <c r="O17" s="1" t="n">
        <v>0</v>
      </c>
    </row>
    <row r="18">
      <c r="A18" s="222" t="n">
        <v>41944</v>
      </c>
      <c r="B18" s="15" t="n">
        <v>273000</v>
      </c>
      <c r="C18" s="14" t="n">
        <v>7359</v>
      </c>
      <c r="D18" s="14" t="n">
        <v>1310</v>
      </c>
      <c r="E18" s="14" t="n">
        <v>1653</v>
      </c>
      <c r="G18" s="14" t="n">
        <v>0</v>
      </c>
      <c r="I18" s="221" t="inlineStr">
        <is>
          <t>Jul17-Sep17</t>
        </is>
      </c>
      <c r="J18" s="15" t="n">
        <v>739790</v>
      </c>
      <c r="K18" s="14" t="n">
        <v>37620</v>
      </c>
      <c r="L18" s="14" t="n">
        <v>6280</v>
      </c>
      <c r="M18" s="14" t="n">
        <v>7264</v>
      </c>
      <c r="N18" s="14" t="n">
        <v>53850</v>
      </c>
      <c r="O18" s="1" t="n">
        <v>0</v>
      </c>
    </row>
    <row r="19">
      <c r="A19" s="222" t="n">
        <v>41974</v>
      </c>
      <c r="B19" s="15" t="n">
        <v>282100</v>
      </c>
      <c r="C19" s="14" t="n">
        <v>7235</v>
      </c>
      <c r="D19" s="14" t="n">
        <v>1500</v>
      </c>
      <c r="E19" s="14" t="n">
        <v>1041</v>
      </c>
      <c r="G19" s="14" t="n">
        <v>0</v>
      </c>
      <c r="I19" s="324" t="inlineStr">
        <is>
          <t>Oct17-Dec17</t>
        </is>
      </c>
      <c r="J19" s="325" t="n">
        <v>800320</v>
      </c>
      <c r="K19" s="316" t="n">
        <v>36172</v>
      </c>
      <c r="L19" s="316" t="n">
        <v>5760</v>
      </c>
      <c r="M19" s="316" t="n">
        <v>9089</v>
      </c>
      <c r="N19" s="316" t="n">
        <v>85475</v>
      </c>
      <c r="O19" s="326" t="n">
        <v>0</v>
      </c>
    </row>
    <row r="20">
      <c r="A20" s="222" t="n">
        <v>42005</v>
      </c>
      <c r="B20" s="15" t="n">
        <v>282100</v>
      </c>
      <c r="C20" s="14" t="n">
        <v>7133</v>
      </c>
      <c r="D20" s="14" t="n">
        <v>1570</v>
      </c>
      <c r="E20" s="1" t="n">
        <v>940</v>
      </c>
      <c r="G20" s="14" t="n">
        <v>0</v>
      </c>
      <c r="I20" s="221" t="inlineStr">
        <is>
          <t>Jan18-Mar18</t>
        </is>
      </c>
      <c r="J20" s="15" t="n">
        <v>737080</v>
      </c>
      <c r="K20" s="14" t="n">
        <v>29393</v>
      </c>
      <c r="L20" s="14" t="n">
        <v>9060</v>
      </c>
      <c r="M20" s="14" t="n">
        <v>4010</v>
      </c>
      <c r="N20" s="14" t="n">
        <v>75100</v>
      </c>
      <c r="O20" s="1" t="n">
        <v>0</v>
      </c>
    </row>
    <row r="21">
      <c r="A21" s="222" t="n">
        <v>42036</v>
      </c>
      <c r="B21" s="15" t="n">
        <v>254800</v>
      </c>
      <c r="C21" s="14" t="n">
        <v>7021</v>
      </c>
      <c r="D21" s="14" t="n">
        <v>1310</v>
      </c>
      <c r="E21" s="1" t="n">
        <v>856</v>
      </c>
      <c r="G21" s="14" t="n">
        <v>0</v>
      </c>
      <c r="I21" s="221" t="inlineStr">
        <is>
          <t>Apr18-Jun18</t>
        </is>
      </c>
      <c r="J21" s="15" t="n">
        <v>625480</v>
      </c>
      <c r="K21" s="14" t="n">
        <v>37392</v>
      </c>
      <c r="L21" s="14" t="n">
        <v>55020</v>
      </c>
      <c r="M21" s="14" t="n">
        <v>5590</v>
      </c>
      <c r="N21" s="14" t="n">
        <v>90325</v>
      </c>
      <c r="O21" s="14" t="n">
        <v>21000</v>
      </c>
    </row>
    <row r="22">
      <c r="A22" s="222" t="n">
        <v>42064</v>
      </c>
      <c r="B22" s="15" t="n">
        <v>282100</v>
      </c>
      <c r="C22" s="14" t="n">
        <v>6639</v>
      </c>
      <c r="D22" s="14" t="n">
        <v>1340</v>
      </c>
      <c r="E22" s="14" t="n">
        <v>1953</v>
      </c>
      <c r="G22" s="14" t="n">
        <v>0</v>
      </c>
      <c r="I22" s="221" t="inlineStr">
        <is>
          <t>Jul18-Sep18</t>
        </is>
      </c>
      <c r="J22" s="15" t="n">
        <v>618440</v>
      </c>
      <c r="K22" s="14" t="n">
        <v>33230</v>
      </c>
      <c r="L22" s="14" t="n">
        <v>15440</v>
      </c>
      <c r="M22" s="14" t="n">
        <v>4437</v>
      </c>
      <c r="N22" s="14" t="n">
        <v>60503</v>
      </c>
      <c r="O22" s="14" t="n">
        <v>61680</v>
      </c>
    </row>
    <row r="23">
      <c r="A23" s="222" t="n">
        <v>42095</v>
      </c>
      <c r="B23" s="15" t="n">
        <v>273000</v>
      </c>
      <c r="C23" s="14" t="n">
        <v>6600</v>
      </c>
      <c r="D23" s="14" t="n">
        <v>1510</v>
      </c>
      <c r="E23" s="14" t="n">
        <v>1307</v>
      </c>
      <c r="G23" s="14" t="n">
        <v>0</v>
      </c>
      <c r="I23" s="324" t="inlineStr">
        <is>
          <t>Oct18-Dec18</t>
        </is>
      </c>
      <c r="J23" s="325" t="n">
        <v>673610</v>
      </c>
      <c r="K23" s="316" t="n">
        <v>27220</v>
      </c>
      <c r="L23" s="316" t="n">
        <v>44380</v>
      </c>
      <c r="M23" s="316" t="n">
        <v>6316</v>
      </c>
      <c r="N23" s="325" t="n">
        <v>79485</v>
      </c>
      <c r="O23" s="316" t="n">
        <v>72040</v>
      </c>
    </row>
    <row r="24">
      <c r="A24" s="222" t="n">
        <v>42125</v>
      </c>
      <c r="B24" s="15" t="n">
        <v>282100</v>
      </c>
      <c r="C24" s="14" t="n">
        <v>6630</v>
      </c>
      <c r="D24" s="14" t="n">
        <v>1750</v>
      </c>
      <c r="E24" s="14" t="n">
        <v>1474</v>
      </c>
      <c r="G24" s="14" t="n">
        <v>0</v>
      </c>
      <c r="I24" s="221" t="inlineStr">
        <is>
          <t>Jan19-Mar19</t>
        </is>
      </c>
      <c r="J24" s="15" t="n">
        <v>505537.33</v>
      </c>
      <c r="K24" s="14" t="n">
        <v>29169</v>
      </c>
      <c r="L24" s="14" t="n">
        <v>20989</v>
      </c>
      <c r="M24" s="14" t="n">
        <v>5503</v>
      </c>
      <c r="N24" s="15" t="n">
        <v>77272.5</v>
      </c>
      <c r="O24" s="14" t="n">
        <v>57360</v>
      </c>
    </row>
    <row r="25">
      <c r="A25" s="222" t="n">
        <v>42156</v>
      </c>
      <c r="B25" s="15" t="n">
        <v>273000</v>
      </c>
      <c r="C25" s="14" t="n">
        <v>6504</v>
      </c>
      <c r="D25" s="14" t="n">
        <v>1350</v>
      </c>
      <c r="E25" s="14" t="n">
        <v>1308</v>
      </c>
      <c r="G25" s="14" t="n">
        <v>0</v>
      </c>
      <c r="I25" s="221" t="inlineStr">
        <is>
          <t>Apr19-Jun19</t>
        </is>
      </c>
      <c r="J25" s="15" t="n">
        <v>525659.37</v>
      </c>
      <c r="K25" s="14" t="n">
        <v>37805</v>
      </c>
      <c r="L25" s="14" t="n">
        <v>34070</v>
      </c>
      <c r="M25" s="14" t="n">
        <v>7699</v>
      </c>
      <c r="N25" s="15" t="n">
        <v>87361</v>
      </c>
      <c r="O25" s="1" t="n">
        <v>0</v>
      </c>
    </row>
    <row r="26">
      <c r="A26" s="222" t="n">
        <v>42186</v>
      </c>
      <c r="B26" s="15" t="n">
        <v>231390</v>
      </c>
      <c r="C26" s="14" t="n">
        <v>6764</v>
      </c>
      <c r="D26" s="14" t="n">
        <v>1710</v>
      </c>
      <c r="E26" s="1" t="n">
        <v>957</v>
      </c>
      <c r="G26" s="14" t="n">
        <v>0</v>
      </c>
      <c r="I26" s="221" t="inlineStr">
        <is>
          <t>Jul19-Sep19</t>
        </is>
      </c>
      <c r="J26" s="15" t="n">
        <v>583760</v>
      </c>
      <c r="K26" s="14" t="n">
        <v>45177</v>
      </c>
      <c r="L26" s="14" t="n">
        <v>73193</v>
      </c>
      <c r="M26" s="14" t="n">
        <v>7223</v>
      </c>
      <c r="N26" s="15" t="n">
        <v>79043.5</v>
      </c>
      <c r="O26" s="14" t="n">
        <v>28060</v>
      </c>
    </row>
    <row r="27">
      <c r="A27" s="222" t="n">
        <v>42217</v>
      </c>
      <c r="B27" s="15" t="n">
        <v>281540</v>
      </c>
      <c r="C27" s="14" t="n">
        <v>6575</v>
      </c>
      <c r="D27" s="14" t="n">
        <v>1330</v>
      </c>
      <c r="E27" s="14" t="n">
        <v>1097</v>
      </c>
      <c r="G27" s="14" t="n">
        <v>0</v>
      </c>
      <c r="I27" s="324" t="inlineStr">
        <is>
          <t>Oct19-Dec19</t>
        </is>
      </c>
      <c r="J27" s="325" t="n">
        <v>519670</v>
      </c>
      <c r="K27" s="316" t="n">
        <v>45812</v>
      </c>
      <c r="L27" s="316" t="n">
        <v>39104</v>
      </c>
      <c r="M27" s="316" t="n">
        <v>5542</v>
      </c>
      <c r="N27" s="325" t="n">
        <v>93058.5</v>
      </c>
      <c r="O27" s="316" t="n">
        <v>80040</v>
      </c>
    </row>
    <row r="28">
      <c r="A28" s="222" t="n">
        <v>42248</v>
      </c>
      <c r="B28" s="15" t="n">
        <v>272880</v>
      </c>
      <c r="C28" s="14" t="n">
        <v>6287</v>
      </c>
      <c r="D28" s="14" t="n">
        <v>1500</v>
      </c>
      <c r="E28" s="14" t="n">
        <v>2076</v>
      </c>
      <c r="G28" s="14" t="n">
        <v>0</v>
      </c>
      <c r="I28" s="221" t="inlineStr">
        <is>
          <t>Jan20-Mar20</t>
        </is>
      </c>
      <c r="J28" s="15" t="n">
        <v>297580</v>
      </c>
      <c r="K28" s="14" t="n">
        <v>32552</v>
      </c>
      <c r="L28" s="14" t="n">
        <v>31702</v>
      </c>
      <c r="M28" s="14" t="n">
        <v>1100</v>
      </c>
      <c r="N28" s="15" t="n">
        <v>49197.5</v>
      </c>
      <c r="O28" s="14" t="n">
        <v>79320</v>
      </c>
    </row>
    <row r="29">
      <c r="A29" s="222" t="n">
        <v>42278</v>
      </c>
      <c r="B29" s="15" t="n">
        <v>281000</v>
      </c>
      <c r="C29" s="14" t="n">
        <v>6521</v>
      </c>
      <c r="D29" s="14" t="n">
        <v>1090</v>
      </c>
      <c r="E29" s="14" t="n">
        <v>3457</v>
      </c>
      <c r="G29" s="14" t="n">
        <v>0</v>
      </c>
      <c r="I29" s="221" t="inlineStr">
        <is>
          <t>Apr20-Jun20</t>
        </is>
      </c>
      <c r="J29" s="15" t="n">
        <v>389030</v>
      </c>
      <c r="K29" s="14" t="n">
        <v>34901</v>
      </c>
      <c r="L29" s="14" t="n">
        <v>32152</v>
      </c>
      <c r="M29" s="14" t="n">
        <v>3800</v>
      </c>
      <c r="N29" s="15" t="n">
        <v>47546</v>
      </c>
      <c r="O29" s="14" t="n">
        <v>98100</v>
      </c>
    </row>
    <row r="30">
      <c r="A30" s="222" t="n">
        <v>42309</v>
      </c>
      <c r="B30" s="15" t="n">
        <v>274290</v>
      </c>
      <c r="C30" s="14" t="n">
        <v>6436</v>
      </c>
      <c r="D30" s="14" t="n">
        <v>1500</v>
      </c>
      <c r="E30" s="14" t="n">
        <v>1835</v>
      </c>
      <c r="G30" s="14" t="n">
        <v>0</v>
      </c>
      <c r="I30" s="221" t="inlineStr">
        <is>
          <t>Jul20-Sep20</t>
        </is>
      </c>
      <c r="J30" s="15" t="n">
        <v>378210</v>
      </c>
      <c r="K30" s="14" t="n">
        <v>41390</v>
      </c>
      <c r="L30" s="14" t="n">
        <v>42618</v>
      </c>
      <c r="M30" s="15" t="n">
        <v>2627</v>
      </c>
      <c r="N30" s="15" t="n">
        <v>76563</v>
      </c>
      <c r="O30" s="14" t="n">
        <v>78500</v>
      </c>
    </row>
    <row r="31">
      <c r="A31" s="222" t="n">
        <v>42339</v>
      </c>
      <c r="B31" s="15" t="n">
        <v>267880</v>
      </c>
      <c r="C31" s="14" t="n">
        <v>6270</v>
      </c>
      <c r="D31" s="14" t="n">
        <v>2650</v>
      </c>
      <c r="E31" s="14" t="n">
        <v>1655</v>
      </c>
      <c r="G31" s="14" t="n">
        <v>0</v>
      </c>
      <c r="I31" s="324" t="inlineStr">
        <is>
          <t>Oct20-Dec20</t>
        </is>
      </c>
      <c r="J31" s="325" t="n">
        <v>351580</v>
      </c>
      <c r="K31" s="316" t="n">
        <v>40966</v>
      </c>
      <c r="L31" s="316" t="n">
        <v>44273</v>
      </c>
      <c r="M31" s="316" t="n">
        <v>4942</v>
      </c>
      <c r="N31" s="325" t="n">
        <v>98658</v>
      </c>
      <c r="O31" s="316" t="n">
        <v>67200</v>
      </c>
    </row>
    <row r="32">
      <c r="A32" s="222" t="n">
        <v>42370</v>
      </c>
      <c r="B32" s="15" t="n">
        <v>269800</v>
      </c>
      <c r="C32" s="14" t="n">
        <v>6940</v>
      </c>
      <c r="D32" s="14" t="n">
        <v>1900</v>
      </c>
      <c r="E32" s="14" t="n">
        <v>1747</v>
      </c>
      <c r="G32" s="14" t="n">
        <v>0</v>
      </c>
      <c r="I32" s="221" t="inlineStr">
        <is>
          <t>Jan21-Mar21</t>
        </is>
      </c>
      <c r="J32" s="15" t="n">
        <v>338360</v>
      </c>
      <c r="K32" s="14" t="n">
        <v>41232</v>
      </c>
      <c r="L32" s="14" t="n">
        <v>44075</v>
      </c>
      <c r="M32" s="14" t="n">
        <v>2985</v>
      </c>
      <c r="N32" s="15" t="n">
        <v>98432</v>
      </c>
      <c r="O32" s="14" t="n">
        <v>72000</v>
      </c>
    </row>
    <row r="33">
      <c r="A33" s="222" t="n">
        <v>42401</v>
      </c>
      <c r="B33" s="15" t="n">
        <v>240500</v>
      </c>
      <c r="C33" s="14" t="n">
        <v>6776</v>
      </c>
      <c r="D33" s="14" t="n">
        <v>1050</v>
      </c>
      <c r="E33" s="14" t="n">
        <v>3175</v>
      </c>
      <c r="G33" s="14" t="n">
        <v>0</v>
      </c>
      <c r="I33" s="221" t="inlineStr">
        <is>
          <t>Apr21-Jun21</t>
        </is>
      </c>
      <c r="J33" s="15" t="n">
        <v>371470</v>
      </c>
      <c r="K33" s="14" t="n">
        <v>42557</v>
      </c>
      <c r="L33" s="14" t="n">
        <v>47462</v>
      </c>
      <c r="M33" s="15" t="n">
        <v>2978</v>
      </c>
      <c r="N33" s="15" t="n">
        <v>119268</v>
      </c>
      <c r="O33" s="14" t="n">
        <v>72000</v>
      </c>
    </row>
    <row r="34">
      <c r="A34" s="222" t="n">
        <v>42430</v>
      </c>
      <c r="B34" s="15" t="n">
        <v>263290</v>
      </c>
      <c r="C34" s="14" t="n">
        <v>6886</v>
      </c>
      <c r="D34" s="14" t="n">
        <v>1570</v>
      </c>
      <c r="E34" s="14" t="n">
        <v>1198</v>
      </c>
      <c r="G34" s="14" t="n">
        <v>0</v>
      </c>
      <c r="I34" s="221" t="inlineStr">
        <is>
          <t>Jul21-Sep21</t>
        </is>
      </c>
      <c r="J34" s="15" t="n">
        <v>404440</v>
      </c>
      <c r="K34" s="14" t="n">
        <v>46174</v>
      </c>
      <c r="L34" s="14" t="n">
        <v>45906</v>
      </c>
      <c r="M34" s="14" t="n">
        <v>2409</v>
      </c>
      <c r="N34" s="15" t="n">
        <v>105397</v>
      </c>
      <c r="O34" s="14" t="n">
        <v>104800</v>
      </c>
    </row>
    <row r="35">
      <c r="A35" s="222" t="n">
        <v>42461</v>
      </c>
      <c r="B35" s="15" t="n">
        <v>260100</v>
      </c>
      <c r="C35" s="14" t="n">
        <v>6694</v>
      </c>
      <c r="D35" s="14" t="n">
        <v>1140</v>
      </c>
      <c r="E35" s="14" t="n">
        <v>1497</v>
      </c>
      <c r="G35" s="14" t="n">
        <v>0</v>
      </c>
      <c r="I35" s="324" t="inlineStr">
        <is>
          <t>Oct21-Dec21</t>
        </is>
      </c>
      <c r="J35" s="325" t="n">
        <v>432067</v>
      </c>
      <c r="K35" s="316" t="n">
        <v>43285</v>
      </c>
      <c r="L35" s="316" t="n">
        <v>29843</v>
      </c>
      <c r="M35" s="316" t="n">
        <v>4093</v>
      </c>
      <c r="N35" s="325" t="n">
        <v>129403</v>
      </c>
      <c r="O35" s="316" t="n">
        <v>120700</v>
      </c>
    </row>
    <row r="36">
      <c r="A36" s="222" t="n">
        <v>42491</v>
      </c>
      <c r="B36" s="15" t="n">
        <v>279280</v>
      </c>
      <c r="C36" s="14" t="n">
        <v>6802</v>
      </c>
      <c r="D36" s="14" t="n">
        <v>1510</v>
      </c>
      <c r="E36" s="14" t="n">
        <v>1974</v>
      </c>
      <c r="G36" s="14" t="n">
        <v>0</v>
      </c>
      <c r="I36" s="221" t="inlineStr">
        <is>
          <t>Jan22-Mar22</t>
        </is>
      </c>
      <c r="J36" s="15" t="n">
        <v>366660</v>
      </c>
      <c r="K36" s="14" t="n">
        <v>37112</v>
      </c>
      <c r="L36" s="14" t="n">
        <v>41672</v>
      </c>
      <c r="M36" s="14" t="n">
        <v>1326</v>
      </c>
      <c r="N36" s="15" t="n">
        <v>80109</v>
      </c>
      <c r="O36" s="14" t="n">
        <v>84100</v>
      </c>
    </row>
    <row r="37">
      <c r="A37" s="222" t="n">
        <v>42522</v>
      </c>
      <c r="B37" s="15" t="n">
        <v>265300</v>
      </c>
      <c r="C37" s="14" t="n">
        <v>6788</v>
      </c>
      <c r="D37" s="14" t="n">
        <v>1470</v>
      </c>
      <c r="E37" s="14" t="n">
        <v>2012</v>
      </c>
      <c r="G37" s="14" t="n">
        <v>0</v>
      </c>
      <c r="I37" s="221" t="inlineStr">
        <is>
          <t>Apr22-Jun22</t>
        </is>
      </c>
      <c r="J37" s="15" t="n">
        <v>371620</v>
      </c>
      <c r="K37" s="14" t="n">
        <v>32008</v>
      </c>
      <c r="L37" s="14" t="n">
        <v>36741</v>
      </c>
      <c r="M37" s="14" t="n">
        <v>5564</v>
      </c>
      <c r="N37" s="15" t="n">
        <v>74915</v>
      </c>
      <c r="O37" s="14" t="n">
        <v>111800</v>
      </c>
    </row>
    <row r="38">
      <c r="A38" s="222" t="n">
        <v>42552</v>
      </c>
      <c r="B38" s="15" t="n">
        <v>230700</v>
      </c>
      <c r="C38" s="14" t="n">
        <v>6148</v>
      </c>
      <c r="D38" s="14" t="n">
        <v>1860</v>
      </c>
      <c r="E38" s="14" t="n">
        <v>2495</v>
      </c>
      <c r="G38" s="14" t="n">
        <v>0</v>
      </c>
      <c r="I38" s="221" t="inlineStr">
        <is>
          <t>Jul22-Sep22</t>
        </is>
      </c>
      <c r="J38" s="15" t="n">
        <v>449590</v>
      </c>
      <c r="K38" s="14" t="n">
        <v>36556</v>
      </c>
      <c r="L38" s="14" t="n">
        <v>45344</v>
      </c>
      <c r="M38" s="14" t="n">
        <v>3480</v>
      </c>
      <c r="N38" s="15" t="n">
        <v>87283</v>
      </c>
      <c r="O38" s="14" t="n">
        <v>108300</v>
      </c>
    </row>
    <row r="39">
      <c r="A39" s="222" t="n">
        <v>42583</v>
      </c>
      <c r="B39" s="15" t="n">
        <v>249380</v>
      </c>
      <c r="C39" s="14" t="n">
        <v>10495</v>
      </c>
      <c r="D39" s="14" t="n">
        <v>3000</v>
      </c>
      <c r="E39" s="14" t="n">
        <v>1342</v>
      </c>
      <c r="G39" s="14" t="n">
        <v>0</v>
      </c>
      <c r="I39" s="324" t="inlineStr">
        <is>
          <t>Oct22-Dec22</t>
        </is>
      </c>
      <c r="J39" s="325" t="n">
        <v>488950</v>
      </c>
      <c r="K39" s="316" t="n">
        <v>38469</v>
      </c>
      <c r="L39" s="316" t="n">
        <v>48695</v>
      </c>
      <c r="M39" s="316" t="n">
        <v>4138</v>
      </c>
      <c r="N39" s="325" t="n">
        <v>126417</v>
      </c>
      <c r="O39" s="316" t="n">
        <v>106700</v>
      </c>
    </row>
    <row r="40">
      <c r="A40" s="222" t="n">
        <v>42614</v>
      </c>
      <c r="B40" s="15" t="n">
        <v>261650</v>
      </c>
      <c r="C40" s="14" t="n">
        <v>12117</v>
      </c>
      <c r="D40" s="14" t="n">
        <v>2450</v>
      </c>
      <c r="E40" s="14" t="n">
        <v>2424</v>
      </c>
      <c r="F40" s="14" t="n">
        <v>11950</v>
      </c>
      <c r="G40" s="14" t="n">
        <v>0</v>
      </c>
      <c r="I40" s="221" t="inlineStr">
        <is>
          <t>Jan23-Mar23</t>
        </is>
      </c>
      <c r="J40" s="15" t="n">
        <v>446100</v>
      </c>
      <c r="K40" s="14" t="n">
        <v>31912</v>
      </c>
      <c r="L40" s="14" t="n">
        <v>48456</v>
      </c>
      <c r="M40" s="14" t="n">
        <v>3671</v>
      </c>
      <c r="N40" s="15" t="n">
        <v>98147</v>
      </c>
      <c r="O40" s="14" t="n">
        <v>97800</v>
      </c>
    </row>
    <row r="41">
      <c r="A41" s="222" t="n">
        <v>42644</v>
      </c>
      <c r="B41" s="15" t="n">
        <v>258900</v>
      </c>
      <c r="C41" s="14" t="n">
        <v>11801</v>
      </c>
      <c r="D41" s="14" t="n">
        <v>2350</v>
      </c>
      <c r="E41" s="14" t="n">
        <v>1653</v>
      </c>
      <c r="F41" s="14" t="n">
        <v>21800</v>
      </c>
      <c r="G41" s="14" t="n">
        <v>0</v>
      </c>
      <c r="I41" s="221" t="inlineStr">
        <is>
          <t>Apr23-Jun23</t>
        </is>
      </c>
      <c r="J41" s="15" t="n">
        <v>443670</v>
      </c>
      <c r="K41" s="14" t="n">
        <v>32801</v>
      </c>
      <c r="L41" s="14" t="n">
        <v>44062</v>
      </c>
      <c r="M41" s="14" t="n">
        <v>3145</v>
      </c>
      <c r="N41" s="15" t="n">
        <v>112146.4</v>
      </c>
      <c r="O41" s="14" t="n">
        <v>85700</v>
      </c>
    </row>
    <row r="42">
      <c r="A42" s="222" t="n">
        <v>42675</v>
      </c>
      <c r="B42" s="15" t="n">
        <v>262650</v>
      </c>
      <c r="C42" s="14" t="n">
        <v>12853</v>
      </c>
      <c r="D42" s="14" t="n">
        <v>2110</v>
      </c>
      <c r="E42" s="14" t="n">
        <v>3458</v>
      </c>
      <c r="F42" s="14" t="n">
        <v>19250</v>
      </c>
      <c r="G42" s="14" t="n">
        <v>66</v>
      </c>
      <c r="I42" s="221" t="inlineStr">
        <is>
          <t>Jul23-Sep23</t>
        </is>
      </c>
      <c r="J42" s="15" t="n">
        <v>447660</v>
      </c>
      <c r="K42" s="14" t="n">
        <v>33382</v>
      </c>
      <c r="L42" s="14" t="n">
        <v>52388</v>
      </c>
      <c r="M42" s="14" t="n">
        <v>3861</v>
      </c>
      <c r="N42" s="15" t="n">
        <v>81761.89999999999</v>
      </c>
      <c r="O42" s="14" t="n">
        <v>97925</v>
      </c>
    </row>
    <row r="43">
      <c r="A43" s="222" t="n">
        <v>42705</v>
      </c>
      <c r="B43" s="15" t="n">
        <v>247410</v>
      </c>
      <c r="C43" s="14" t="n">
        <v>11100</v>
      </c>
      <c r="D43" s="14" t="n">
        <v>1870</v>
      </c>
      <c r="E43" s="14" t="n">
        <v>1521</v>
      </c>
      <c r="F43" s="14" t="n">
        <v>16900</v>
      </c>
      <c r="G43" s="14" t="n">
        <v>63</v>
      </c>
      <c r="I43" s="324" t="inlineStr">
        <is>
          <t>Oct23-Dec23</t>
        </is>
      </c>
      <c r="J43" s="325" t="n">
        <v>458660</v>
      </c>
      <c r="K43" s="316" t="n">
        <v>39307</v>
      </c>
      <c r="L43" s="316" t="n">
        <v>46227</v>
      </c>
      <c r="M43" s="316" t="n">
        <v>6274</v>
      </c>
      <c r="N43" s="325" t="n">
        <v>108466.2</v>
      </c>
      <c r="O43" s="316" t="n">
        <v>81943</v>
      </c>
    </row>
    <row r="44">
      <c r="A44" s="222" t="n">
        <v>42736</v>
      </c>
      <c r="B44" s="15" t="n">
        <v>227540</v>
      </c>
      <c r="C44" s="14" t="n">
        <v>14122</v>
      </c>
      <c r="D44" s="14" t="n">
        <v>1580</v>
      </c>
      <c r="E44" s="14" t="n">
        <v>1726</v>
      </c>
      <c r="F44" s="14" t="n">
        <v>13750</v>
      </c>
      <c r="G44" s="14" t="n">
        <v>0</v>
      </c>
      <c r="I44" s="221" t="inlineStr">
        <is>
          <t>Jan24-Mar24</t>
        </is>
      </c>
      <c r="J44" s="15" t="n">
        <v>395000</v>
      </c>
      <c r="K44" s="14" t="n">
        <v>40702</v>
      </c>
      <c r="L44" s="14" t="n">
        <v>52386</v>
      </c>
      <c r="M44" s="14" t="n">
        <v>4456</v>
      </c>
      <c r="N44" s="15" t="n">
        <v>108316.4</v>
      </c>
      <c r="O44" s="14" t="n">
        <v>75315</v>
      </c>
    </row>
    <row r="45">
      <c r="A45" s="222" t="n">
        <v>42767</v>
      </c>
      <c r="B45" s="15" t="n">
        <v>244060</v>
      </c>
      <c r="C45" s="14" t="n">
        <v>13009</v>
      </c>
      <c r="D45" s="14" t="n">
        <v>3410</v>
      </c>
      <c r="E45" s="14" t="n">
        <v>1595</v>
      </c>
      <c r="F45" s="14" t="n">
        <v>18825</v>
      </c>
      <c r="G45" s="14" t="n">
        <v>0</v>
      </c>
      <c r="I45" s="221" t="inlineStr">
        <is>
          <t>Apr24-Jun24</t>
        </is>
      </c>
      <c r="J45" s="327" t="n">
        <v>401048.6</v>
      </c>
      <c r="K45" s="328" t="n">
        <v>39896</v>
      </c>
      <c r="L45" s="328" t="n">
        <v>48990</v>
      </c>
      <c r="M45" s="328" t="n">
        <v>4581</v>
      </c>
      <c r="N45" s="329" t="n">
        <v>115595</v>
      </c>
      <c r="O45" s="329" t="n">
        <v>65430</v>
      </c>
    </row>
    <row r="46">
      <c r="A46" s="222" t="n">
        <v>42795</v>
      </c>
      <c r="B46" s="15" t="n">
        <v>251170</v>
      </c>
      <c r="C46" s="14" t="n">
        <v>14006</v>
      </c>
      <c r="D46" s="14" t="n">
        <v>2310</v>
      </c>
      <c r="E46" s="14" t="n">
        <v>1816</v>
      </c>
      <c r="F46" s="14" t="n">
        <v>21975</v>
      </c>
      <c r="G46" s="14" t="n">
        <v>0</v>
      </c>
      <c r="I46" s="221" t="inlineStr">
        <is>
          <t>Jul24-Sep24</t>
        </is>
      </c>
      <c r="J46" s="15">
        <f>SUM(B134:B136)</f>
        <v/>
      </c>
      <c r="K46" s="15">
        <f>SUM(C134:C136)</f>
        <v/>
      </c>
      <c r="L46" s="15">
        <f>SUM(D134:D136)</f>
        <v/>
      </c>
      <c r="M46" s="15">
        <f>SUM(E134:E136)</f>
        <v/>
      </c>
      <c r="N46" s="15">
        <f>SUM(F134:F136)</f>
        <v/>
      </c>
      <c r="O46" s="15">
        <f>SUM(G134:G136)</f>
        <v/>
      </c>
    </row>
    <row r="47">
      <c r="A47" s="222" t="n">
        <v>42826</v>
      </c>
      <c r="B47" s="15" t="n">
        <v>236000</v>
      </c>
      <c r="C47" s="14" t="n">
        <v>14584</v>
      </c>
      <c r="D47" s="14" t="n">
        <v>2090</v>
      </c>
      <c r="E47" s="14" t="n">
        <v>2044</v>
      </c>
      <c r="F47" s="14" t="n">
        <v>18850</v>
      </c>
      <c r="G47" s="14" t="n">
        <v>0</v>
      </c>
      <c r="I47" s="324" t="inlineStr">
        <is>
          <t>Oct24-Dec24</t>
        </is>
      </c>
      <c r="J47" s="325">
        <f>SUM(B137:B139)</f>
        <v/>
      </c>
      <c r="K47" s="325">
        <f>SUM(C137:C139)</f>
        <v/>
      </c>
      <c r="L47" s="325">
        <f>SUM(D137:D139)</f>
        <v/>
      </c>
      <c r="M47" s="325">
        <f>SUM(E137:E139)</f>
        <v/>
      </c>
      <c r="N47" s="325">
        <f>SUM(F137:F139)</f>
        <v/>
      </c>
      <c r="O47" s="325">
        <f>SUM(G137:G139)</f>
        <v/>
      </c>
    </row>
    <row r="48">
      <c r="A48" s="222" t="n">
        <v>42856</v>
      </c>
      <c r="B48" s="15" t="n">
        <v>235740</v>
      </c>
      <c r="C48" s="14" t="n">
        <v>15338</v>
      </c>
      <c r="D48" s="14" t="n">
        <v>4060</v>
      </c>
      <c r="E48" s="14" t="n">
        <v>1813</v>
      </c>
      <c r="F48" s="14" t="n">
        <v>20275</v>
      </c>
      <c r="G48" s="14" t="n">
        <v>0</v>
      </c>
      <c r="I48" s="221" t="inlineStr">
        <is>
          <t>Jan25-Mar25</t>
        </is>
      </c>
      <c r="J48" s="15">
        <f>SUM(B140:B142)</f>
        <v/>
      </c>
      <c r="K48" s="15">
        <f>SUM(C140:C142)</f>
        <v/>
      </c>
      <c r="L48" s="15">
        <f>SUM(D140:D142)</f>
        <v/>
      </c>
      <c r="M48" s="15">
        <f>SUM(E140:E142)</f>
        <v/>
      </c>
      <c r="N48" s="15">
        <f>SUM(F140:F142)</f>
        <v/>
      </c>
      <c r="O48" s="15">
        <f>SUM(G140:G142)</f>
        <v/>
      </c>
    </row>
    <row r="49">
      <c r="A49" s="222" t="n">
        <v>42887</v>
      </c>
      <c r="B49" s="15" t="n">
        <v>256120</v>
      </c>
      <c r="C49" s="14" t="n">
        <v>12265</v>
      </c>
      <c r="D49" s="14" t="n">
        <v>1600</v>
      </c>
      <c r="E49" s="14" t="n">
        <v>2231</v>
      </c>
      <c r="F49" s="14" t="n">
        <v>21025</v>
      </c>
      <c r="G49" s="14" t="n">
        <v>0</v>
      </c>
      <c r="I49" s="221" t="inlineStr">
        <is>
          <t>Apr25-Jun25</t>
        </is>
      </c>
      <c r="J49" s="15">
        <f>SUM(B143:B145)</f>
        <v/>
      </c>
      <c r="K49" s="15">
        <f>SUM(C143:C145)</f>
        <v/>
      </c>
      <c r="L49" s="15">
        <f>SUM(D143:D145)</f>
        <v/>
      </c>
      <c r="M49" s="15">
        <f>SUM(E143:E145)</f>
        <v/>
      </c>
      <c r="N49" s="15">
        <f>SUM(F143:F145)</f>
        <v/>
      </c>
      <c r="O49" s="15">
        <f>SUM(G143:G145)</f>
        <v/>
      </c>
    </row>
    <row r="50">
      <c r="A50" s="222" t="n">
        <v>42917</v>
      </c>
      <c r="B50" s="15" t="n">
        <v>225570</v>
      </c>
      <c r="C50" s="14" t="n">
        <v>14992</v>
      </c>
      <c r="D50" s="14" t="n">
        <v>3870</v>
      </c>
      <c r="E50" s="14" t="n">
        <v>2048</v>
      </c>
      <c r="F50" s="14" t="n">
        <v>13275</v>
      </c>
      <c r="G50" s="14" t="n">
        <v>0</v>
      </c>
      <c r="I50" s="221" t="inlineStr">
        <is>
          <t>Jul25-Sep25</t>
        </is>
      </c>
    </row>
    <row r="51">
      <c r="A51" s="222" t="n">
        <v>42948</v>
      </c>
      <c r="B51" s="15" t="n">
        <v>254230</v>
      </c>
      <c r="C51" s="14" t="n">
        <v>13769</v>
      </c>
      <c r="D51" s="1" t="n">
        <v>810</v>
      </c>
      <c r="E51" s="14" t="n">
        <v>1726</v>
      </c>
      <c r="F51" s="14" t="n">
        <v>15525</v>
      </c>
      <c r="G51" s="14" t="n">
        <v>0</v>
      </c>
      <c r="I51" s="324" t="inlineStr">
        <is>
          <t>Oct25-Dec25</t>
        </is>
      </c>
      <c r="J51" s="326" t="n"/>
      <c r="K51" s="326" t="n"/>
      <c r="L51" s="326" t="n"/>
      <c r="M51" s="326" t="n"/>
      <c r="N51" s="326" t="n"/>
      <c r="O51" s="326" t="n"/>
    </row>
    <row r="52">
      <c r="A52" s="222" t="n">
        <v>42979</v>
      </c>
      <c r="B52" s="15" t="n">
        <v>259990</v>
      </c>
      <c r="C52" s="14" t="n">
        <v>8859</v>
      </c>
      <c r="D52" s="14" t="n">
        <v>1600</v>
      </c>
      <c r="E52" s="14" t="n">
        <v>3490</v>
      </c>
      <c r="F52" s="14" t="n">
        <v>25050</v>
      </c>
      <c r="G52" s="14" t="n">
        <v>0</v>
      </c>
    </row>
    <row r="53">
      <c r="A53" s="222" t="n">
        <v>43009</v>
      </c>
      <c r="B53" s="15" t="n">
        <v>271240</v>
      </c>
      <c r="C53" s="14" t="n">
        <v>12160</v>
      </c>
      <c r="D53" s="14" t="n">
        <v>1400</v>
      </c>
      <c r="E53" s="1" t="n">
        <v>70</v>
      </c>
      <c r="F53" s="14" t="n">
        <v>25175</v>
      </c>
      <c r="G53" s="14" t="n">
        <v>0</v>
      </c>
    </row>
    <row r="54">
      <c r="A54" s="222" t="n">
        <v>43040</v>
      </c>
      <c r="B54" s="15" t="n">
        <v>292110</v>
      </c>
      <c r="C54" s="14" t="n">
        <v>11545</v>
      </c>
      <c r="D54" s="14" t="n">
        <v>2010</v>
      </c>
      <c r="E54" s="14" t="n">
        <v>4056</v>
      </c>
      <c r="F54" s="14" t="n">
        <v>30100</v>
      </c>
      <c r="G54" s="14" t="n">
        <v>0</v>
      </c>
    </row>
    <row r="55">
      <c r="A55" s="222" t="n">
        <v>43070</v>
      </c>
      <c r="B55" s="15" t="n">
        <v>236970</v>
      </c>
      <c r="C55" s="14" t="n">
        <v>12466</v>
      </c>
      <c r="D55" s="14" t="n">
        <v>2350</v>
      </c>
      <c r="E55" s="14" t="n">
        <v>4963</v>
      </c>
      <c r="F55" s="14" t="n">
        <v>30200</v>
      </c>
      <c r="G55" s="14" t="n">
        <v>0</v>
      </c>
    </row>
    <row r="56">
      <c r="A56" s="222" t="n">
        <v>43101</v>
      </c>
      <c r="B56" s="15" t="n">
        <v>279330</v>
      </c>
      <c r="C56" s="14" t="n">
        <v>10969</v>
      </c>
      <c r="D56" s="14" t="n">
        <v>2210</v>
      </c>
      <c r="E56" s="1" t="n">
        <v>150</v>
      </c>
      <c r="F56" s="14" t="n">
        <v>27975</v>
      </c>
      <c r="G56" s="14" t="n">
        <v>0</v>
      </c>
    </row>
    <row r="57">
      <c r="A57" s="222" t="n">
        <v>43132</v>
      </c>
      <c r="B57" s="15" t="n">
        <v>221040</v>
      </c>
      <c r="C57" s="14" t="n">
        <v>8043</v>
      </c>
      <c r="D57" s="14" t="n">
        <v>2850</v>
      </c>
      <c r="E57" s="14" t="n">
        <v>2040</v>
      </c>
      <c r="F57" s="14" t="n">
        <v>21825</v>
      </c>
      <c r="G57" s="14" t="n">
        <v>0</v>
      </c>
    </row>
    <row r="58">
      <c r="A58" s="222" t="n">
        <v>43160</v>
      </c>
      <c r="B58" s="15" t="n">
        <v>236710</v>
      </c>
      <c r="C58" s="14" t="n">
        <v>10381</v>
      </c>
      <c r="D58" s="14" t="n">
        <v>4000</v>
      </c>
      <c r="E58" s="14" t="n">
        <v>1820</v>
      </c>
      <c r="F58" s="14" t="n">
        <v>25300</v>
      </c>
      <c r="G58" s="14" t="n">
        <v>0</v>
      </c>
    </row>
    <row r="59">
      <c r="A59" s="222" t="n">
        <v>43191</v>
      </c>
      <c r="B59" s="15" t="n">
        <v>202920</v>
      </c>
      <c r="C59" s="14" t="n">
        <v>10318</v>
      </c>
      <c r="D59" s="14" t="n">
        <v>6470</v>
      </c>
      <c r="E59" s="14" t="n">
        <v>1670</v>
      </c>
      <c r="F59" s="14" t="n">
        <v>25225</v>
      </c>
      <c r="G59" s="14" t="n">
        <v>3000</v>
      </c>
    </row>
    <row r="60">
      <c r="A60" s="222" t="n">
        <v>43221</v>
      </c>
      <c r="B60" s="15" t="n">
        <v>209670</v>
      </c>
      <c r="C60" s="14" t="n">
        <v>12380</v>
      </c>
      <c r="D60" s="14" t="n">
        <v>6770</v>
      </c>
      <c r="E60" s="1" t="n">
        <v>170</v>
      </c>
      <c r="F60" s="14" t="n">
        <v>37200</v>
      </c>
      <c r="G60" s="14" t="n">
        <v>12000</v>
      </c>
    </row>
    <row r="61">
      <c r="A61" s="222" t="n">
        <v>43252</v>
      </c>
      <c r="B61" s="15" t="n">
        <v>212890</v>
      </c>
      <c r="C61" s="14" t="n">
        <v>14694</v>
      </c>
      <c r="D61" s="14" t="n">
        <v>41780</v>
      </c>
      <c r="E61" s="14" t="n">
        <v>3750</v>
      </c>
      <c r="F61" s="14" t="n">
        <v>27900</v>
      </c>
      <c r="G61" s="14" t="n">
        <v>6000</v>
      </c>
    </row>
    <row r="62">
      <c r="A62" s="222" t="n">
        <v>43282</v>
      </c>
      <c r="B62" s="15" t="n">
        <v>215660</v>
      </c>
      <c r="C62" s="14" t="n">
        <v>11892</v>
      </c>
      <c r="D62" s="14" t="n">
        <v>1460</v>
      </c>
      <c r="E62" s="1" t="n">
        <v>130</v>
      </c>
      <c r="F62" s="14" t="n">
        <v>25675</v>
      </c>
      <c r="G62" s="14" t="n">
        <v>5000</v>
      </c>
    </row>
    <row r="63">
      <c r="A63" s="222" t="n">
        <v>43313</v>
      </c>
      <c r="B63" s="15" t="n">
        <v>206030</v>
      </c>
      <c r="C63" s="14" t="n">
        <v>10806</v>
      </c>
      <c r="D63" s="14" t="n">
        <v>8710</v>
      </c>
      <c r="E63" s="14" t="n">
        <v>3202</v>
      </c>
      <c r="F63" s="15" t="n">
        <v>16633.9</v>
      </c>
      <c r="G63" s="14" t="n">
        <v>3500</v>
      </c>
    </row>
    <row r="64">
      <c r="A64" s="222" t="n">
        <v>43344</v>
      </c>
      <c r="B64" s="15" t="n">
        <v>196750</v>
      </c>
      <c r="C64" s="14" t="n">
        <v>10533</v>
      </c>
      <c r="D64" s="14" t="n">
        <v>5270</v>
      </c>
      <c r="E64" s="14" t="n">
        <v>1105</v>
      </c>
      <c r="F64" s="15" t="n">
        <v>18194.05</v>
      </c>
      <c r="G64" s="14" t="n">
        <v>53180</v>
      </c>
    </row>
    <row r="65">
      <c r="A65" s="222" t="n">
        <v>43374</v>
      </c>
      <c r="B65" s="15" t="n">
        <v>205700</v>
      </c>
      <c r="C65" s="14" t="n">
        <v>9158</v>
      </c>
      <c r="D65" s="14" t="n">
        <v>3490</v>
      </c>
      <c r="E65" s="14" t="n">
        <v>2034</v>
      </c>
      <c r="F65" s="15" t="n">
        <v>26058</v>
      </c>
      <c r="G65" s="14" t="n">
        <v>7680</v>
      </c>
    </row>
    <row r="66">
      <c r="A66" s="222" t="n">
        <v>43405</v>
      </c>
      <c r="B66" s="15" t="n">
        <v>233760</v>
      </c>
      <c r="C66" s="14" t="n">
        <v>9066</v>
      </c>
      <c r="D66" s="14" t="n">
        <v>5870</v>
      </c>
      <c r="E66" s="14" t="n">
        <v>1991</v>
      </c>
      <c r="F66" s="15" t="n">
        <v>28892.5</v>
      </c>
      <c r="G66" s="14" t="n">
        <v>28680</v>
      </c>
    </row>
    <row r="67">
      <c r="A67" s="222" t="n">
        <v>43435</v>
      </c>
      <c r="B67" s="15" t="n">
        <v>234150</v>
      </c>
      <c r="C67" s="14" t="n">
        <v>8995</v>
      </c>
      <c r="D67" s="14" t="n">
        <v>35020</v>
      </c>
      <c r="E67" s="14" t="n">
        <v>2291</v>
      </c>
      <c r="F67" s="15" t="n">
        <v>24534.5</v>
      </c>
      <c r="G67" s="14" t="n">
        <v>35680</v>
      </c>
    </row>
    <row r="68">
      <c r="A68" s="222" t="n">
        <v>43466</v>
      </c>
      <c r="B68" s="15" t="n">
        <v>169610.26</v>
      </c>
      <c r="C68" s="14" t="n">
        <v>10570</v>
      </c>
      <c r="D68" s="14" t="n">
        <v>13449</v>
      </c>
      <c r="E68" s="14" t="n">
        <v>2418</v>
      </c>
      <c r="F68" s="15" t="n">
        <v>21757.5</v>
      </c>
      <c r="G68" s="14" t="n">
        <v>46180</v>
      </c>
    </row>
    <row r="69">
      <c r="A69" s="222" t="n">
        <v>43497</v>
      </c>
      <c r="B69" s="15" t="n">
        <v>159243.92</v>
      </c>
      <c r="C69" s="14" t="n">
        <v>7775</v>
      </c>
      <c r="D69" s="14" t="n">
        <v>4060</v>
      </c>
      <c r="E69" s="14" t="n">
        <v>1172</v>
      </c>
      <c r="F69" s="15" t="n">
        <v>24584.5</v>
      </c>
      <c r="G69" s="14" t="n">
        <v>7680</v>
      </c>
    </row>
    <row r="70">
      <c r="A70" s="222" t="n">
        <v>43525</v>
      </c>
      <c r="B70" s="15" t="n">
        <v>176683.14</v>
      </c>
      <c r="C70" s="14" t="n">
        <v>10825</v>
      </c>
      <c r="D70" s="14" t="n">
        <v>3480</v>
      </c>
      <c r="E70" s="14" t="n">
        <v>1913</v>
      </c>
      <c r="F70" s="15" t="n">
        <v>30930.5</v>
      </c>
      <c r="G70" s="14" t="n">
        <v>3500</v>
      </c>
    </row>
    <row r="71">
      <c r="A71" s="222" t="n">
        <v>43556</v>
      </c>
      <c r="B71" s="15" t="n">
        <v>148317.64</v>
      </c>
      <c r="C71" s="14" t="n">
        <v>9736</v>
      </c>
      <c r="D71" s="14" t="n">
        <v>10360</v>
      </c>
      <c r="E71" s="14" t="n">
        <v>1945</v>
      </c>
      <c r="F71" s="15" t="n">
        <v>32534.5</v>
      </c>
      <c r="G71" s="14" t="n">
        <v>0</v>
      </c>
    </row>
    <row r="72">
      <c r="A72" s="222" t="n">
        <v>43586</v>
      </c>
      <c r="B72" s="15" t="n">
        <v>184003.38</v>
      </c>
      <c r="C72" s="14" t="n">
        <v>19460</v>
      </c>
      <c r="D72" s="14" t="n">
        <v>11140</v>
      </c>
      <c r="E72" s="14" t="n">
        <v>2991</v>
      </c>
      <c r="F72" s="15" t="n">
        <v>31664</v>
      </c>
      <c r="G72" s="14" t="n">
        <v>0</v>
      </c>
    </row>
    <row r="73">
      <c r="A73" s="222" t="n">
        <v>43617</v>
      </c>
      <c r="B73" s="15" t="n">
        <v>193338.34</v>
      </c>
      <c r="C73" s="14" t="n">
        <v>8609</v>
      </c>
      <c r="D73" s="14" t="n">
        <v>12570</v>
      </c>
      <c r="E73" s="14" t="n">
        <v>2763</v>
      </c>
      <c r="F73" s="15" t="n">
        <v>23162.5</v>
      </c>
      <c r="G73" s="14" t="n">
        <v>0</v>
      </c>
    </row>
    <row r="74">
      <c r="A74" s="222" t="n">
        <v>43647</v>
      </c>
      <c r="B74" s="15" t="n">
        <v>180020</v>
      </c>
      <c r="C74" s="14" t="n">
        <v>15743</v>
      </c>
      <c r="D74" s="14" t="n">
        <v>20723</v>
      </c>
      <c r="E74" s="14" t="n">
        <v>1498</v>
      </c>
      <c r="F74" s="15" t="n">
        <v>19566</v>
      </c>
      <c r="G74" s="14" t="n">
        <v>0</v>
      </c>
    </row>
    <row r="75">
      <c r="A75" s="222" t="n">
        <v>43678</v>
      </c>
      <c r="B75" s="15" t="n">
        <v>202320</v>
      </c>
      <c r="C75" s="14" t="n">
        <v>10114</v>
      </c>
      <c r="D75" s="14" t="n">
        <v>26718</v>
      </c>
      <c r="E75" s="14" t="n">
        <v>2481</v>
      </c>
      <c r="F75" s="15" t="n">
        <v>24598</v>
      </c>
      <c r="G75" s="14" t="n">
        <v>0</v>
      </c>
    </row>
    <row r="76">
      <c r="A76" s="222" t="n">
        <v>43709</v>
      </c>
      <c r="B76" s="15" t="n">
        <v>201420</v>
      </c>
      <c r="C76" s="14" t="n">
        <v>19320</v>
      </c>
      <c r="D76" s="14" t="n">
        <v>25752</v>
      </c>
      <c r="E76" s="14" t="n">
        <v>3244</v>
      </c>
      <c r="F76" s="15" t="n">
        <v>34879.5</v>
      </c>
      <c r="G76" s="14" t="n">
        <v>28060</v>
      </c>
    </row>
    <row r="77">
      <c r="A77" s="222" t="n">
        <v>43739</v>
      </c>
      <c r="B77" s="15" t="n">
        <v>193050</v>
      </c>
      <c r="C77" s="14" t="n">
        <v>15600</v>
      </c>
      <c r="D77" s="14" t="n">
        <v>15486</v>
      </c>
      <c r="E77" s="14" t="n">
        <v>2299</v>
      </c>
      <c r="F77" s="15" t="n">
        <v>37721.5</v>
      </c>
      <c r="G77" s="14" t="n">
        <v>21060</v>
      </c>
    </row>
    <row r="78">
      <c r="A78" s="222" t="n">
        <v>43770</v>
      </c>
      <c r="B78" s="15" t="n">
        <v>155710</v>
      </c>
      <c r="C78" s="14" t="n">
        <v>15110</v>
      </c>
      <c r="D78" s="14" t="n">
        <v>12027</v>
      </c>
      <c r="E78" s="1" t="n">
        <v>572</v>
      </c>
      <c r="F78" s="15" t="n">
        <v>27265.5</v>
      </c>
      <c r="G78" s="14" t="n">
        <v>24240</v>
      </c>
    </row>
    <row r="79">
      <c r="A79" s="222" t="n">
        <v>43800</v>
      </c>
      <c r="B79" s="15" t="n">
        <v>170910</v>
      </c>
      <c r="C79" s="14" t="n">
        <v>15103</v>
      </c>
      <c r="D79" s="14" t="n">
        <v>11591</v>
      </c>
      <c r="E79" s="14" t="n">
        <v>2671</v>
      </c>
      <c r="F79" s="15" t="n">
        <v>28071.5</v>
      </c>
      <c r="G79" s="14" t="n">
        <v>34740</v>
      </c>
    </row>
    <row r="80">
      <c r="A80" s="222" t="n">
        <v>43831</v>
      </c>
      <c r="B80" s="15" t="n">
        <v>114570</v>
      </c>
      <c r="C80" s="14" t="n">
        <v>14121</v>
      </c>
      <c r="D80" s="14" t="n">
        <v>12094</v>
      </c>
      <c r="E80" s="1" t="n">
        <v>80</v>
      </c>
      <c r="F80" s="15" t="n">
        <v>23781.5</v>
      </c>
      <c r="G80" s="14" t="n">
        <v>26120</v>
      </c>
    </row>
    <row r="81">
      <c r="A81" s="222" t="n">
        <v>43862</v>
      </c>
      <c r="B81" s="15" t="n">
        <v>84920</v>
      </c>
      <c r="C81" s="14" t="n">
        <v>7732</v>
      </c>
      <c r="D81" s="14" t="n">
        <v>8720</v>
      </c>
      <c r="E81" s="1" t="inlineStr">
        <is>
          <t>-</t>
        </is>
      </c>
      <c r="F81" s="15" t="n">
        <v>11633.5</v>
      </c>
      <c r="G81" s="14" t="n">
        <v>27400</v>
      </c>
    </row>
    <row r="82">
      <c r="A82" s="222" t="n">
        <v>43891</v>
      </c>
      <c r="B82" s="15" t="n">
        <v>98090</v>
      </c>
      <c r="C82" s="14" t="n">
        <v>10699</v>
      </c>
      <c r="D82" s="14" t="n">
        <v>10888</v>
      </c>
      <c r="E82" s="14" t="n">
        <v>1020</v>
      </c>
      <c r="F82" s="15" t="n">
        <v>13782.5</v>
      </c>
      <c r="G82" s="14" t="n">
        <v>25800</v>
      </c>
    </row>
    <row r="83">
      <c r="A83" s="222" t="n">
        <v>43922</v>
      </c>
      <c r="B83" s="15" t="n">
        <v>102580</v>
      </c>
      <c r="C83" s="14" t="n">
        <v>9575</v>
      </c>
      <c r="D83" s="14" t="n">
        <v>6081</v>
      </c>
      <c r="E83" s="1" t="inlineStr">
        <is>
          <t>-</t>
        </is>
      </c>
      <c r="F83" s="15" t="n">
        <v>11779</v>
      </c>
      <c r="G83" s="14" t="n">
        <v>29300</v>
      </c>
    </row>
    <row r="84">
      <c r="A84" s="222" t="n">
        <v>43952</v>
      </c>
      <c r="B84" s="15" t="n">
        <v>142320</v>
      </c>
      <c r="C84" s="14" t="n">
        <v>11404</v>
      </c>
      <c r="D84" s="14" t="n">
        <v>14519</v>
      </c>
      <c r="E84" s="14" t="n">
        <v>1592</v>
      </c>
      <c r="F84" s="15" t="n">
        <v>15765</v>
      </c>
      <c r="G84" s="14" t="n">
        <v>34400</v>
      </c>
    </row>
    <row r="85">
      <c r="A85" s="222" t="n">
        <v>43983</v>
      </c>
      <c r="B85" s="15" t="n">
        <v>144130</v>
      </c>
      <c r="C85" s="14" t="n">
        <v>13922</v>
      </c>
      <c r="D85" s="14" t="n">
        <v>11552</v>
      </c>
      <c r="E85" s="14" t="n">
        <v>2208</v>
      </c>
      <c r="F85" s="15" t="n">
        <v>20002</v>
      </c>
      <c r="G85" s="14" t="n">
        <v>34400</v>
      </c>
    </row>
    <row r="86">
      <c r="A86" s="222" t="n">
        <v>44013</v>
      </c>
      <c r="B86" s="15" t="n">
        <v>124990</v>
      </c>
      <c r="C86" s="14" t="n">
        <v>13433</v>
      </c>
      <c r="D86" s="14" t="n">
        <v>14466</v>
      </c>
      <c r="E86" s="1" t="n">
        <v>70</v>
      </c>
      <c r="F86" s="15" t="n">
        <v>24809</v>
      </c>
      <c r="G86" s="14" t="n">
        <v>22300</v>
      </c>
    </row>
    <row r="87">
      <c r="A87" s="222" t="n">
        <v>44044</v>
      </c>
      <c r="B87" s="15" t="n">
        <v>123290</v>
      </c>
      <c r="C87" s="14" t="n">
        <v>12979</v>
      </c>
      <c r="D87" s="14" t="n">
        <v>16181</v>
      </c>
      <c r="E87" s="14" t="n">
        <v>1914</v>
      </c>
      <c r="F87" s="15" t="n">
        <v>23143</v>
      </c>
      <c r="G87" s="14" t="n">
        <v>28800</v>
      </c>
    </row>
    <row r="88">
      <c r="A88" s="222" t="n">
        <v>44075</v>
      </c>
      <c r="B88" s="15" t="n">
        <v>129930</v>
      </c>
      <c r="C88" s="14" t="n">
        <v>14978</v>
      </c>
      <c r="D88" s="14" t="n">
        <v>11971</v>
      </c>
      <c r="E88" s="1" t="n">
        <v>643</v>
      </c>
      <c r="F88" s="15" t="n">
        <v>28611</v>
      </c>
      <c r="G88" s="14" t="n">
        <v>27400</v>
      </c>
    </row>
    <row r="89">
      <c r="A89" s="222" t="n">
        <v>44105</v>
      </c>
      <c r="B89" s="15" t="n">
        <v>118440</v>
      </c>
      <c r="C89" s="14" t="n">
        <v>14577</v>
      </c>
      <c r="D89" s="14" t="n">
        <v>13345</v>
      </c>
      <c r="E89" s="14" t="n">
        <v>1763</v>
      </c>
      <c r="F89" s="15" t="n">
        <v>31009</v>
      </c>
      <c r="G89" s="14" t="n">
        <v>29300</v>
      </c>
    </row>
    <row r="90">
      <c r="A90" s="222" t="n">
        <v>44136</v>
      </c>
      <c r="B90" s="15" t="n">
        <v>121180</v>
      </c>
      <c r="C90" s="14" t="n">
        <v>13654</v>
      </c>
      <c r="D90" s="14" t="n">
        <v>15121</v>
      </c>
      <c r="E90" s="14" t="n">
        <v>2208</v>
      </c>
      <c r="F90" s="15" t="n">
        <v>34289</v>
      </c>
      <c r="G90" s="14" t="n">
        <v>24200</v>
      </c>
    </row>
    <row r="91">
      <c r="A91" s="222" t="n">
        <v>44166</v>
      </c>
      <c r="B91" s="15" t="n">
        <v>111960</v>
      </c>
      <c r="C91" s="14" t="n">
        <v>12734</v>
      </c>
      <c r="D91" s="14" t="n">
        <v>15807</v>
      </c>
      <c r="E91" s="1" t="n">
        <v>971</v>
      </c>
      <c r="F91" s="15" t="n">
        <v>33360</v>
      </c>
      <c r="G91" s="14" t="n">
        <v>13700</v>
      </c>
    </row>
    <row r="92">
      <c r="A92" s="222" t="n">
        <v>44197</v>
      </c>
      <c r="B92" s="15" t="n">
        <v>101870</v>
      </c>
      <c r="C92" s="14" t="n">
        <v>13316</v>
      </c>
      <c r="D92" s="14" t="n">
        <v>19644</v>
      </c>
      <c r="E92" s="14" t="n">
        <v>1544</v>
      </c>
      <c r="F92" s="15" t="n">
        <v>33517</v>
      </c>
      <c r="G92" s="14" t="n">
        <v>27700</v>
      </c>
    </row>
    <row r="93">
      <c r="A93" s="222" t="n">
        <v>44228</v>
      </c>
      <c r="B93" s="15" t="n">
        <v>108030</v>
      </c>
      <c r="C93" s="14" t="n">
        <v>12483</v>
      </c>
      <c r="D93" s="14" t="n">
        <v>8790</v>
      </c>
      <c r="E93" s="1" t="n">
        <v>652.5</v>
      </c>
      <c r="F93" s="15" t="n">
        <v>29468</v>
      </c>
      <c r="G93" s="14" t="n">
        <v>18800</v>
      </c>
    </row>
    <row r="94">
      <c r="A94" s="222" t="n">
        <v>44256</v>
      </c>
      <c r="B94" s="15" t="n">
        <v>128460</v>
      </c>
      <c r="C94" s="14" t="n">
        <v>15433</v>
      </c>
      <c r="D94" s="14" t="n">
        <v>15641</v>
      </c>
      <c r="E94" s="1" t="n">
        <v>788</v>
      </c>
      <c r="F94" s="15" t="n">
        <v>35447</v>
      </c>
      <c r="G94" s="14" t="n">
        <v>25500</v>
      </c>
    </row>
    <row r="95">
      <c r="A95" s="222" t="n">
        <v>44287</v>
      </c>
      <c r="B95" s="15" t="n">
        <v>123420</v>
      </c>
      <c r="C95" s="14" t="n">
        <v>13695</v>
      </c>
      <c r="D95" s="14" t="n">
        <v>23051</v>
      </c>
      <c r="E95" s="1" t="n">
        <v>130</v>
      </c>
      <c r="F95" s="15" t="n">
        <v>43497</v>
      </c>
      <c r="G95" s="14" t="n">
        <v>18800</v>
      </c>
    </row>
    <row r="96">
      <c r="A96" s="222" t="n">
        <v>44317</v>
      </c>
      <c r="B96" s="15" t="n">
        <v>136860</v>
      </c>
      <c r="C96" s="14" t="n">
        <v>13830</v>
      </c>
      <c r="D96" s="14" t="n">
        <v>12479</v>
      </c>
      <c r="E96" s="14" t="n">
        <v>1810</v>
      </c>
      <c r="F96" s="15" t="n">
        <v>40188</v>
      </c>
      <c r="G96" s="14" t="n">
        <v>23900</v>
      </c>
    </row>
    <row r="97">
      <c r="A97" s="222" t="n">
        <v>44348</v>
      </c>
      <c r="B97" s="15" t="n">
        <v>111190</v>
      </c>
      <c r="C97" s="14" t="n">
        <v>15033</v>
      </c>
      <c r="D97" s="14" t="n">
        <v>11932</v>
      </c>
      <c r="E97" s="14" t="n">
        <v>1038</v>
      </c>
      <c r="F97" s="15" t="n">
        <v>35583</v>
      </c>
      <c r="G97" s="14" t="n">
        <v>29300</v>
      </c>
    </row>
    <row r="98">
      <c r="A98" s="222" t="n">
        <v>44378</v>
      </c>
      <c r="B98" s="15" t="n">
        <v>117730</v>
      </c>
      <c r="C98" s="14" t="n">
        <v>14129</v>
      </c>
      <c r="D98" s="14" t="n">
        <v>19028</v>
      </c>
      <c r="E98" s="14" t="n">
        <v>1193</v>
      </c>
      <c r="F98" s="15" t="n">
        <v>36437</v>
      </c>
      <c r="G98" s="14" t="n">
        <v>29000</v>
      </c>
    </row>
    <row r="99">
      <c r="A99" s="222" t="n">
        <v>44409</v>
      </c>
      <c r="B99" s="15" t="n">
        <v>132220</v>
      </c>
      <c r="C99" s="14" t="n">
        <v>15918</v>
      </c>
      <c r="D99" s="14" t="n">
        <v>15276</v>
      </c>
      <c r="E99" s="1" t="n">
        <v>130</v>
      </c>
      <c r="F99" s="15" t="n">
        <v>33584</v>
      </c>
      <c r="G99" s="14" t="n">
        <v>41400</v>
      </c>
    </row>
    <row r="100">
      <c r="A100" s="222" t="n">
        <v>44440</v>
      </c>
      <c r="B100" s="15" t="n">
        <v>154490</v>
      </c>
      <c r="C100" s="14" t="n">
        <v>16127</v>
      </c>
      <c r="D100" s="14" t="n">
        <v>11602</v>
      </c>
      <c r="E100" s="14" t="n">
        <v>1086</v>
      </c>
      <c r="F100" s="15" t="n">
        <v>35376</v>
      </c>
      <c r="G100" s="14" t="n">
        <v>34400</v>
      </c>
    </row>
    <row r="101">
      <c r="A101" s="222" t="n">
        <v>44470</v>
      </c>
      <c r="B101" s="15" t="n">
        <v>143570</v>
      </c>
      <c r="C101" s="14" t="n">
        <v>13689</v>
      </c>
      <c r="D101" s="14" t="n">
        <v>10022</v>
      </c>
      <c r="E101" s="14" t="n">
        <v>1041</v>
      </c>
      <c r="F101" s="15" t="n">
        <v>45400</v>
      </c>
      <c r="G101" s="14" t="n">
        <v>41400</v>
      </c>
    </row>
    <row r="102">
      <c r="A102" s="222" t="n">
        <v>44501</v>
      </c>
      <c r="B102" s="15" t="n">
        <v>144810</v>
      </c>
      <c r="C102" s="14" t="n">
        <v>14972</v>
      </c>
      <c r="D102" s="14" t="n">
        <v>7370</v>
      </c>
      <c r="E102" s="14" t="n">
        <v>2626</v>
      </c>
      <c r="F102" s="15" t="n">
        <v>42665</v>
      </c>
      <c r="G102" s="14" t="n">
        <v>39800</v>
      </c>
    </row>
    <row r="103">
      <c r="A103" s="222" t="n">
        <v>44531</v>
      </c>
      <c r="B103" s="15" t="n">
        <v>143687</v>
      </c>
      <c r="C103" s="14" t="n">
        <v>14624</v>
      </c>
      <c r="D103" s="14" t="n">
        <v>12451</v>
      </c>
      <c r="E103" s="1" t="n">
        <v>426</v>
      </c>
      <c r="F103" s="15" t="n">
        <v>41338</v>
      </c>
      <c r="G103" s="14" t="n">
        <v>39500</v>
      </c>
    </row>
    <row r="104">
      <c r="A104" s="222" t="n">
        <v>44562</v>
      </c>
      <c r="B104" s="15" t="n">
        <v>144020</v>
      </c>
      <c r="C104" s="14" t="n">
        <v>15254</v>
      </c>
      <c r="D104" s="14" t="n">
        <v>22250</v>
      </c>
      <c r="E104" s="1" t="n">
        <v>200</v>
      </c>
      <c r="F104" s="15" t="n">
        <v>33071</v>
      </c>
      <c r="G104" s="14" t="n">
        <v>34400</v>
      </c>
    </row>
    <row r="105">
      <c r="A105" s="222" t="n">
        <v>44593</v>
      </c>
      <c r="B105" s="15" t="n">
        <v>110360</v>
      </c>
      <c r="C105" s="14" t="n">
        <v>11431</v>
      </c>
      <c r="D105" s="14" t="n">
        <v>8933</v>
      </c>
      <c r="E105" s="14" t="n">
        <v>1126</v>
      </c>
      <c r="F105" s="15" t="n">
        <v>24947</v>
      </c>
      <c r="G105" s="14" t="n">
        <v>18800</v>
      </c>
    </row>
    <row r="106">
      <c r="A106" s="222" t="n">
        <v>44621</v>
      </c>
      <c r="B106" s="15" t="n">
        <v>112280</v>
      </c>
      <c r="C106" s="14" t="n">
        <v>10427</v>
      </c>
      <c r="D106" s="14" t="n">
        <v>10489</v>
      </c>
      <c r="E106" s="1" t="inlineStr">
        <is>
          <t>-</t>
        </is>
      </c>
      <c r="F106" s="15" t="n">
        <v>22091</v>
      </c>
      <c r="G106" s="14" t="n">
        <v>30900</v>
      </c>
    </row>
    <row r="107">
      <c r="A107" s="222" t="n">
        <v>44652</v>
      </c>
      <c r="B107" s="15" t="n">
        <v>109680</v>
      </c>
      <c r="C107" s="14" t="n">
        <v>9846</v>
      </c>
      <c r="D107" s="14" t="n">
        <v>12721</v>
      </c>
      <c r="E107" s="14" t="n">
        <v>2678</v>
      </c>
      <c r="F107" s="15" t="n">
        <v>24587</v>
      </c>
      <c r="G107" s="14" t="n">
        <v>30900</v>
      </c>
    </row>
    <row r="108">
      <c r="A108" s="222" t="n">
        <v>44682</v>
      </c>
      <c r="B108" s="15" t="n">
        <v>128780</v>
      </c>
      <c r="C108" s="14" t="n">
        <v>11059</v>
      </c>
      <c r="D108" s="14" t="n">
        <v>13516</v>
      </c>
      <c r="E108" s="1" t="n">
        <v>816</v>
      </c>
      <c r="F108" s="15" t="n">
        <v>27462</v>
      </c>
      <c r="G108" s="14" t="n">
        <v>37900</v>
      </c>
    </row>
    <row r="109">
      <c r="A109" s="222" t="n">
        <v>44713</v>
      </c>
      <c r="B109" s="15" t="n">
        <v>133160</v>
      </c>
      <c r="C109" s="14" t="n">
        <v>11103</v>
      </c>
      <c r="D109" s="14" t="n">
        <v>10504</v>
      </c>
      <c r="E109" s="14" t="n">
        <v>2070</v>
      </c>
      <c r="F109" s="15" t="n">
        <v>22866</v>
      </c>
      <c r="G109" s="14" t="n">
        <v>43000</v>
      </c>
    </row>
    <row r="110">
      <c r="A110" s="222" t="n">
        <v>44743</v>
      </c>
      <c r="B110" s="15" t="n">
        <v>133830</v>
      </c>
      <c r="C110" s="14" t="n">
        <v>11033</v>
      </c>
      <c r="D110" s="14" t="n">
        <v>14010</v>
      </c>
      <c r="E110" s="1" t="n">
        <v>541</v>
      </c>
      <c r="F110" s="15" t="n">
        <v>25004</v>
      </c>
      <c r="G110" s="14" t="n">
        <v>30900</v>
      </c>
    </row>
    <row r="111">
      <c r="A111" s="222" t="n">
        <v>44774</v>
      </c>
      <c r="B111" s="15" t="n">
        <v>142600</v>
      </c>
      <c r="C111" s="14" t="n">
        <v>12033</v>
      </c>
      <c r="D111" s="14" t="n">
        <v>17503</v>
      </c>
      <c r="E111" s="14" t="n">
        <v>2816</v>
      </c>
      <c r="F111" s="15" t="n">
        <v>26660</v>
      </c>
      <c r="G111" s="14" t="n">
        <v>37900</v>
      </c>
    </row>
    <row r="112">
      <c r="A112" s="222" t="n">
        <v>44805</v>
      </c>
      <c r="B112" s="15" t="n">
        <v>173160</v>
      </c>
      <c r="C112" s="14" t="n">
        <v>13490</v>
      </c>
      <c r="D112" s="14" t="n">
        <v>13831</v>
      </c>
      <c r="E112" s="1" t="n">
        <v>123</v>
      </c>
      <c r="F112" s="15" t="n">
        <v>35619</v>
      </c>
      <c r="G112" s="14" t="n">
        <v>39500</v>
      </c>
    </row>
    <row r="113">
      <c r="A113" s="222" t="n">
        <v>44835</v>
      </c>
      <c r="B113" s="15" t="n">
        <v>168060</v>
      </c>
      <c r="C113" s="14" t="n">
        <v>13466</v>
      </c>
      <c r="D113" s="14" t="n">
        <v>16926</v>
      </c>
      <c r="E113" s="14" t="n">
        <v>1818</v>
      </c>
      <c r="F113" s="15" t="n">
        <v>39851</v>
      </c>
      <c r="G113" s="14" t="n">
        <v>34400</v>
      </c>
    </row>
    <row r="114">
      <c r="A114" s="222" t="n">
        <v>44866</v>
      </c>
      <c r="B114" s="15" t="n">
        <v>166850</v>
      </c>
      <c r="C114" s="14" t="n">
        <v>12498</v>
      </c>
      <c r="D114" s="14" t="n">
        <v>13936</v>
      </c>
      <c r="E114" s="14" t="n">
        <v>1227</v>
      </c>
      <c r="F114" s="15" t="n">
        <v>42228</v>
      </c>
      <c r="G114" s="14" t="n">
        <v>37900</v>
      </c>
    </row>
    <row r="115">
      <c r="A115" s="222" t="n">
        <v>44896</v>
      </c>
      <c r="B115" s="15" t="n">
        <v>154040</v>
      </c>
      <c r="C115" s="14" t="n">
        <v>12505</v>
      </c>
      <c r="D115" s="14" t="n">
        <v>17833</v>
      </c>
      <c r="E115" s="14" t="n">
        <v>1093</v>
      </c>
      <c r="F115" s="15" t="n">
        <v>44338</v>
      </c>
      <c r="G115" s="14" t="n">
        <v>34400</v>
      </c>
    </row>
    <row r="116">
      <c r="A116" s="222" t="n">
        <v>44927</v>
      </c>
      <c r="B116" s="15" t="n">
        <v>124160</v>
      </c>
      <c r="C116" s="14" t="n">
        <v>9653</v>
      </c>
      <c r="D116" s="14" t="n">
        <v>16972</v>
      </c>
      <c r="E116" s="14" t="n">
        <v>1966</v>
      </c>
      <c r="F116" s="15" t="n">
        <v>34407</v>
      </c>
      <c r="G116" s="14" t="n">
        <v>37900</v>
      </c>
    </row>
    <row r="117">
      <c r="A117" s="222" t="n">
        <v>44958</v>
      </c>
      <c r="B117" s="15" t="n">
        <v>152050</v>
      </c>
      <c r="C117" s="14" t="n">
        <v>10668</v>
      </c>
      <c r="D117" s="14" t="n">
        <v>14310</v>
      </c>
      <c r="E117" s="1" t="n">
        <v>847</v>
      </c>
      <c r="F117" s="15" t="n">
        <v>28553</v>
      </c>
      <c r="G117" s="14" t="n">
        <v>27400</v>
      </c>
    </row>
    <row r="118">
      <c r="A118" s="222" t="n">
        <v>44986</v>
      </c>
      <c r="B118" s="15" t="n">
        <v>169890</v>
      </c>
      <c r="C118" s="14" t="n">
        <v>11592</v>
      </c>
      <c r="D118" s="14" t="n">
        <v>17174</v>
      </c>
      <c r="E118" s="1" t="n">
        <v>859</v>
      </c>
      <c r="F118" s="15" t="n">
        <v>35187</v>
      </c>
      <c r="G118" s="14" t="n">
        <v>32500</v>
      </c>
    </row>
    <row r="119">
      <c r="A119" s="222" t="n">
        <v>45017</v>
      </c>
      <c r="B119" s="15" t="n">
        <v>149490</v>
      </c>
      <c r="C119" s="14" t="n">
        <v>11175</v>
      </c>
      <c r="D119" s="14" t="n">
        <v>16927</v>
      </c>
      <c r="E119" s="14" t="n">
        <v>2194</v>
      </c>
      <c r="F119" s="15" t="n">
        <v>39810.5</v>
      </c>
      <c r="G119" s="14" t="n">
        <v>22300</v>
      </c>
    </row>
    <row r="120">
      <c r="A120" s="222" t="n">
        <v>45047</v>
      </c>
      <c r="B120" s="15" t="n">
        <v>151970</v>
      </c>
      <c r="C120" s="14" t="n">
        <v>10927</v>
      </c>
      <c r="D120" s="14" t="n">
        <v>12838</v>
      </c>
      <c r="E120" s="1" t="n">
        <v>120</v>
      </c>
      <c r="F120" s="15" t="n">
        <v>32186.3</v>
      </c>
      <c r="G120" s="14" t="n">
        <v>30900</v>
      </c>
    </row>
    <row r="121">
      <c r="A121" s="222" t="n">
        <v>45078</v>
      </c>
      <c r="B121" s="15" t="n">
        <v>142210</v>
      </c>
      <c r="C121" s="14" t="n">
        <v>10699</v>
      </c>
      <c r="D121" s="14" t="n">
        <v>14297</v>
      </c>
      <c r="E121" s="1" t="n">
        <v>831</v>
      </c>
      <c r="F121" s="15" t="n">
        <v>40149.6</v>
      </c>
      <c r="G121" s="14" t="n">
        <v>32500</v>
      </c>
    </row>
    <row r="122">
      <c r="A122" s="222" t="n">
        <v>45108</v>
      </c>
      <c r="B122" s="15" t="n">
        <v>136680</v>
      </c>
      <c r="C122" s="14" t="n">
        <v>10930</v>
      </c>
      <c r="D122" s="14" t="n">
        <v>18915</v>
      </c>
      <c r="E122" s="14" t="n">
        <v>1356</v>
      </c>
      <c r="F122" s="15" t="n">
        <v>23184.4</v>
      </c>
      <c r="G122" s="14" t="n">
        <v>21670</v>
      </c>
    </row>
    <row r="123">
      <c r="A123" s="222" t="n">
        <v>45139</v>
      </c>
      <c r="B123" s="15" t="n">
        <v>153100</v>
      </c>
      <c r="C123" s="14" t="n">
        <v>11013</v>
      </c>
      <c r="D123" s="14" t="n">
        <v>16472</v>
      </c>
      <c r="E123" s="14" t="n">
        <v>1702</v>
      </c>
      <c r="F123" s="15" t="n">
        <v>28190.5</v>
      </c>
      <c r="G123" s="14" t="n">
        <v>27270</v>
      </c>
    </row>
    <row r="124">
      <c r="A124" s="222" t="n">
        <v>45170</v>
      </c>
      <c r="B124" s="15" t="n">
        <v>157880</v>
      </c>
      <c r="C124" s="14" t="n">
        <v>11440</v>
      </c>
      <c r="D124" s="14" t="n">
        <v>17001</v>
      </c>
      <c r="E124" s="1" t="n">
        <v>803</v>
      </c>
      <c r="F124" s="15" t="n">
        <v>30387</v>
      </c>
      <c r="G124" s="14" t="n">
        <v>48985</v>
      </c>
    </row>
    <row r="125">
      <c r="A125" s="222" t="n">
        <v>45200</v>
      </c>
      <c r="B125" s="15" t="n">
        <v>151690</v>
      </c>
      <c r="C125" s="14" t="n">
        <v>11627</v>
      </c>
      <c r="D125" s="14" t="n">
        <v>16333</v>
      </c>
      <c r="E125" s="14" t="n">
        <v>2024</v>
      </c>
      <c r="F125" s="15" t="n">
        <v>30156.5</v>
      </c>
      <c r="G125" s="14" t="n">
        <v>30475</v>
      </c>
    </row>
    <row r="126">
      <c r="A126" s="222" t="n">
        <v>45231</v>
      </c>
      <c r="B126" s="15" t="n">
        <v>158262</v>
      </c>
      <c r="C126" s="14" t="n">
        <v>13859</v>
      </c>
      <c r="D126" s="14" t="n">
        <v>13952</v>
      </c>
      <c r="E126" s="14" t="n">
        <v>1930</v>
      </c>
      <c r="F126" s="15" t="n">
        <v>42616.3</v>
      </c>
      <c r="G126" s="14" t="n">
        <v>23750</v>
      </c>
    </row>
    <row r="127">
      <c r="A127" s="222" t="n">
        <v>45261</v>
      </c>
      <c r="B127" s="15" t="n">
        <v>148708</v>
      </c>
      <c r="C127" s="14" t="n">
        <v>13821</v>
      </c>
      <c r="D127" s="14" t="n">
        <v>15942</v>
      </c>
      <c r="E127" s="14" t="n">
        <v>2321</v>
      </c>
      <c r="F127" s="15" t="n">
        <v>35693.4</v>
      </c>
      <c r="G127" s="14" t="n">
        <v>6</v>
      </c>
    </row>
    <row r="128">
      <c r="A128" s="222" t="n">
        <v>45292</v>
      </c>
      <c r="B128" s="15" t="n">
        <v>130290</v>
      </c>
      <c r="C128" s="14" t="n">
        <v>13903</v>
      </c>
      <c r="D128" s="14" t="n">
        <v>19935</v>
      </c>
      <c r="E128" s="14" t="n">
        <v>1495</v>
      </c>
      <c r="F128" s="15" t="n">
        <v>29377.9</v>
      </c>
      <c r="G128" s="14" t="n">
        <v>29300</v>
      </c>
    </row>
    <row r="129">
      <c r="A129" s="222" t="n">
        <v>45323</v>
      </c>
      <c r="B129" s="15" t="n">
        <v>123010</v>
      </c>
      <c r="C129" s="14" t="n">
        <v>13060</v>
      </c>
      <c r="D129" s="14" t="n">
        <v>16518</v>
      </c>
      <c r="E129" s="14" t="n">
        <v>1417</v>
      </c>
      <c r="F129" s="15" t="n">
        <v>35433.2</v>
      </c>
      <c r="G129" s="14" t="n">
        <v>21810</v>
      </c>
    </row>
    <row r="130">
      <c r="A130" s="222" t="n">
        <v>45352</v>
      </c>
      <c r="B130" s="15" t="n">
        <v>141700</v>
      </c>
      <c r="C130" s="14" t="n">
        <v>13739</v>
      </c>
      <c r="D130" s="14" t="n">
        <v>15933</v>
      </c>
      <c r="E130" s="14" t="n">
        <v>1545</v>
      </c>
      <c r="F130" s="15" t="n">
        <v>43511.3</v>
      </c>
      <c r="G130" s="14" t="n">
        <v>24205</v>
      </c>
    </row>
    <row r="131">
      <c r="A131" s="222" t="n">
        <v>45383</v>
      </c>
      <c r="B131" s="15">
        <f>SUM('Raw Data (KG)'!B131:C131)</f>
        <v/>
      </c>
      <c r="C131" s="14">
        <f>SUM('Raw Data (KG)'!E131)+SUM('Raw Data (KG)'!H131:I131)+SUM('Raw Data (KG)'!J131)+SUM('Raw Data (KG)'!P131:Q131)</f>
        <v/>
      </c>
      <c r="D131" s="14">
        <f>SUM('Raw Data (KG)'!F131:G131)+SUM('Raw Data (KG)'!M131:N131)+SUM('Raw Data (KG)'!V131)</f>
        <v/>
      </c>
      <c r="E131" s="14">
        <f>SUM('Raw Data (KG)'!K131:L131)+SUM('Raw Data (KG)'!O131)+SUM('Raw Data (KG)'!U131)</f>
        <v/>
      </c>
      <c r="F131" s="15">
        <f>SUM('Raw Food Data (KG)'!Q92)</f>
        <v/>
      </c>
      <c r="G131" s="14">
        <f>SUM('Raw Data (KG)'!X131:Y131)</f>
        <v/>
      </c>
    </row>
    <row r="132">
      <c r="A132" s="222" t="n">
        <v>45413</v>
      </c>
      <c r="B132" s="15">
        <f>SUM('Raw Data (KG)'!B132:C132)</f>
        <v/>
      </c>
      <c r="C132" s="14">
        <f>SUM('Raw Data (KG)'!E132)+SUM('Raw Data (KG)'!H132:I132)+SUM('Raw Data (KG)'!J132)+SUM('Raw Data (KG)'!P132:Q132)</f>
        <v/>
      </c>
      <c r="D132" s="14">
        <f>SUM('Raw Data (KG)'!F132:G132)+SUM('Raw Data (KG)'!M132:N132)+SUM('Raw Data (KG)'!V132)</f>
        <v/>
      </c>
      <c r="E132" s="14">
        <f>SUM('Raw Data (KG)'!K132:L132)+SUM('Raw Data (KG)'!O132)+SUM('Raw Data (KG)'!U132)</f>
        <v/>
      </c>
      <c r="F132" s="15">
        <f>SUM('Raw Food Data (KG)'!Q93)</f>
        <v/>
      </c>
      <c r="G132" s="14">
        <f>SUM('Raw Data (KG)'!X132:Y132)</f>
        <v/>
      </c>
    </row>
    <row r="133">
      <c r="A133" s="222" t="n">
        <v>45444</v>
      </c>
      <c r="B133" s="15">
        <f>SUM('Raw Data (KG)'!B133:C133)</f>
        <v/>
      </c>
      <c r="C133" s="14">
        <f>SUM('Raw Data (KG)'!E133)+SUM('Raw Data (KG)'!H131:I133)+SUM('Raw Data (KG)'!J133)+SUM('Raw Data (KG)'!P133:Q133)</f>
        <v/>
      </c>
      <c r="D133" s="14">
        <f>SUM('Raw Data (KG)'!F133:G133)+SUM('Raw Data (KG)'!M133:N133)+SUM('Raw Data (KG)'!V133)</f>
        <v/>
      </c>
      <c r="E133" s="14">
        <f>SUM('Raw Data (KG)'!K133:L133)+SUM('Raw Data (KG)'!O133)+SUM('Raw Data (KG)'!U133)</f>
        <v/>
      </c>
      <c r="F133" s="15">
        <f>SUM('Raw Food Data (KG)'!Q94)</f>
        <v/>
      </c>
      <c r="G133" s="14">
        <f>SUM('Raw Data (KG)'!X133:Y133)</f>
        <v/>
      </c>
    </row>
    <row r="134">
      <c r="A134" s="222" t="n">
        <v>45474</v>
      </c>
      <c r="B134" s="15">
        <f>SUM('Raw Data (KG)'!B134:C134)</f>
        <v/>
      </c>
      <c r="C134" s="14">
        <f>SUM('Raw Data (KG)'!E134)+SUM('Raw Data (KG)'!H132:I134)+SUM('Raw Data (KG)'!J134)+SUM('Raw Data (KG)'!P134:Q134)</f>
        <v/>
      </c>
      <c r="D134" s="14">
        <f>SUM('Raw Data (KG)'!F134:G134)+SUM('Raw Data (KG)'!M134:N134)+SUM('Raw Data (KG)'!V134)</f>
        <v/>
      </c>
      <c r="E134" s="14">
        <f>SUM('Raw Data (KG)'!K134:L134)+SUM('Raw Data (KG)'!O134)+SUM('Raw Data (KG)'!U134)</f>
        <v/>
      </c>
      <c r="F134" s="15">
        <f>SUM('Raw Food Data (KG)'!Q95)</f>
        <v/>
      </c>
      <c r="G134" s="14">
        <f>SUM('Raw Data (KG)'!X134:Y134)</f>
        <v/>
      </c>
      <c r="H134" s="15" t="n"/>
    </row>
    <row r="135">
      <c r="A135" s="222" t="n">
        <v>45505</v>
      </c>
      <c r="B135" s="15">
        <f>SUM('Raw Data (KG)'!B135:C135)</f>
        <v/>
      </c>
      <c r="C135" s="14">
        <f>SUM('Raw Data (KG)'!E135)+SUM('Raw Data (KG)'!H133:I135)+SUM('Raw Data (KG)'!J135)+SUM('Raw Data (KG)'!P135:Q135)</f>
        <v/>
      </c>
      <c r="D135" s="14">
        <f>SUM('Raw Data (KG)'!F135:G135)+SUM('Raw Data (KG)'!M135:N135)+SUM('Raw Data (KG)'!V135)</f>
        <v/>
      </c>
      <c r="E135" s="14">
        <f>SUM('Raw Data (KG)'!K135:L135)+SUM('Raw Data (KG)'!O135)+SUM('Raw Data (KG)'!U135)</f>
        <v/>
      </c>
      <c r="F135" s="15">
        <f>SUM('Raw Food Data (KG)'!Q96)</f>
        <v/>
      </c>
      <c r="G135" s="14">
        <f>SUM('Raw Data (KG)'!X135:Y135)</f>
        <v/>
      </c>
      <c r="H135" s="153" t="n"/>
    </row>
    <row r="136">
      <c r="A136" s="222" t="n">
        <v>45536</v>
      </c>
      <c r="B136" s="15">
        <f>SUM('Raw Data (KG)'!B136:C136)</f>
        <v/>
      </c>
      <c r="C136" s="14">
        <f>SUM('Raw Data (KG)'!E136)+SUM('Raw Data (KG)'!H134:I136)+SUM('Raw Data (KG)'!J136)+SUM('Raw Data (KG)'!P136:Q136)</f>
        <v/>
      </c>
      <c r="D136" s="14">
        <f>SUM('Raw Data (KG)'!F136:G136)+SUM('Raw Data (KG)'!M136:N136)+SUM('Raw Data (KG)'!V136)</f>
        <v/>
      </c>
      <c r="E136" s="14">
        <f>SUM('Raw Data (KG)'!K136:L136)+SUM('Raw Data (KG)'!O136)+SUM('Raw Data (KG)'!U136)</f>
        <v/>
      </c>
      <c r="F136" s="15">
        <f>SUM('Raw Food Data (KG)'!Q97)</f>
        <v/>
      </c>
      <c r="G136" s="14">
        <f>SUM('Raw Data (KG)'!X136:Y136)</f>
        <v/>
      </c>
      <c r="H136" s="15" t="n"/>
    </row>
    <row r="137">
      <c r="A137" s="222" t="n">
        <v>45566</v>
      </c>
      <c r="B137" s="15">
        <f>SUM('Raw Data (KG)'!B137:C137)</f>
        <v/>
      </c>
      <c r="C137" s="14">
        <f>SUM('Raw Data (KG)'!E137)+SUM('Raw Data (KG)'!H135:I137)+SUM('Raw Data (KG)'!J137)+SUM('Raw Data (KG)'!P137:Q137)</f>
        <v/>
      </c>
      <c r="D137" s="14">
        <f>SUM('Raw Data (KG)'!F137:G137)+SUM('Raw Data (KG)'!M137:N137)+SUM('Raw Data (KG)'!V137)</f>
        <v/>
      </c>
      <c r="E137" s="14">
        <f>SUM('Raw Data (KG)'!K137:L137)+SUM('Raw Data (KG)'!O137)+SUM('Raw Data (KG)'!U137)</f>
        <v/>
      </c>
      <c r="F137" s="15">
        <f>SUM('Raw Food Data (KG)'!Q98)</f>
        <v/>
      </c>
      <c r="G137" s="14">
        <f>SUM('Raw Data (KG)'!X137:Y137)</f>
        <v/>
      </c>
      <c r="H137" s="15" t="n"/>
    </row>
    <row r="138">
      <c r="A138" s="222" t="n">
        <v>45597</v>
      </c>
      <c r="B138" s="15">
        <f>SUM('Raw Data (KG)'!B138:C138)</f>
        <v/>
      </c>
      <c r="C138" s="14">
        <f>SUM('Raw Data (KG)'!E138)+SUM('Raw Data (KG)'!H136:I138)+SUM('Raw Data (KG)'!J138)+SUM('Raw Data (KG)'!P138:Q138)</f>
        <v/>
      </c>
      <c r="D138" s="14">
        <f>SUM('Raw Data (KG)'!F138:G138)+SUM('Raw Data (KG)'!M138:N138)+SUM('Raw Data (KG)'!V138)</f>
        <v/>
      </c>
      <c r="E138" s="14">
        <f>SUM('Raw Data (KG)'!K138:L138)+SUM('Raw Data (KG)'!O138)+SUM('Raw Data (KG)'!U138)</f>
        <v/>
      </c>
      <c r="F138" s="15">
        <f>SUM('Raw Food Data (KG)'!Q99)</f>
        <v/>
      </c>
      <c r="G138" s="14">
        <f>SUM('Raw Data (KG)'!X138:Y138)</f>
        <v/>
      </c>
      <c r="H138" s="15" t="n"/>
    </row>
    <row r="139">
      <c r="A139" s="222" t="n">
        <v>45627</v>
      </c>
      <c r="B139" s="15">
        <f>SUM('Raw Data (KG)'!B139:C139)</f>
        <v/>
      </c>
      <c r="C139" s="14">
        <f>SUM('Raw Data (KG)'!E139)+SUM('Raw Data (KG)'!H137:I139)+SUM('Raw Data (KG)'!J139)+SUM('Raw Data (KG)'!P139:Q139)</f>
        <v/>
      </c>
      <c r="D139" s="14">
        <f>SUM('Raw Data (KG)'!F139:G139)+SUM('Raw Data (KG)'!M139:N139)+SUM('Raw Data (KG)'!V139)</f>
        <v/>
      </c>
      <c r="E139" s="14">
        <f>SUM('Raw Data (KG)'!K139:L139)+SUM('Raw Data (KG)'!O139)+SUM('Raw Data (KG)'!U139)</f>
        <v/>
      </c>
      <c r="F139" s="15">
        <f>SUM('Raw Food Data (KG)'!Q100)</f>
        <v/>
      </c>
      <c r="G139" s="14">
        <f>SUM('Raw Data (KG)'!X139:Y139)</f>
        <v/>
      </c>
      <c r="H139" s="15" t="n"/>
    </row>
    <row r="140">
      <c r="A140" s="222" t="n">
        <v>45658</v>
      </c>
      <c r="B140" s="15">
        <f>SUM('Raw Data (KG)'!B140:C140)</f>
        <v/>
      </c>
      <c r="C140" s="14">
        <f>SUM('Raw Data (KG)'!E140)+SUM('Raw Data (KG)'!H138:I140)+SUM('Raw Data (KG)'!J140)+SUM('Raw Data (KG)'!P140:Q140)</f>
        <v/>
      </c>
      <c r="D140" s="14">
        <f>SUM('Raw Data (KG)'!F140:G140)+SUM('Raw Data (KG)'!M140:N140)+SUM('Raw Data (KG)'!V140)</f>
        <v/>
      </c>
      <c r="E140" s="14">
        <f>SUM('Raw Data (KG)'!K140:L140)+SUM('Raw Data (KG)'!O140)+SUM('Raw Data (KG)'!U140)</f>
        <v/>
      </c>
      <c r="F140" s="15">
        <f>SUM('Raw Food Data (KG)'!Q101)</f>
        <v/>
      </c>
      <c r="G140" s="14">
        <f>SUM('Raw Data (KG)'!X140:Y140)</f>
        <v/>
      </c>
      <c r="H140" s="15" t="n"/>
    </row>
    <row r="141">
      <c r="A141" s="222" t="n">
        <v>45689</v>
      </c>
      <c r="B141" s="15">
        <f>SUM('Raw Data (KG)'!B141:C141)</f>
        <v/>
      </c>
      <c r="C141" s="14">
        <f>SUM('Raw Data (KG)'!E141)+SUM('Raw Data (KG)'!H139:I141)+SUM('Raw Data (KG)'!J141)+SUM('Raw Data (KG)'!P141:Q141)</f>
        <v/>
      </c>
      <c r="D141" s="14">
        <f>SUM('Raw Data (KG)'!F141:G141)+SUM('Raw Data (KG)'!M141:N141)+SUM('Raw Data (KG)'!V141)</f>
        <v/>
      </c>
      <c r="E141" s="14">
        <f>SUM('Raw Data (KG)'!K141:L141)+SUM('Raw Data (KG)'!O141)+SUM('Raw Data (KG)'!U141)</f>
        <v/>
      </c>
      <c r="F141" s="15">
        <f>SUM('Raw Food Data (KG)'!Q102)</f>
        <v/>
      </c>
      <c r="G141" s="14">
        <f>SUM('Raw Data (KG)'!X141:Y141)</f>
        <v/>
      </c>
      <c r="H141" s="15" t="n"/>
    </row>
    <row r="142">
      <c r="A142" s="222" t="n">
        <v>45717</v>
      </c>
      <c r="B142" s="15">
        <f>SUM('Raw Data (KG)'!B142:C142)</f>
        <v/>
      </c>
      <c r="C142" s="14">
        <f>SUM('Raw Data (KG)'!E142)+SUM('Raw Data (KG)'!H140:I142)+SUM('Raw Data (KG)'!J142)+SUM('Raw Data (KG)'!P142:Q142)</f>
        <v/>
      </c>
      <c r="D142" s="14">
        <f>SUM('Raw Data (KG)'!F142:G142)+SUM('Raw Data (KG)'!M142:N142)+SUM('Raw Data (KG)'!V142)</f>
        <v/>
      </c>
      <c r="E142" s="14">
        <f>SUM('Raw Data (KG)'!K142:L142)+SUM('Raw Data (KG)'!O142)+SUM('Raw Data (KG)'!U142)</f>
        <v/>
      </c>
      <c r="F142" s="15">
        <f>SUM('Raw Food Data (KG)'!Q103)</f>
        <v/>
      </c>
      <c r="G142" s="14">
        <f>SUM('Raw Data (KG)'!X142:Y142)</f>
        <v/>
      </c>
      <c r="H142" s="15" t="n"/>
    </row>
    <row r="143">
      <c r="A143" s="222" t="n">
        <v>45748</v>
      </c>
      <c r="B143" s="15">
        <f>SUM('Raw Data (KG)'!B143:C143)</f>
        <v/>
      </c>
      <c r="C143" s="14">
        <f>SUM('Raw Data (KG)'!E143)+SUM('Raw Data (KG)'!H141:I143)+SUM('Raw Data (KG)'!J143)+SUM('Raw Data (KG)'!P143:Q143)</f>
        <v/>
      </c>
      <c r="D143" s="14">
        <f>SUM('Raw Data (KG)'!F143:G143)+SUM('Raw Data (KG)'!M143:N143)+SUM('Raw Data (KG)'!V143)</f>
        <v/>
      </c>
      <c r="E143" s="14">
        <f>SUM('Raw Data (KG)'!K143:L143)+SUM('Raw Data (KG)'!O143)+SUM('Raw Data (KG)'!U143)</f>
        <v/>
      </c>
      <c r="F143" s="15">
        <f>SUM('Raw Food Data (KG)'!Q104)</f>
        <v/>
      </c>
      <c r="G143" s="14">
        <f>SUM('Raw Data (KG)'!X143:Y143)</f>
        <v/>
      </c>
      <c r="H143" s="15" t="n"/>
    </row>
    <row r="144">
      <c r="A144" s="222" t="n">
        <v>45778</v>
      </c>
      <c r="B144" s="15">
        <f>SUM('Raw Data (KG)'!B144:C144)</f>
        <v/>
      </c>
      <c r="C144" s="14">
        <f>SUM('Raw Data (KG)'!E144)+SUM('Raw Data (KG)'!H142:I144)+SUM('Raw Data (KG)'!J144)+SUM('Raw Data (KG)'!P144:Q144)</f>
        <v/>
      </c>
      <c r="D144" s="14">
        <f>SUM('Raw Data (KG)'!F144:G144)+SUM('Raw Data (KG)'!M144:N144)+SUM('Raw Data (KG)'!V144)</f>
        <v/>
      </c>
      <c r="E144" s="14">
        <f>SUM('Raw Data (KG)'!K144:L144)+SUM('Raw Data (KG)'!O144)+SUM('Raw Data (KG)'!U144)</f>
        <v/>
      </c>
      <c r="F144" s="15">
        <f>SUM('Raw Food Data (KG)'!Q105)</f>
        <v/>
      </c>
      <c r="G144" s="14">
        <f>SUM('Raw Data (KG)'!X144:Y144)</f>
        <v/>
      </c>
      <c r="H144" s="15" t="n"/>
    </row>
    <row r="145">
      <c r="A145" s="222" t="n">
        <v>45809</v>
      </c>
      <c r="B145" s="15">
        <f>SUM('Raw Data (KG)'!B145:C145)</f>
        <v/>
      </c>
      <c r="C145" s="14">
        <f>SUM('Raw Data (KG)'!E145)+SUM('Raw Data (KG)'!H143:I145)+SUM('Raw Data (KG)'!J145)+SUM('Raw Data (KG)'!P145:Q145)</f>
        <v/>
      </c>
      <c r="D145" s="14">
        <f>SUM('Raw Data (KG)'!F145:G145)+SUM('Raw Data (KG)'!M145:N145)+SUM('Raw Data (KG)'!V145)</f>
        <v/>
      </c>
      <c r="E145" s="14">
        <f>SUM('Raw Data (KG)'!K145:L145)+SUM('Raw Data (KG)'!O145)+SUM('Raw Data (KG)'!U145)</f>
        <v/>
      </c>
      <c r="F145" s="15">
        <f>SUM('Raw Food Data (KG)'!Q106)</f>
        <v/>
      </c>
      <c r="G145" s="14">
        <f>SUM('Raw Data (KG)'!X145:Y145)</f>
        <v/>
      </c>
      <c r="H145" s="15" t="n"/>
    </row>
    <row r="146">
      <c r="A146" s="222" t="n"/>
      <c r="B146" s="15" t="n"/>
      <c r="C146" s="14" t="n"/>
      <c r="D146" s="14" t="n"/>
      <c r="E146" s="14" t="n"/>
      <c r="F146" s="15" t="n"/>
      <c r="G146" s="14" t="n"/>
      <c r="H146" s="15" t="n"/>
    </row>
    <row r="147">
      <c r="B147" s="153" t="n"/>
      <c r="C147" s="153" t="n"/>
      <c r="D147" s="153" t="n"/>
      <c r="E147" s="153" t="n"/>
      <c r="F147" s="153" t="n"/>
      <c r="G147" s="14" t="n"/>
      <c r="H147" s="153" t="n"/>
    </row>
    <row r="148">
      <c r="A148" s="330" t="inlineStr">
        <is>
          <t>2024-25</t>
        </is>
      </c>
      <c r="B148" s="15">
        <f>SUM(B134:B145)</f>
        <v/>
      </c>
      <c r="C148" s="15">
        <f>SUM(C134:C145)</f>
        <v/>
      </c>
      <c r="D148" s="15">
        <f>SUM(D134:D145)</f>
        <v/>
      </c>
      <c r="E148" s="15">
        <f>SUM(E134:E145)</f>
        <v/>
      </c>
      <c r="F148" s="15">
        <f>SUM(F134:F145)</f>
        <v/>
      </c>
      <c r="G148" s="15">
        <f>SUM(G134:G145)</f>
        <v/>
      </c>
      <c r="H148" s="15">
        <f>SUM(B148:G148)</f>
        <v/>
      </c>
    </row>
    <row r="149">
      <c r="B149" s="202">
        <f>B148/H148</f>
        <v/>
      </c>
      <c r="C149" s="202">
        <f>C148/$H$148</f>
        <v/>
      </c>
      <c r="D149" s="202">
        <f>D148/$H$148</f>
        <v/>
      </c>
      <c r="E149" s="202">
        <f>E148/$H$148</f>
        <v/>
      </c>
      <c r="F149" s="202">
        <f>F148/$H$148</f>
        <v/>
      </c>
      <c r="G149" s="202">
        <f>G148/$H$148</f>
        <v/>
      </c>
    </row>
    <row r="150">
      <c r="A150" s="330" t="inlineStr">
        <is>
          <t>2023-24</t>
        </is>
      </c>
      <c r="B150" s="15">
        <f>SUM(B122:B133)</f>
        <v/>
      </c>
      <c r="C150" s="15">
        <f>SUM(C122:C133)</f>
        <v/>
      </c>
      <c r="D150" s="15">
        <f>SUM(D122:D133)</f>
        <v/>
      </c>
      <c r="E150" s="15">
        <f>SUM(E122:E133)</f>
        <v/>
      </c>
      <c r="F150" s="15">
        <f>SUM(F122:F133)</f>
        <v/>
      </c>
      <c r="G150" s="15">
        <f>SUM(G122:G133)</f>
        <v/>
      </c>
      <c r="H150" s="15">
        <f>SUM(B150:G150)</f>
        <v/>
      </c>
    </row>
    <row r="151">
      <c r="B151" s="202">
        <f>B150/$H$150</f>
        <v/>
      </c>
      <c r="C151" s="202">
        <f>C150/$H$150</f>
        <v/>
      </c>
      <c r="D151" s="202">
        <f>D150/$H$150</f>
        <v/>
      </c>
      <c r="E151" s="202">
        <f>E150/$H$150</f>
        <v/>
      </c>
      <c r="F151" s="202">
        <f>F150/$H$150</f>
        <v/>
      </c>
      <c r="G151" s="202">
        <f>G150/$H$150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B157" sqref="B157"/>
    </sheetView>
  </sheetViews>
  <sheetFormatPr baseColWidth="10" defaultColWidth="8.6640625" defaultRowHeight="16"/>
  <cols>
    <col width="10.6640625" customWidth="1" style="372" min="1" max="1"/>
    <col width="13.33203125" customWidth="1" style="1" min="2" max="5"/>
    <col width="15.6640625" customWidth="1" style="1" min="6" max="8"/>
    <col width="13.33203125" customWidth="1" style="1" min="9" max="9"/>
    <col width="15.6640625" customWidth="1" style="1" min="10" max="10"/>
    <col width="13.33203125" customWidth="1" style="1" min="11" max="11"/>
    <col width="18.33203125" customWidth="1" style="1" min="12" max="12"/>
    <col width="14" bestFit="1" customWidth="1" style="1" min="13" max="13"/>
    <col width="8.6640625" customWidth="1" style="1" min="14" max="16384"/>
  </cols>
  <sheetData>
    <row r="1" ht="34" customFormat="1" customHeight="1" s="13">
      <c r="A1" s="789" t="inlineStr">
        <is>
          <t>Date</t>
        </is>
      </c>
      <c r="B1" s="65" t="inlineStr">
        <is>
          <t>Paper</t>
        </is>
      </c>
      <c r="C1" s="65" t="inlineStr">
        <is>
          <t>Metal</t>
        </is>
      </c>
      <c r="D1" s="65" t="inlineStr">
        <is>
          <t>Plastic</t>
        </is>
      </c>
      <c r="E1" s="65" t="inlineStr">
        <is>
          <t>Glass</t>
        </is>
      </c>
      <c r="F1" s="65" t="inlineStr">
        <is>
          <t>Food Waste</t>
        </is>
      </c>
      <c r="G1" s="65" t="inlineStr">
        <is>
          <t>Animal Bedding</t>
        </is>
      </c>
      <c r="H1" s="65" t="inlineStr">
        <is>
          <t>Landscape</t>
        </is>
      </c>
      <c r="I1" s="65" t="inlineStr">
        <is>
          <t>Wood</t>
        </is>
      </c>
      <c r="J1" s="733">
        <f>'Raw Data (KG)'!U1</f>
        <v/>
      </c>
      <c r="K1" s="733" t="inlineStr">
        <is>
          <t>Other</t>
        </is>
      </c>
      <c r="L1" s="67" t="inlineStr">
        <is>
          <t>Total Recycling</t>
        </is>
      </c>
      <c r="M1" s="619" t="n"/>
      <c r="N1" s="671" t="n"/>
      <c r="O1" s="671" t="inlineStr">
        <is>
          <t>Comments</t>
        </is>
      </c>
    </row>
    <row r="2" customFormat="1" s="13">
      <c r="A2" s="790" t="n">
        <v>41456</v>
      </c>
      <c r="B2" s="75">
        <f>SUM('Raw Data (KG)'!D2:E2)</f>
        <v/>
      </c>
      <c r="C2" s="70">
        <f>SUM('Raw Data (KG)'!F2:G2)</f>
        <v/>
      </c>
      <c r="D2" s="73">
        <f>SUM('Raw Data (KG)'!H2:I2)</f>
        <v/>
      </c>
      <c r="E2" s="70">
        <f>'Raw Data (KG)'!K2</f>
        <v/>
      </c>
      <c r="F2" s="791" t="n"/>
      <c r="G2" s="70">
        <f>'Raw Data (KG)'!X2</f>
        <v/>
      </c>
      <c r="H2" s="75">
        <f>'Raw Data (KG)'!Y2</f>
        <v/>
      </c>
      <c r="I2" s="77">
        <f>'Raw Data (KG)'!V2</f>
        <v/>
      </c>
      <c r="J2" s="75">
        <f>'Raw Data (KG)'!U2</f>
        <v/>
      </c>
      <c r="K2" s="74">
        <f>'Raw Data (KG)'!J2+SUM('Raw Data (KG)'!L2:P2)+SUM('Raw Data (KG)'!R2:T2)+'Raw Data (KG)'!Z2</f>
        <v/>
      </c>
      <c r="L2" s="71">
        <f>SUM(B2:K2)</f>
        <v/>
      </c>
      <c r="M2" s="619" t="n"/>
      <c r="N2" s="671" t="n"/>
      <c r="O2" s="671" t="n"/>
      <c r="P2" s="671" t="n"/>
    </row>
    <row r="3" customFormat="1" s="13">
      <c r="A3" s="790" t="n">
        <v>41487</v>
      </c>
      <c r="B3" s="75">
        <f>SUM('Raw Data (KG)'!D3:E3)</f>
        <v/>
      </c>
      <c r="C3" s="70">
        <f>SUM('Raw Data (KG)'!F3:G3)</f>
        <v/>
      </c>
      <c r="D3" s="73">
        <f>SUM('Raw Data (KG)'!H3:I3)</f>
        <v/>
      </c>
      <c r="E3" s="70">
        <f>'Raw Data (KG)'!K3</f>
        <v/>
      </c>
      <c r="F3" s="791" t="n"/>
      <c r="G3" s="70">
        <f>'Raw Data (KG)'!X3</f>
        <v/>
      </c>
      <c r="H3" s="75">
        <f>'Raw Data (KG)'!Y3</f>
        <v/>
      </c>
      <c r="I3" s="77">
        <f>'Raw Data (KG)'!V3</f>
        <v/>
      </c>
      <c r="J3" s="75">
        <f>'Raw Data (KG)'!U3</f>
        <v/>
      </c>
      <c r="K3" s="74">
        <f>'Raw Data (KG)'!J3+SUM('Raw Data (KG)'!L3:P3)+SUM('Raw Data (KG)'!R3:T3)+'Raw Data (KG)'!Z3</f>
        <v/>
      </c>
      <c r="L3" s="71">
        <f>SUM(B3:K3)</f>
        <v/>
      </c>
      <c r="M3" s="619" t="n"/>
      <c r="N3" s="671" t="n"/>
      <c r="O3" s="671" t="n"/>
      <c r="P3" s="671" t="n"/>
    </row>
    <row r="4" customFormat="1" s="13">
      <c r="A4" s="790" t="n">
        <v>41518</v>
      </c>
      <c r="B4" s="75">
        <f>SUM('Raw Data (KG)'!D4:E4)</f>
        <v/>
      </c>
      <c r="C4" s="75">
        <f>SUM('Raw Data (KG)'!F4:G4)</f>
        <v/>
      </c>
      <c r="D4" s="73">
        <f>SUM('Raw Data (KG)'!H4:I4)</f>
        <v/>
      </c>
      <c r="E4" s="75">
        <f>'Raw Data (KG)'!K4</f>
        <v/>
      </c>
      <c r="F4" s="791" t="n"/>
      <c r="G4" s="70">
        <f>'Raw Data (KG)'!X4</f>
        <v/>
      </c>
      <c r="H4" s="75">
        <f>'Raw Data (KG)'!Y4</f>
        <v/>
      </c>
      <c r="I4" s="77">
        <f>'Raw Data (KG)'!V4</f>
        <v/>
      </c>
      <c r="J4" s="75">
        <f>'Raw Data (KG)'!U4</f>
        <v/>
      </c>
      <c r="K4" s="74">
        <f>'Raw Data (KG)'!J4+SUM('Raw Data (KG)'!L4:P4)+SUM('Raw Data (KG)'!R4:T4)+'Raw Data (KG)'!Z4</f>
        <v/>
      </c>
      <c r="L4" s="71">
        <f>SUM(B4:K4)</f>
        <v/>
      </c>
      <c r="M4" s="619" t="n"/>
      <c r="N4" s="671" t="n"/>
      <c r="O4" s="671" t="n"/>
      <c r="P4" s="671" t="n"/>
    </row>
    <row r="5" customFormat="1" s="13">
      <c r="A5" s="790" t="n">
        <v>41548</v>
      </c>
      <c r="B5" s="75">
        <f>SUM('Raw Data (KG)'!D5:E5)</f>
        <v/>
      </c>
      <c r="C5" s="75">
        <f>SUM('Raw Data (KG)'!F5:G5)</f>
        <v/>
      </c>
      <c r="D5" s="73">
        <f>SUM('Raw Data (KG)'!H5:I5)</f>
        <v/>
      </c>
      <c r="E5" s="75">
        <f>'Raw Data (KG)'!K5</f>
        <v/>
      </c>
      <c r="F5" s="791" t="n"/>
      <c r="G5" s="75">
        <f>'Raw Data (KG)'!X5</f>
        <v/>
      </c>
      <c r="H5" s="75">
        <f>'Raw Data (KG)'!Y5</f>
        <v/>
      </c>
      <c r="I5" s="77">
        <f>'Raw Data (KG)'!V5</f>
        <v/>
      </c>
      <c r="J5" s="75">
        <f>'Raw Data (KG)'!U5</f>
        <v/>
      </c>
      <c r="K5" s="74">
        <f>'Raw Data (KG)'!J5+SUM('Raw Data (KG)'!L5:P5)+SUM('Raw Data (KG)'!R5:T5)+'Raw Data (KG)'!Z5</f>
        <v/>
      </c>
      <c r="L5" s="71">
        <f>SUM(B5:K5)</f>
        <v/>
      </c>
      <c r="M5" s="619" t="n"/>
      <c r="N5" s="671" t="n"/>
      <c r="O5" s="671" t="n"/>
      <c r="P5" s="671" t="n"/>
    </row>
    <row r="6" customFormat="1" s="13">
      <c r="A6" s="790" t="n">
        <v>41579</v>
      </c>
      <c r="B6" s="75">
        <f>SUM('Raw Data (KG)'!D6:E6)</f>
        <v/>
      </c>
      <c r="C6" s="75">
        <f>SUM('Raw Data (KG)'!F6:G6)</f>
        <v/>
      </c>
      <c r="D6" s="73">
        <f>SUM('Raw Data (KG)'!H6:I6)</f>
        <v/>
      </c>
      <c r="E6" s="75">
        <f>'Raw Data (KG)'!K6</f>
        <v/>
      </c>
      <c r="F6" s="791" t="n"/>
      <c r="G6" s="75">
        <f>'Raw Data (KG)'!X6</f>
        <v/>
      </c>
      <c r="H6" s="75">
        <f>'Raw Data (KG)'!Y6</f>
        <v/>
      </c>
      <c r="I6" s="77">
        <f>'Raw Data (KG)'!V6</f>
        <v/>
      </c>
      <c r="J6" s="75">
        <f>'Raw Data (KG)'!U6</f>
        <v/>
      </c>
      <c r="K6" s="74">
        <f>'Raw Data (KG)'!J6+SUM('Raw Data (KG)'!L6:P6)+SUM('Raw Data (KG)'!R6:T6)+'Raw Data (KG)'!Z6</f>
        <v/>
      </c>
      <c r="L6" s="71">
        <f>SUM(B6:K6)</f>
        <v/>
      </c>
      <c r="M6" s="619" t="n"/>
      <c r="N6" s="671" t="n"/>
      <c r="O6" s="671" t="n"/>
      <c r="P6" s="671" t="n"/>
    </row>
    <row r="7" customFormat="1" s="13">
      <c r="A7" s="790" t="n">
        <v>41609</v>
      </c>
      <c r="B7" s="75">
        <f>SUM('Raw Data (KG)'!D7:E7)</f>
        <v/>
      </c>
      <c r="C7" s="75">
        <f>SUM('Raw Data (KG)'!F7:G7)</f>
        <v/>
      </c>
      <c r="D7" s="73">
        <f>SUM('Raw Data (KG)'!H7:I7)</f>
        <v/>
      </c>
      <c r="E7" s="75">
        <f>'Raw Data (KG)'!K7</f>
        <v/>
      </c>
      <c r="F7" s="791" t="n"/>
      <c r="G7" s="75">
        <f>'Raw Data (KG)'!X7</f>
        <v/>
      </c>
      <c r="H7" s="75">
        <f>'Raw Data (KG)'!Y7</f>
        <v/>
      </c>
      <c r="I7" s="77">
        <f>'Raw Data (KG)'!V7</f>
        <v/>
      </c>
      <c r="J7" s="75">
        <f>'Raw Data (KG)'!U7</f>
        <v/>
      </c>
      <c r="K7" s="74">
        <f>'Raw Data (KG)'!J7+SUM('Raw Data (KG)'!L7:P7)+SUM('Raw Data (KG)'!R7:T7)+'Raw Data (KG)'!Z7</f>
        <v/>
      </c>
      <c r="L7" s="71">
        <f>SUM(B7:K7)</f>
        <v/>
      </c>
      <c r="M7" s="619" t="n"/>
      <c r="N7" s="671" t="n"/>
      <c r="O7" s="671" t="n"/>
      <c r="P7" s="671" t="n"/>
    </row>
    <row r="8" customFormat="1" s="13">
      <c r="A8" s="790" t="n">
        <v>41640</v>
      </c>
      <c r="B8" s="75">
        <f>SUM('Raw Data (KG)'!D8:E8)</f>
        <v/>
      </c>
      <c r="C8" s="75">
        <f>SUM('Raw Data (KG)'!F8:G8)</f>
        <v/>
      </c>
      <c r="D8" s="73">
        <f>SUM('Raw Data (KG)'!H8:I8)</f>
        <v/>
      </c>
      <c r="E8" s="75">
        <f>'Raw Data (KG)'!K8</f>
        <v/>
      </c>
      <c r="F8" s="791" t="n"/>
      <c r="G8" s="75">
        <f>'Raw Data (KG)'!X8</f>
        <v/>
      </c>
      <c r="H8" s="75">
        <f>'Raw Data (KG)'!Y8</f>
        <v/>
      </c>
      <c r="I8" s="77">
        <f>'Raw Data (KG)'!V8</f>
        <v/>
      </c>
      <c r="J8" s="75">
        <f>'Raw Data (KG)'!U8</f>
        <v/>
      </c>
      <c r="K8" s="74">
        <f>'Raw Data (KG)'!J8+SUM('Raw Data (KG)'!L8:P8)+SUM('Raw Data (KG)'!R8:T8)+'Raw Data (KG)'!Z8</f>
        <v/>
      </c>
      <c r="L8" s="71">
        <f>SUM(B8:K8)</f>
        <v/>
      </c>
      <c r="M8" s="619" t="n"/>
      <c r="N8" s="671" t="n"/>
      <c r="O8" s="671" t="n"/>
      <c r="P8" s="671" t="n"/>
    </row>
    <row r="9" customFormat="1" s="13">
      <c r="A9" s="790" t="n">
        <v>41671</v>
      </c>
      <c r="B9" s="75">
        <f>SUM('Raw Data (KG)'!D9:E9)</f>
        <v/>
      </c>
      <c r="C9" s="75">
        <f>SUM('Raw Data (KG)'!F9:G9)</f>
        <v/>
      </c>
      <c r="D9" s="73">
        <f>SUM('Raw Data (KG)'!H9:I9)</f>
        <v/>
      </c>
      <c r="E9" s="75">
        <f>'Raw Data (KG)'!K9</f>
        <v/>
      </c>
      <c r="F9" s="791" t="n"/>
      <c r="G9" s="75">
        <f>'Raw Data (KG)'!X9</f>
        <v/>
      </c>
      <c r="H9" s="75">
        <f>'Raw Data (KG)'!Y9</f>
        <v/>
      </c>
      <c r="I9" s="77">
        <f>'Raw Data (KG)'!V9</f>
        <v/>
      </c>
      <c r="J9" s="75">
        <f>'Raw Data (KG)'!U9</f>
        <v/>
      </c>
      <c r="K9" s="74">
        <f>'Raw Data (KG)'!J9+SUM('Raw Data (KG)'!L9:P9)+SUM('Raw Data (KG)'!R9:T9)+'Raw Data (KG)'!Z9</f>
        <v/>
      </c>
      <c r="L9" s="71">
        <f>SUM(B9:K9)</f>
        <v/>
      </c>
      <c r="M9" s="619" t="n"/>
      <c r="N9" s="671" t="n"/>
      <c r="O9" s="671" t="n"/>
      <c r="P9" s="671" t="n"/>
    </row>
    <row r="10" customFormat="1" s="13">
      <c r="A10" s="790" t="n">
        <v>41699</v>
      </c>
      <c r="B10" s="75">
        <f>SUM('Raw Data (KG)'!D10:E10)</f>
        <v/>
      </c>
      <c r="C10" s="75">
        <f>SUM('Raw Data (KG)'!F10:G10)</f>
        <v/>
      </c>
      <c r="D10" s="73">
        <f>SUM('Raw Data (KG)'!H10:I10)</f>
        <v/>
      </c>
      <c r="E10" s="75">
        <f>'Raw Data (KG)'!K10</f>
        <v/>
      </c>
      <c r="F10" s="791" t="n"/>
      <c r="G10" s="75">
        <f>'Raw Data (KG)'!X10</f>
        <v/>
      </c>
      <c r="H10" s="75">
        <f>'Raw Data (KG)'!Y10</f>
        <v/>
      </c>
      <c r="I10" s="77">
        <f>'Raw Data (KG)'!V10</f>
        <v/>
      </c>
      <c r="J10" s="75">
        <f>'Raw Data (KG)'!U10</f>
        <v/>
      </c>
      <c r="K10" s="74">
        <f>'Raw Data (KG)'!J10+SUM('Raw Data (KG)'!L10:P10)+SUM('Raw Data (KG)'!R10:T10)+'Raw Data (KG)'!Z10</f>
        <v/>
      </c>
      <c r="L10" s="71">
        <f>SUM(B10:K10)</f>
        <v/>
      </c>
      <c r="M10" s="619" t="n"/>
      <c r="N10" s="671" t="n"/>
      <c r="O10" s="671" t="n"/>
      <c r="P10" s="671" t="n"/>
    </row>
    <row r="11" customFormat="1" s="13">
      <c r="A11" s="790" t="n">
        <v>41730</v>
      </c>
      <c r="B11" s="75">
        <f>SUM('Raw Data (KG)'!D11:E11)</f>
        <v/>
      </c>
      <c r="C11" s="75">
        <f>SUM('Raw Data (KG)'!F11:G11)</f>
        <v/>
      </c>
      <c r="D11" s="73">
        <f>SUM('Raw Data (KG)'!H11:I11)</f>
        <v/>
      </c>
      <c r="E11" s="75">
        <f>'Raw Data (KG)'!K11</f>
        <v/>
      </c>
      <c r="F11" s="791" t="n"/>
      <c r="G11" s="75">
        <f>'Raw Data (KG)'!X11</f>
        <v/>
      </c>
      <c r="H11" s="75">
        <f>'Raw Data (KG)'!Y11</f>
        <v/>
      </c>
      <c r="I11" s="77">
        <f>'Raw Data (KG)'!V11</f>
        <v/>
      </c>
      <c r="J11" s="75">
        <f>'Raw Data (KG)'!U11</f>
        <v/>
      </c>
      <c r="K11" s="74">
        <f>'Raw Data (KG)'!J11+SUM('Raw Data (KG)'!L11:P11)+SUM('Raw Data (KG)'!R11:T11)+'Raw Data (KG)'!Z11</f>
        <v/>
      </c>
      <c r="L11" s="71">
        <f>SUM(B11:K11)</f>
        <v/>
      </c>
      <c r="M11" s="619" t="n"/>
      <c r="N11" s="671" t="n"/>
      <c r="O11" s="671" t="n"/>
      <c r="P11" s="671" t="n"/>
    </row>
    <row r="12" customFormat="1" s="13">
      <c r="A12" s="790" t="n">
        <v>41760</v>
      </c>
      <c r="B12" s="75">
        <f>SUM('Raw Data (KG)'!D12:E12)</f>
        <v/>
      </c>
      <c r="C12" s="75">
        <f>SUM('Raw Data (KG)'!F12:G12)</f>
        <v/>
      </c>
      <c r="D12" s="73">
        <f>SUM('Raw Data (KG)'!H12:I12)</f>
        <v/>
      </c>
      <c r="E12" s="75">
        <f>'Raw Data (KG)'!K12</f>
        <v/>
      </c>
      <c r="F12" s="791" t="n"/>
      <c r="G12" s="75">
        <f>'Raw Data (KG)'!X12</f>
        <v/>
      </c>
      <c r="H12" s="75">
        <f>'Raw Data (KG)'!Y12</f>
        <v/>
      </c>
      <c r="I12" s="77">
        <f>'Raw Data (KG)'!V12</f>
        <v/>
      </c>
      <c r="J12" s="75">
        <f>'Raw Data (KG)'!U12</f>
        <v/>
      </c>
      <c r="K12" s="74">
        <f>'Raw Data (KG)'!J12+SUM('Raw Data (KG)'!L12:P12)+SUM('Raw Data (KG)'!R12:T12)+'Raw Data (KG)'!Z12</f>
        <v/>
      </c>
      <c r="L12" s="71">
        <f>SUM(B12:K12)</f>
        <v/>
      </c>
      <c r="M12" s="619" t="n"/>
      <c r="N12" s="671" t="n"/>
      <c r="O12" s="671" t="n"/>
      <c r="P12" s="671" t="n"/>
    </row>
    <row r="13" customFormat="1" s="13">
      <c r="A13" s="790" t="n">
        <v>41791</v>
      </c>
      <c r="B13" s="75">
        <f>SUM('Raw Data (KG)'!D13:E13)</f>
        <v/>
      </c>
      <c r="C13" s="75">
        <f>SUM('Raw Data (KG)'!F13:G13)</f>
        <v/>
      </c>
      <c r="D13" s="73">
        <f>SUM('Raw Data (KG)'!H13:I13)</f>
        <v/>
      </c>
      <c r="E13" s="75">
        <f>'Raw Data (KG)'!K13</f>
        <v/>
      </c>
      <c r="F13" s="791" t="n"/>
      <c r="G13" s="75">
        <f>'Raw Data (KG)'!X13</f>
        <v/>
      </c>
      <c r="H13" s="75">
        <f>'Raw Data (KG)'!Y13</f>
        <v/>
      </c>
      <c r="I13" s="77">
        <f>'Raw Data (KG)'!V13</f>
        <v/>
      </c>
      <c r="J13" s="75">
        <f>'Raw Data (KG)'!U13</f>
        <v/>
      </c>
      <c r="K13" s="74">
        <f>'Raw Data (KG)'!J13+SUM('Raw Data (KG)'!L13:P13)+SUM('Raw Data (KG)'!R13:T13)+'Raw Data (KG)'!Z13</f>
        <v/>
      </c>
      <c r="L13" s="71">
        <f>SUM(B13:K13)</f>
        <v/>
      </c>
      <c r="M13" s="150">
        <f>SUM(L2:L13)</f>
        <v/>
      </c>
      <c r="N13" s="671" t="n"/>
      <c r="O13" s="671" t="n"/>
      <c r="P13" s="671" t="n"/>
    </row>
    <row r="14" customFormat="1" s="13">
      <c r="A14" s="790" t="n">
        <v>41821</v>
      </c>
      <c r="B14" s="9">
        <f>SUM('Raw Data (KG)'!D14:E14)</f>
        <v/>
      </c>
      <c r="C14" s="9">
        <f>SUM('Raw Data (KG)'!F14:G14)</f>
        <v/>
      </c>
      <c r="D14" s="8">
        <f>SUM('Raw Data (KG)'!H14:I14)</f>
        <v/>
      </c>
      <c r="E14" s="9">
        <f>'Raw Data (KG)'!K14</f>
        <v/>
      </c>
      <c r="F14" s="679" t="n"/>
      <c r="G14" s="9">
        <f>'Raw Data (KG)'!X14</f>
        <v/>
      </c>
      <c r="H14" s="9">
        <f>'Raw Data (KG)'!Y14</f>
        <v/>
      </c>
      <c r="I14" s="354">
        <f>'Raw Data (KG)'!V14</f>
        <v/>
      </c>
      <c r="J14" s="9">
        <f>'Raw Data (KG)'!U14</f>
        <v/>
      </c>
      <c r="K14" s="62">
        <f>'Raw Data (KG)'!J14+SUM('Raw Data (KG)'!L14:P14)+SUM('Raw Data (KG)'!R14:T14)+'Raw Data (KG)'!Z14</f>
        <v/>
      </c>
      <c r="L14" s="355">
        <f>SUM(B14:K14)</f>
        <v/>
      </c>
      <c r="M14" s="619" t="n"/>
      <c r="N14" s="671" t="n"/>
      <c r="O14" s="671" t="n"/>
      <c r="P14" s="671" t="n"/>
    </row>
    <row r="15" customFormat="1" s="13">
      <c r="A15" s="790" t="n">
        <v>41852</v>
      </c>
      <c r="B15" s="9">
        <f>SUM('Raw Data (KG)'!D15:E15)</f>
        <v/>
      </c>
      <c r="C15" s="9">
        <f>SUM('Raw Data (KG)'!F15:G15)</f>
        <v/>
      </c>
      <c r="D15" s="8">
        <f>SUM('Raw Data (KG)'!H15:I15)</f>
        <v/>
      </c>
      <c r="E15" s="9">
        <f>'Raw Data (KG)'!K15</f>
        <v/>
      </c>
      <c r="F15" s="679" t="n"/>
      <c r="G15" s="9">
        <f>'Raw Data (KG)'!X15</f>
        <v/>
      </c>
      <c r="H15" s="9">
        <f>'Raw Data (KG)'!Y15</f>
        <v/>
      </c>
      <c r="I15" s="354">
        <f>'Raw Data (KG)'!V15</f>
        <v/>
      </c>
      <c r="J15" s="9">
        <f>'Raw Data (KG)'!U15</f>
        <v/>
      </c>
      <c r="K15" s="62">
        <f>'Raw Data (KG)'!J15+SUM('Raw Data (KG)'!L15:P15)+SUM('Raw Data (KG)'!R15:T15)+'Raw Data (KG)'!Z15</f>
        <v/>
      </c>
      <c r="L15" s="355">
        <f>SUM(B15:K15)</f>
        <v/>
      </c>
      <c r="M15" s="619" t="n"/>
      <c r="N15" s="671" t="n"/>
      <c r="O15" s="671" t="n"/>
      <c r="P15" s="671" t="n"/>
    </row>
    <row r="16" customFormat="1" s="13">
      <c r="A16" s="790" t="n">
        <v>41883</v>
      </c>
      <c r="B16" s="9">
        <f>SUM('Raw Data (KG)'!D16:E16)</f>
        <v/>
      </c>
      <c r="C16" s="9">
        <f>SUM('Raw Data (KG)'!F16:G16)</f>
        <v/>
      </c>
      <c r="D16" s="8">
        <f>SUM('Raw Data (KG)'!H16:I16)</f>
        <v/>
      </c>
      <c r="E16" s="9">
        <f>'Raw Data (KG)'!K16</f>
        <v/>
      </c>
      <c r="F16" s="679" t="n"/>
      <c r="G16" s="9">
        <f>'Raw Data (KG)'!X16</f>
        <v/>
      </c>
      <c r="H16" s="9">
        <f>'Raw Data (KG)'!Y16</f>
        <v/>
      </c>
      <c r="I16" s="354">
        <f>'Raw Data (KG)'!V16</f>
        <v/>
      </c>
      <c r="J16" s="9">
        <f>'Raw Data (KG)'!U16</f>
        <v/>
      </c>
      <c r="K16" s="62">
        <f>'Raw Data (KG)'!J16+SUM('Raw Data (KG)'!L16:P16)+SUM('Raw Data (KG)'!R16:T16)+'Raw Data (KG)'!Z16</f>
        <v/>
      </c>
      <c r="L16" s="355">
        <f>SUM(B16:K16)</f>
        <v/>
      </c>
      <c r="M16" s="619" t="n"/>
      <c r="N16" s="671" t="n"/>
      <c r="O16" s="671" t="n"/>
      <c r="P16" s="671" t="n"/>
    </row>
    <row r="17" customFormat="1" s="13">
      <c r="A17" s="790" t="n">
        <v>41913</v>
      </c>
      <c r="B17" s="9">
        <f>SUM('Raw Data (KG)'!D17:E17)</f>
        <v/>
      </c>
      <c r="C17" s="9">
        <f>SUM('Raw Data (KG)'!F17:G17)</f>
        <v/>
      </c>
      <c r="D17" s="8">
        <f>SUM('Raw Data (KG)'!H17:I17)</f>
        <v/>
      </c>
      <c r="E17" s="9">
        <f>'Raw Data (KG)'!K17</f>
        <v/>
      </c>
      <c r="F17" s="679" t="n"/>
      <c r="G17" s="9">
        <f>'Raw Data (KG)'!X17</f>
        <v/>
      </c>
      <c r="H17" s="9">
        <f>'Raw Data (KG)'!Y17</f>
        <v/>
      </c>
      <c r="I17" s="354">
        <f>'Raw Data (KG)'!V17</f>
        <v/>
      </c>
      <c r="J17" s="9">
        <f>'Raw Data (KG)'!U17</f>
        <v/>
      </c>
      <c r="K17" s="62">
        <f>'Raw Data (KG)'!J17+SUM('Raw Data (KG)'!L17:P17)+SUM('Raw Data (KG)'!R17:T17)+'Raw Data (KG)'!Z17</f>
        <v/>
      </c>
      <c r="L17" s="355">
        <f>SUM(B17:K17)</f>
        <v/>
      </c>
      <c r="M17" s="619" t="n"/>
      <c r="N17" s="671" t="n"/>
      <c r="O17" s="671" t="n"/>
      <c r="P17" s="671" t="n"/>
    </row>
    <row r="18" customFormat="1" s="13">
      <c r="A18" s="790" t="n">
        <v>41944</v>
      </c>
      <c r="B18" s="9">
        <f>SUM('Raw Data (KG)'!D18:E18)</f>
        <v/>
      </c>
      <c r="C18" s="9">
        <f>SUM('Raw Data (KG)'!F18:G18)</f>
        <v/>
      </c>
      <c r="D18" s="8">
        <f>SUM('Raw Data (KG)'!H18:I18)</f>
        <v/>
      </c>
      <c r="E18" s="9">
        <f>'Raw Data (KG)'!K18</f>
        <v/>
      </c>
      <c r="F18" s="679" t="n"/>
      <c r="G18" s="9">
        <f>'Raw Data (KG)'!X18</f>
        <v/>
      </c>
      <c r="H18" s="9">
        <f>'Raw Data (KG)'!Y18</f>
        <v/>
      </c>
      <c r="I18" s="354">
        <f>'Raw Data (KG)'!V18</f>
        <v/>
      </c>
      <c r="J18" s="9">
        <f>'Raw Data (KG)'!U18</f>
        <v/>
      </c>
      <c r="K18" s="62">
        <f>'Raw Data (KG)'!J18+SUM('Raw Data (KG)'!L18:P18)+SUM('Raw Data (KG)'!R18:T18)+'Raw Data (KG)'!Z18</f>
        <v/>
      </c>
      <c r="L18" s="355">
        <f>SUM(B18:K18)</f>
        <v/>
      </c>
      <c r="M18" s="619" t="n"/>
      <c r="N18" s="671" t="n"/>
      <c r="O18" s="671" t="n"/>
      <c r="P18" s="671" t="n"/>
    </row>
    <row r="19" customFormat="1" s="13">
      <c r="A19" s="790" t="n">
        <v>41974</v>
      </c>
      <c r="B19" s="9">
        <f>SUM('Raw Data (KG)'!D19:E19)</f>
        <v/>
      </c>
      <c r="C19" s="9">
        <f>SUM('Raw Data (KG)'!F19:G19)</f>
        <v/>
      </c>
      <c r="D19" s="8">
        <f>SUM('Raw Data (KG)'!H19:I19)</f>
        <v/>
      </c>
      <c r="E19" s="9">
        <f>'Raw Data (KG)'!K19</f>
        <v/>
      </c>
      <c r="F19" s="679" t="n"/>
      <c r="G19" s="9">
        <f>'Raw Data (KG)'!X19</f>
        <v/>
      </c>
      <c r="H19" s="9">
        <f>'Raw Data (KG)'!Y19</f>
        <v/>
      </c>
      <c r="I19" s="354">
        <f>'Raw Data (KG)'!V19</f>
        <v/>
      </c>
      <c r="J19" s="9">
        <f>'Raw Data (KG)'!U19</f>
        <v/>
      </c>
      <c r="K19" s="62">
        <f>'Raw Data (KG)'!J19+SUM('Raw Data (KG)'!L19:P19)+SUM('Raw Data (KG)'!R19:T19)+'Raw Data (KG)'!Z19</f>
        <v/>
      </c>
      <c r="L19" s="15">
        <f>SUM(B19:K19)</f>
        <v/>
      </c>
      <c r="M19" s="619" t="n"/>
      <c r="N19" s="671" t="n"/>
      <c r="O19" s="671" t="n"/>
      <c r="P19" s="671" t="n"/>
    </row>
    <row r="20" customFormat="1" s="13">
      <c r="A20" s="790" t="n">
        <v>42005</v>
      </c>
      <c r="B20" s="9">
        <f>SUM('Raw Data (KG)'!D20:E20)</f>
        <v/>
      </c>
      <c r="C20" s="9">
        <f>SUM('Raw Data (KG)'!F20:G20)</f>
        <v/>
      </c>
      <c r="D20" s="8">
        <f>SUM('Raw Data (KG)'!H20:I20)</f>
        <v/>
      </c>
      <c r="E20" s="9">
        <f>'Raw Data (KG)'!K20</f>
        <v/>
      </c>
      <c r="F20" s="679" t="n"/>
      <c r="G20" s="9">
        <f>'Raw Data (KG)'!X20</f>
        <v/>
      </c>
      <c r="H20" s="9">
        <f>'Raw Data (KG)'!Y20</f>
        <v/>
      </c>
      <c r="I20" s="354">
        <f>'Raw Data (KG)'!V20</f>
        <v/>
      </c>
      <c r="J20" s="9">
        <f>'Raw Data (KG)'!U20</f>
        <v/>
      </c>
      <c r="K20" s="62">
        <f>'Raw Data (KG)'!J20+SUM('Raw Data (KG)'!L20:P20)+SUM('Raw Data (KG)'!R20:T20)+'Raw Data (KG)'!Z20</f>
        <v/>
      </c>
      <c r="L20" s="15">
        <f>SUM(B20:K20)</f>
        <v/>
      </c>
      <c r="M20" s="619" t="n"/>
      <c r="N20" s="671" t="n"/>
      <c r="O20" s="671" t="n"/>
      <c r="P20" s="671" t="n"/>
    </row>
    <row r="21" customFormat="1" s="13">
      <c r="A21" s="790" t="n">
        <v>42036</v>
      </c>
      <c r="B21" s="9">
        <f>SUM('Raw Data (KG)'!D21:E21)</f>
        <v/>
      </c>
      <c r="C21" s="9">
        <f>SUM('Raw Data (KG)'!F21:G21)</f>
        <v/>
      </c>
      <c r="D21" s="8">
        <f>SUM('Raw Data (KG)'!H21:I21)</f>
        <v/>
      </c>
      <c r="E21" s="9">
        <f>'Raw Data (KG)'!K21</f>
        <v/>
      </c>
      <c r="F21" s="679" t="n"/>
      <c r="G21" s="9">
        <f>'Raw Data (KG)'!X21</f>
        <v/>
      </c>
      <c r="H21" s="9">
        <f>'Raw Data (KG)'!Y21</f>
        <v/>
      </c>
      <c r="I21" s="354">
        <f>'Raw Data (KG)'!V21</f>
        <v/>
      </c>
      <c r="J21" s="9">
        <f>'Raw Data (KG)'!U21</f>
        <v/>
      </c>
      <c r="K21" s="62">
        <f>'Raw Data (KG)'!J21+SUM('Raw Data (KG)'!L21:P21)+SUM('Raw Data (KG)'!R21:T21)+'Raw Data (KG)'!Z21</f>
        <v/>
      </c>
      <c r="L21" s="15">
        <f>SUM(B21:K21)</f>
        <v/>
      </c>
      <c r="M21" s="619" t="n"/>
      <c r="N21" s="671" t="n"/>
      <c r="O21" s="671" t="n"/>
      <c r="P21" s="671" t="n"/>
    </row>
    <row r="22" customFormat="1" s="13">
      <c r="A22" s="790" t="n">
        <v>42064</v>
      </c>
      <c r="B22" s="9">
        <f>SUM('Raw Data (KG)'!D22:E22)</f>
        <v/>
      </c>
      <c r="C22" s="9">
        <f>SUM('Raw Data (KG)'!F22:G22)</f>
        <v/>
      </c>
      <c r="D22" s="8">
        <f>SUM('Raw Data (KG)'!H22:I22)</f>
        <v/>
      </c>
      <c r="E22" s="9">
        <f>'Raw Data (KG)'!K22</f>
        <v/>
      </c>
      <c r="F22" s="679" t="n"/>
      <c r="G22" s="9">
        <f>'Raw Data (KG)'!X22</f>
        <v/>
      </c>
      <c r="H22" s="9">
        <f>'Raw Data (KG)'!Y22</f>
        <v/>
      </c>
      <c r="I22" s="354">
        <f>'Raw Data (KG)'!V22</f>
        <v/>
      </c>
      <c r="J22" s="9">
        <f>'Raw Data (KG)'!U22</f>
        <v/>
      </c>
      <c r="K22" s="62">
        <f>'Raw Data (KG)'!J22+SUM('Raw Data (KG)'!L22:P22)+SUM('Raw Data (KG)'!R22:T22)+'Raw Data (KG)'!Z22</f>
        <v/>
      </c>
      <c r="L22" s="15">
        <f>SUM(B22:K22)</f>
        <v/>
      </c>
      <c r="M22" s="619" t="n"/>
      <c r="N22" s="671" t="n"/>
      <c r="O22" s="671" t="n"/>
      <c r="P22" s="671" t="n"/>
    </row>
    <row r="23" customFormat="1" s="13">
      <c r="A23" s="790" t="n">
        <v>42095</v>
      </c>
      <c r="B23" s="9">
        <f>SUM('Raw Data (KG)'!D23:E23)</f>
        <v/>
      </c>
      <c r="C23" s="9">
        <f>SUM('Raw Data (KG)'!F23:G23)</f>
        <v/>
      </c>
      <c r="D23" s="8">
        <f>SUM('Raw Data (KG)'!H23:I23)</f>
        <v/>
      </c>
      <c r="E23" s="9">
        <f>'Raw Data (KG)'!K23</f>
        <v/>
      </c>
      <c r="F23" s="679" t="n"/>
      <c r="G23" s="9">
        <f>'Raw Data (KG)'!X23</f>
        <v/>
      </c>
      <c r="H23" s="9">
        <f>'Raw Data (KG)'!Y23</f>
        <v/>
      </c>
      <c r="I23" s="354">
        <f>'Raw Data (KG)'!V23</f>
        <v/>
      </c>
      <c r="J23" s="9">
        <f>'Raw Data (KG)'!U23</f>
        <v/>
      </c>
      <c r="K23" s="62">
        <f>'Raw Data (KG)'!J23+SUM('Raw Data (KG)'!L23:P23)+SUM('Raw Data (KG)'!R23:T23)+'Raw Data (KG)'!Z23</f>
        <v/>
      </c>
      <c r="L23" s="15">
        <f>SUM(B23:K23)</f>
        <v/>
      </c>
      <c r="M23" s="619" t="n"/>
      <c r="N23" s="671" t="n"/>
      <c r="O23" s="671" t="n"/>
      <c r="P23" s="671" t="n"/>
    </row>
    <row r="24" customFormat="1" s="13">
      <c r="A24" s="790" t="n">
        <v>42125</v>
      </c>
      <c r="B24" s="9">
        <f>SUM('Raw Data (KG)'!D24:E24)</f>
        <v/>
      </c>
      <c r="C24" s="9">
        <f>SUM('Raw Data (KG)'!F24:G24)</f>
        <v/>
      </c>
      <c r="D24" s="8">
        <f>SUM('Raw Data (KG)'!H24:I24)</f>
        <v/>
      </c>
      <c r="E24" s="9">
        <f>'Raw Data (KG)'!K24</f>
        <v/>
      </c>
      <c r="F24" s="679" t="n"/>
      <c r="G24" s="9">
        <f>'Raw Data (KG)'!X24</f>
        <v/>
      </c>
      <c r="H24" s="9">
        <f>'Raw Data (KG)'!Y24</f>
        <v/>
      </c>
      <c r="I24" s="354">
        <f>'Raw Data (KG)'!V24</f>
        <v/>
      </c>
      <c r="J24" s="9">
        <f>'Raw Data (KG)'!U24</f>
        <v/>
      </c>
      <c r="K24" s="62">
        <f>'Raw Data (KG)'!J24+SUM('Raw Data (KG)'!L24:P24)+SUM('Raw Data (KG)'!R24:T24)+'Raw Data (KG)'!Z24</f>
        <v/>
      </c>
      <c r="L24" s="15">
        <f>SUM(B24:K24)</f>
        <v/>
      </c>
      <c r="M24" s="619" t="n"/>
      <c r="N24" s="671" t="n"/>
      <c r="O24" s="671" t="n"/>
      <c r="P24" s="671" t="n"/>
    </row>
    <row r="25" customFormat="1" s="13">
      <c r="A25" s="790" t="n">
        <v>42156</v>
      </c>
      <c r="B25" s="9">
        <f>SUM('Raw Data (KG)'!D25:E25)</f>
        <v/>
      </c>
      <c r="C25" s="9">
        <f>SUM('Raw Data (KG)'!F25:G25)</f>
        <v/>
      </c>
      <c r="D25" s="8">
        <f>SUM('Raw Data (KG)'!H25:I25)</f>
        <v/>
      </c>
      <c r="E25" s="9">
        <f>'Raw Data (KG)'!K25</f>
        <v/>
      </c>
      <c r="F25" s="679" t="n"/>
      <c r="G25" s="9">
        <f>'Raw Data (KG)'!X25</f>
        <v/>
      </c>
      <c r="H25" s="9">
        <f>'Raw Data (KG)'!Y25</f>
        <v/>
      </c>
      <c r="I25" s="354">
        <f>'Raw Data (KG)'!V25</f>
        <v/>
      </c>
      <c r="J25" s="9">
        <f>'Raw Data (KG)'!U25</f>
        <v/>
      </c>
      <c r="K25" s="62">
        <f>'Raw Data (KG)'!J25+SUM('Raw Data (KG)'!L25:P25)+SUM('Raw Data (KG)'!R25:T25)+'Raw Data (KG)'!Z25</f>
        <v/>
      </c>
      <c r="L25" s="15">
        <f>SUM(B25:K25)</f>
        <v/>
      </c>
      <c r="M25" s="150">
        <f>SUM(L14:L25)</f>
        <v/>
      </c>
      <c r="N25" s="671" t="n"/>
      <c r="O25" s="671" t="n"/>
      <c r="P25" s="671" t="n"/>
    </row>
    <row r="26" customFormat="1" s="13">
      <c r="A26" s="790" t="n">
        <v>42186</v>
      </c>
      <c r="B26" s="75">
        <f>SUM('Raw Data (KG)'!D26:E26)</f>
        <v/>
      </c>
      <c r="C26" s="75">
        <f>SUM('Raw Data (KG)'!F26:G26)</f>
        <v/>
      </c>
      <c r="D26" s="73">
        <f>SUM('Raw Data (KG)'!H26:I26)</f>
        <v/>
      </c>
      <c r="E26" s="75">
        <f>'Raw Data (KG)'!K26</f>
        <v/>
      </c>
      <c r="F26" s="791" t="n"/>
      <c r="G26" s="75">
        <f>'Raw Data (KG)'!X26</f>
        <v/>
      </c>
      <c r="H26" s="75">
        <f>'Raw Data (KG)'!Y26</f>
        <v/>
      </c>
      <c r="I26" s="77">
        <f>'Raw Data (KG)'!V26</f>
        <v/>
      </c>
      <c r="J26" s="75">
        <f>'Raw Data (KG)'!U26</f>
        <v/>
      </c>
      <c r="K26" s="74">
        <f>'Raw Data (KG)'!J26+SUM('Raw Data (KG)'!L26:P26)+SUM('Raw Data (KG)'!R26:T26)+'Raw Data (KG)'!Z26</f>
        <v/>
      </c>
      <c r="L26" s="72">
        <f>SUM(B26:K26)</f>
        <v/>
      </c>
      <c r="M26" s="619" t="n"/>
      <c r="N26" s="671" t="n"/>
      <c r="O26" s="671" t="n"/>
      <c r="P26" s="671" t="n"/>
    </row>
    <row r="27" customFormat="1" s="13">
      <c r="A27" s="790" t="n">
        <v>42217</v>
      </c>
      <c r="B27" s="75">
        <f>SUM('Raw Data (KG)'!D27:E27)</f>
        <v/>
      </c>
      <c r="C27" s="75">
        <f>SUM('Raw Data (KG)'!F27:G27)</f>
        <v/>
      </c>
      <c r="D27" s="73">
        <f>SUM('Raw Data (KG)'!H27:I27)</f>
        <v/>
      </c>
      <c r="E27" s="75">
        <f>'Raw Data (KG)'!K27</f>
        <v/>
      </c>
      <c r="F27" s="791" t="n"/>
      <c r="G27" s="75">
        <f>'Raw Data (KG)'!X27</f>
        <v/>
      </c>
      <c r="H27" s="75">
        <f>'Raw Data (KG)'!Y27</f>
        <v/>
      </c>
      <c r="I27" s="77">
        <f>'Raw Data (KG)'!V27</f>
        <v/>
      </c>
      <c r="J27" s="75">
        <f>'Raw Data (KG)'!U27</f>
        <v/>
      </c>
      <c r="K27" s="74">
        <f>'Raw Data (KG)'!J27+SUM('Raw Data (KG)'!L27:P27)+SUM('Raw Data (KG)'!R27:T27)+'Raw Data (KG)'!Z27</f>
        <v/>
      </c>
      <c r="L27" s="72">
        <f>SUM(B27:K27)</f>
        <v/>
      </c>
      <c r="M27" s="619" t="n"/>
      <c r="N27" s="671" t="n"/>
      <c r="O27" s="671" t="n"/>
      <c r="P27" s="671" t="n"/>
    </row>
    <row r="28" customFormat="1" s="13">
      <c r="A28" s="790" t="n">
        <v>42248</v>
      </c>
      <c r="B28" s="75">
        <f>SUM('Raw Data (KG)'!D28:E28)</f>
        <v/>
      </c>
      <c r="C28" s="75">
        <f>SUM('Raw Data (KG)'!F28:G28)</f>
        <v/>
      </c>
      <c r="D28" s="73">
        <f>SUM('Raw Data (KG)'!H28:I28)</f>
        <v/>
      </c>
      <c r="E28" s="75">
        <f>'Raw Data (KG)'!K28</f>
        <v/>
      </c>
      <c r="F28" s="791" t="n"/>
      <c r="G28" s="75">
        <f>'Raw Data (KG)'!X28</f>
        <v/>
      </c>
      <c r="H28" s="75">
        <f>'Raw Data (KG)'!Y28</f>
        <v/>
      </c>
      <c r="I28" s="77">
        <f>'Raw Data (KG)'!V28</f>
        <v/>
      </c>
      <c r="J28" s="75">
        <f>'Raw Data (KG)'!U28</f>
        <v/>
      </c>
      <c r="K28" s="74">
        <f>'Raw Data (KG)'!J28+SUM('Raw Data (KG)'!L28:P28)+SUM('Raw Data (KG)'!R28:T28)+'Raw Data (KG)'!Z28</f>
        <v/>
      </c>
      <c r="L28" s="72">
        <f>SUM(B28:K28)</f>
        <v/>
      </c>
      <c r="M28" s="619" t="n"/>
      <c r="N28" s="671" t="n"/>
      <c r="O28" s="671" t="n"/>
      <c r="P28" s="671" t="n"/>
    </row>
    <row r="29" customFormat="1" s="13">
      <c r="A29" s="790" t="n">
        <v>42278</v>
      </c>
      <c r="B29" s="75">
        <f>SUM('Raw Data (KG)'!D29:E29)</f>
        <v/>
      </c>
      <c r="C29" s="75">
        <f>SUM('Raw Data (KG)'!F29:G29)</f>
        <v/>
      </c>
      <c r="D29" s="73">
        <f>SUM('Raw Data (KG)'!H29:I29)</f>
        <v/>
      </c>
      <c r="E29" s="75">
        <f>'Raw Data (KG)'!K29</f>
        <v/>
      </c>
      <c r="F29" s="791" t="n"/>
      <c r="G29" s="75">
        <f>'Raw Data (KG)'!X29</f>
        <v/>
      </c>
      <c r="H29" s="75">
        <f>'Raw Data (KG)'!Y29</f>
        <v/>
      </c>
      <c r="I29" s="77">
        <f>'Raw Data (KG)'!V29</f>
        <v/>
      </c>
      <c r="J29" s="75">
        <f>'Raw Data (KG)'!U29</f>
        <v/>
      </c>
      <c r="K29" s="74">
        <f>'Raw Data (KG)'!J29+SUM('Raw Data (KG)'!L29:P29)+SUM('Raw Data (KG)'!R29:T29)+'Raw Data (KG)'!Z29</f>
        <v/>
      </c>
      <c r="L29" s="72">
        <f>SUM(B29:K29)</f>
        <v/>
      </c>
      <c r="M29" s="619" t="n"/>
      <c r="N29" s="671" t="n"/>
      <c r="O29" s="671" t="n"/>
      <c r="P29" s="671" t="n"/>
    </row>
    <row r="30" customFormat="1" s="13">
      <c r="A30" s="790" t="n">
        <v>42309</v>
      </c>
      <c r="B30" s="75">
        <f>SUM('Raw Data (KG)'!D30:E30)</f>
        <v/>
      </c>
      <c r="C30" s="75">
        <f>SUM('Raw Data (KG)'!F30:G30)</f>
        <v/>
      </c>
      <c r="D30" s="73">
        <f>SUM('Raw Data (KG)'!H30:I30)</f>
        <v/>
      </c>
      <c r="E30" s="75">
        <f>'Raw Data (KG)'!K30</f>
        <v/>
      </c>
      <c r="F30" s="791" t="n"/>
      <c r="G30" s="75">
        <f>'Raw Data (KG)'!X30</f>
        <v/>
      </c>
      <c r="H30" s="75">
        <f>'Raw Data (KG)'!Y30</f>
        <v/>
      </c>
      <c r="I30" s="77">
        <f>'Raw Data (KG)'!V30</f>
        <v/>
      </c>
      <c r="J30" s="75">
        <f>'Raw Data (KG)'!U30</f>
        <v/>
      </c>
      <c r="K30" s="74">
        <f>'Raw Data (KG)'!J30+SUM('Raw Data (KG)'!L30:P30)+SUM('Raw Data (KG)'!R30:T30)+'Raw Data (KG)'!Z30</f>
        <v/>
      </c>
      <c r="L30" s="72">
        <f>SUM(B30:K30)</f>
        <v/>
      </c>
      <c r="M30" s="619" t="n"/>
      <c r="N30" s="671" t="n"/>
      <c r="O30" s="671" t="n"/>
      <c r="P30" s="671" t="n"/>
    </row>
    <row r="31" customFormat="1" s="13">
      <c r="A31" s="790" t="n">
        <v>42339</v>
      </c>
      <c r="B31" s="75">
        <f>SUM('Raw Data (KG)'!D31:E31)</f>
        <v/>
      </c>
      <c r="C31" s="75">
        <f>SUM('Raw Data (KG)'!F31:G31)</f>
        <v/>
      </c>
      <c r="D31" s="73">
        <f>SUM('Raw Data (KG)'!H31:I31)</f>
        <v/>
      </c>
      <c r="E31" s="75">
        <f>'Raw Data (KG)'!K31</f>
        <v/>
      </c>
      <c r="F31" s="791" t="n"/>
      <c r="G31" s="75">
        <f>'Raw Data (KG)'!X31</f>
        <v/>
      </c>
      <c r="H31" s="75">
        <f>'Raw Data (KG)'!Y31</f>
        <v/>
      </c>
      <c r="I31" s="77">
        <f>'Raw Data (KG)'!V31</f>
        <v/>
      </c>
      <c r="J31" s="75">
        <f>'Raw Data (KG)'!U31</f>
        <v/>
      </c>
      <c r="K31" s="74">
        <f>'Raw Data (KG)'!J31+SUM('Raw Data (KG)'!L31:P31)+SUM('Raw Data (KG)'!R31:T31)+'Raw Data (KG)'!Z31</f>
        <v/>
      </c>
      <c r="L31" s="72">
        <f>SUM(B31:K31)</f>
        <v/>
      </c>
      <c r="M31" s="619" t="n"/>
      <c r="N31" s="671" t="n"/>
      <c r="O31" s="671" t="n"/>
      <c r="P31" s="671" t="n"/>
    </row>
    <row r="32" customFormat="1" s="13">
      <c r="A32" s="790" t="n">
        <v>42370</v>
      </c>
      <c r="B32" s="75">
        <f>SUM('Raw Data (KG)'!D32:E32)</f>
        <v/>
      </c>
      <c r="C32" s="75">
        <f>SUM('Raw Data (KG)'!F32:G32)</f>
        <v/>
      </c>
      <c r="D32" s="73">
        <f>SUM('Raw Data (KG)'!H32:I32)</f>
        <v/>
      </c>
      <c r="E32" s="75">
        <f>'Raw Data (KG)'!K32</f>
        <v/>
      </c>
      <c r="F32" s="791" t="n"/>
      <c r="G32" s="75">
        <f>'Raw Data (KG)'!X32</f>
        <v/>
      </c>
      <c r="H32" s="75">
        <f>'Raw Data (KG)'!Y32</f>
        <v/>
      </c>
      <c r="I32" s="77">
        <f>'Raw Data (KG)'!V32</f>
        <v/>
      </c>
      <c r="J32" s="75">
        <f>'Raw Data (KG)'!U32</f>
        <v/>
      </c>
      <c r="K32" s="74">
        <f>'Raw Data (KG)'!J32+SUM('Raw Data (KG)'!L32:P32)+SUM('Raw Data (KG)'!R32:T32)+'Raw Data (KG)'!Z32</f>
        <v/>
      </c>
      <c r="L32" s="72">
        <f>SUM(B32:K32)</f>
        <v/>
      </c>
      <c r="M32" s="619" t="n"/>
      <c r="N32" s="671" t="n"/>
      <c r="O32" s="671" t="n"/>
      <c r="P32" s="671" t="n"/>
    </row>
    <row r="33" customFormat="1" s="13">
      <c r="A33" s="790" t="n">
        <v>42401</v>
      </c>
      <c r="B33" s="75">
        <f>SUM('Raw Data (KG)'!D33:E33)</f>
        <v/>
      </c>
      <c r="C33" s="75">
        <f>SUM('Raw Data (KG)'!F33:G33)</f>
        <v/>
      </c>
      <c r="D33" s="73">
        <f>SUM('Raw Data (KG)'!H33:I33)</f>
        <v/>
      </c>
      <c r="E33" s="75">
        <f>'Raw Data (KG)'!K33</f>
        <v/>
      </c>
      <c r="F33" s="791" t="n"/>
      <c r="G33" s="75">
        <f>'Raw Data (KG)'!X33</f>
        <v/>
      </c>
      <c r="H33" s="75">
        <f>'Raw Data (KG)'!Y33</f>
        <v/>
      </c>
      <c r="I33" s="77">
        <f>'Raw Data (KG)'!V33</f>
        <v/>
      </c>
      <c r="J33" s="75">
        <f>'Raw Data (KG)'!U33</f>
        <v/>
      </c>
      <c r="K33" s="74">
        <f>'Raw Data (KG)'!J33+SUM('Raw Data (KG)'!L33:P33)+SUM('Raw Data (KG)'!R33:T33)+'Raw Data (KG)'!Z33</f>
        <v/>
      </c>
      <c r="L33" s="72">
        <f>SUM(B33:K33)</f>
        <v/>
      </c>
      <c r="M33" s="619" t="n"/>
      <c r="N33" s="671" t="n"/>
      <c r="O33" s="671" t="n"/>
      <c r="P33" s="671" t="n"/>
    </row>
    <row r="34" customFormat="1" s="13">
      <c r="A34" s="790" t="n">
        <v>42430</v>
      </c>
      <c r="B34" s="75">
        <f>SUM('Raw Data (KG)'!D34:E34)</f>
        <v/>
      </c>
      <c r="C34" s="75">
        <f>SUM('Raw Data (KG)'!F34:G34)</f>
        <v/>
      </c>
      <c r="D34" s="73">
        <f>SUM('Raw Data (KG)'!H34:I34)</f>
        <v/>
      </c>
      <c r="E34" s="75">
        <f>'Raw Data (KG)'!K34</f>
        <v/>
      </c>
      <c r="F34" s="791" t="n"/>
      <c r="G34" s="75">
        <f>'Raw Data (KG)'!X34</f>
        <v/>
      </c>
      <c r="H34" s="75">
        <f>'Raw Data (KG)'!Y34</f>
        <v/>
      </c>
      <c r="I34" s="77">
        <f>'Raw Data (KG)'!V34</f>
        <v/>
      </c>
      <c r="J34" s="75">
        <f>'Raw Data (KG)'!U34</f>
        <v/>
      </c>
      <c r="K34" s="74">
        <f>'Raw Data (KG)'!J34+SUM('Raw Data (KG)'!L34:P34)+SUM('Raw Data (KG)'!R34:T34)+'Raw Data (KG)'!Z34</f>
        <v/>
      </c>
      <c r="L34" s="72">
        <f>SUM(B34:K34)</f>
        <v/>
      </c>
      <c r="M34" s="619" t="n"/>
      <c r="N34" s="671" t="n"/>
      <c r="O34" s="671" t="n"/>
      <c r="P34" s="671" t="n"/>
    </row>
    <row r="35" customFormat="1" s="13">
      <c r="A35" s="790" t="n">
        <v>42461</v>
      </c>
      <c r="B35" s="75">
        <f>SUM('Raw Data (KG)'!D35:E35)</f>
        <v/>
      </c>
      <c r="C35" s="75">
        <f>SUM('Raw Data (KG)'!F35:G35)</f>
        <v/>
      </c>
      <c r="D35" s="73">
        <f>SUM('Raw Data (KG)'!H35:I35)</f>
        <v/>
      </c>
      <c r="E35" s="75">
        <f>'Raw Data (KG)'!K35</f>
        <v/>
      </c>
      <c r="F35" s="791" t="n"/>
      <c r="G35" s="75">
        <f>'Raw Data (KG)'!X35</f>
        <v/>
      </c>
      <c r="H35" s="75">
        <f>'Raw Data (KG)'!Y35</f>
        <v/>
      </c>
      <c r="I35" s="77">
        <f>'Raw Data (KG)'!V35</f>
        <v/>
      </c>
      <c r="J35" s="75">
        <f>'Raw Data (KG)'!U35</f>
        <v/>
      </c>
      <c r="K35" s="74">
        <f>'Raw Data (KG)'!J35+SUM('Raw Data (KG)'!L35:P35)+SUM('Raw Data (KG)'!R35:T35)+'Raw Data (KG)'!Z35</f>
        <v/>
      </c>
      <c r="L35" s="72">
        <f>SUM(B35:K35)</f>
        <v/>
      </c>
      <c r="M35" s="619" t="n"/>
      <c r="N35" s="671" t="n"/>
      <c r="O35" s="671" t="n"/>
      <c r="P35" s="671" t="n"/>
    </row>
    <row r="36" customFormat="1" s="13">
      <c r="A36" s="790" t="n">
        <v>42491</v>
      </c>
      <c r="B36" s="75">
        <f>SUM('Raw Data (KG)'!D36:E36)</f>
        <v/>
      </c>
      <c r="C36" s="75">
        <f>SUM('Raw Data (KG)'!F36:G36)</f>
        <v/>
      </c>
      <c r="D36" s="73">
        <f>SUM('Raw Data (KG)'!H36:I36)</f>
        <v/>
      </c>
      <c r="E36" s="75">
        <f>'Raw Data (KG)'!K36</f>
        <v/>
      </c>
      <c r="F36" s="791" t="n"/>
      <c r="G36" s="75">
        <f>'Raw Data (KG)'!X36</f>
        <v/>
      </c>
      <c r="H36" s="75">
        <f>'Raw Data (KG)'!Y36</f>
        <v/>
      </c>
      <c r="I36" s="77">
        <f>'Raw Data (KG)'!V36</f>
        <v/>
      </c>
      <c r="J36" s="75">
        <f>'Raw Data (KG)'!U36</f>
        <v/>
      </c>
      <c r="K36" s="74">
        <f>'Raw Data (KG)'!J36+SUM('Raw Data (KG)'!L36:P36)+SUM('Raw Data (KG)'!R36:T36)+'Raw Data (KG)'!Z36</f>
        <v/>
      </c>
      <c r="L36" s="72">
        <f>SUM(B36:K36)</f>
        <v/>
      </c>
      <c r="M36" s="619" t="n"/>
      <c r="N36" s="671" t="n"/>
      <c r="O36" s="671" t="n"/>
      <c r="P36" s="671" t="n"/>
    </row>
    <row r="37" customFormat="1" s="13">
      <c r="A37" s="790" t="n">
        <v>42522</v>
      </c>
      <c r="B37" s="75">
        <f>SUM('Raw Data (KG)'!D37:E37)</f>
        <v/>
      </c>
      <c r="C37" s="75">
        <f>SUM('Raw Data (KG)'!F37:G37)</f>
        <v/>
      </c>
      <c r="D37" s="73">
        <f>SUM('Raw Data (KG)'!H37:I37)</f>
        <v/>
      </c>
      <c r="E37" s="75">
        <f>'Raw Data (KG)'!K37</f>
        <v/>
      </c>
      <c r="F37" s="791" t="n"/>
      <c r="G37" s="75">
        <f>'Raw Data (KG)'!X37</f>
        <v/>
      </c>
      <c r="H37" s="75">
        <f>'Raw Data (KG)'!Y37</f>
        <v/>
      </c>
      <c r="I37" s="77">
        <f>'Raw Data (KG)'!V37</f>
        <v/>
      </c>
      <c r="J37" s="75">
        <f>'Raw Data (KG)'!U37</f>
        <v/>
      </c>
      <c r="K37" s="74">
        <f>'Raw Data (KG)'!J37+SUM('Raw Data (KG)'!L37:P37)+SUM('Raw Data (KG)'!R37:T37)+'Raw Data (KG)'!Z37</f>
        <v/>
      </c>
      <c r="L37" s="72">
        <f>SUM(B37:K37)</f>
        <v/>
      </c>
      <c r="M37" s="150">
        <f>SUM(L26:L37)</f>
        <v/>
      </c>
      <c r="N37" s="671" t="n"/>
      <c r="O37" s="671" t="n"/>
      <c r="P37" s="671" t="n"/>
    </row>
    <row r="38" customFormat="1" s="13">
      <c r="A38" s="790" t="n">
        <v>42552</v>
      </c>
      <c r="B38" s="9">
        <f>SUM('Raw Data (KG)'!D38:E38)</f>
        <v/>
      </c>
      <c r="C38" s="9">
        <f>SUM('Raw Data (KG)'!F38:G38)</f>
        <v/>
      </c>
      <c r="D38" s="8">
        <f>SUM('Raw Data (KG)'!H38:I38)</f>
        <v/>
      </c>
      <c r="E38" s="9">
        <f>'Raw Data (KG)'!K38</f>
        <v/>
      </c>
      <c r="F38" s="679" t="n"/>
      <c r="G38" s="9">
        <f>'Raw Data (KG)'!X38</f>
        <v/>
      </c>
      <c r="H38" s="9">
        <f>'Raw Data (KG)'!Y38</f>
        <v/>
      </c>
      <c r="I38" s="354">
        <f>'Raw Data (KG)'!V38</f>
        <v/>
      </c>
      <c r="J38" s="9">
        <f>'Raw Data (KG)'!U38</f>
        <v/>
      </c>
      <c r="K38" s="62">
        <f>'Raw Data (KG)'!J38+SUM('Raw Data (KG)'!L38:P38)+SUM('Raw Data (KG)'!R38:T38)+'Raw Data (KG)'!Z38</f>
        <v/>
      </c>
      <c r="L38" s="15">
        <f>SUM(B38:K38)</f>
        <v/>
      </c>
      <c r="M38" s="619" t="n"/>
      <c r="N38" s="671" t="n"/>
      <c r="O38" s="671" t="n"/>
      <c r="P38" s="671" t="n"/>
    </row>
    <row r="39" customFormat="1" s="13">
      <c r="A39" s="790" t="n">
        <v>42583</v>
      </c>
      <c r="B39" s="9">
        <f>SUM('Raw Data (KG)'!D39:E39)</f>
        <v/>
      </c>
      <c r="C39" s="9">
        <f>SUM('Raw Data (KG)'!F39:G39)</f>
        <v/>
      </c>
      <c r="D39" s="8">
        <f>SUM('Raw Data (KG)'!H39:I39)</f>
        <v/>
      </c>
      <c r="E39" s="9">
        <f>'Raw Data (KG)'!K39</f>
        <v/>
      </c>
      <c r="F39" s="679" t="n"/>
      <c r="G39" s="9">
        <f>'Raw Data (KG)'!X39</f>
        <v/>
      </c>
      <c r="H39" s="9">
        <f>'Raw Data (KG)'!Y39</f>
        <v/>
      </c>
      <c r="I39" s="354">
        <f>'Raw Data (KG)'!V39</f>
        <v/>
      </c>
      <c r="J39" s="9">
        <f>'Raw Data (KG)'!U39</f>
        <v/>
      </c>
      <c r="K39" s="62">
        <f>'Raw Data (KG)'!J39+SUM('Raw Data (KG)'!L39:P39)+SUM('Raw Data (KG)'!R39:T39)+'Raw Data (KG)'!Z39</f>
        <v/>
      </c>
      <c r="L39" s="15">
        <f>SUM(B39:K39)</f>
        <v/>
      </c>
      <c r="M39" s="619" t="n"/>
      <c r="N39" s="671" t="n"/>
      <c r="O39" s="671" t="n"/>
      <c r="P39" s="671" t="n"/>
    </row>
    <row r="40" customFormat="1" s="13">
      <c r="A40" s="790" t="n">
        <v>42614</v>
      </c>
      <c r="B40" s="9">
        <f>SUM('Raw Data (KG)'!D40:E40)</f>
        <v/>
      </c>
      <c r="C40" s="9">
        <f>SUM('Raw Data (KG)'!F40:G40)</f>
        <v/>
      </c>
      <c r="D40" s="8">
        <f>SUM('Raw Data (KG)'!H40:I40)</f>
        <v/>
      </c>
      <c r="E40" s="9">
        <f>'Raw Data (KG)'!K40</f>
        <v/>
      </c>
      <c r="F40" s="350" t="n">
        <v>11950</v>
      </c>
      <c r="G40" s="9">
        <f>'Raw Data (KG)'!X40</f>
        <v/>
      </c>
      <c r="H40" s="9">
        <f>'Raw Data (KG)'!Y40</f>
        <v/>
      </c>
      <c r="I40" s="354">
        <f>'Raw Data (KG)'!V40</f>
        <v/>
      </c>
      <c r="J40" s="9">
        <f>'Raw Data (KG)'!U40</f>
        <v/>
      </c>
      <c r="K40" s="62">
        <f>'Raw Data (KG)'!J40+SUM('Raw Data (KG)'!L40:P40)+SUM('Raw Data (KG)'!R40:T40)+'Raw Data (KG)'!Z40</f>
        <v/>
      </c>
      <c r="L40" s="15">
        <f>SUM(B40:K40)</f>
        <v/>
      </c>
      <c r="M40" s="619" t="n"/>
      <c r="N40" s="671" t="n"/>
      <c r="O40" s="671" t="n"/>
      <c r="P40" s="671" t="n"/>
    </row>
    <row r="41" customFormat="1" s="13">
      <c r="A41" s="790" t="n">
        <v>42644</v>
      </c>
      <c r="B41" s="9">
        <f>SUM('Raw Data (KG)'!D41:E41)</f>
        <v/>
      </c>
      <c r="C41" s="9">
        <f>SUM('Raw Data (KG)'!F41:G41)</f>
        <v/>
      </c>
      <c r="D41" s="8">
        <f>SUM('Raw Data (KG)'!H41:I41)</f>
        <v/>
      </c>
      <c r="E41" s="9">
        <f>'Raw Data (KG)'!K41</f>
        <v/>
      </c>
      <c r="F41" s="679">
        <f>'Raw Food Data (KG)'!Q2</f>
        <v/>
      </c>
      <c r="G41" s="9">
        <f>'Raw Data (KG)'!X41</f>
        <v/>
      </c>
      <c r="H41" s="9">
        <f>'Raw Data (KG)'!Y41</f>
        <v/>
      </c>
      <c r="I41" s="354">
        <f>'Raw Data (KG)'!V41</f>
        <v/>
      </c>
      <c r="J41" s="9">
        <f>'Raw Data (KG)'!U41</f>
        <v/>
      </c>
      <c r="K41" s="62">
        <f>'Raw Data (KG)'!J41+SUM('Raw Data (KG)'!L41:P41)+SUM('Raw Data (KG)'!R41:T41)+'Raw Data (KG)'!Z41</f>
        <v/>
      </c>
      <c r="L41" s="15">
        <f>SUM(B41:K41)</f>
        <v/>
      </c>
      <c r="M41" s="619" t="n"/>
      <c r="N41" s="671" t="n"/>
      <c r="O41" s="671" t="n"/>
      <c r="P41" s="671" t="n"/>
    </row>
    <row r="42" customFormat="1" s="13">
      <c r="A42" s="790" t="n">
        <v>42675</v>
      </c>
      <c r="B42" s="9">
        <f>SUM('Raw Data (KG)'!D42:E42)</f>
        <v/>
      </c>
      <c r="C42" s="9">
        <f>SUM('Raw Data (KG)'!F42:G42)</f>
        <v/>
      </c>
      <c r="D42" s="8">
        <f>SUM('Raw Data (KG)'!H42:I42)</f>
        <v/>
      </c>
      <c r="E42" s="9">
        <f>'Raw Data (KG)'!K42</f>
        <v/>
      </c>
      <c r="F42" s="679">
        <f>'Raw Food Data (KG)'!Q3</f>
        <v/>
      </c>
      <c r="G42" s="9">
        <f>'Raw Data (KG)'!X42</f>
        <v/>
      </c>
      <c r="H42" s="9">
        <f>'Raw Data (KG)'!Y42</f>
        <v/>
      </c>
      <c r="I42" s="354">
        <f>'Raw Data (KG)'!V42</f>
        <v/>
      </c>
      <c r="J42" s="9">
        <f>'Raw Data (KG)'!U42</f>
        <v/>
      </c>
      <c r="K42" s="62">
        <f>'Raw Data (KG)'!J42+SUM('Raw Data (KG)'!L42:P42)+SUM('Raw Data (KG)'!R42:T42)+'Raw Data (KG)'!Z42</f>
        <v/>
      </c>
      <c r="L42" s="15">
        <f>SUM(B42:K42)</f>
        <v/>
      </c>
      <c r="M42" s="619" t="n"/>
      <c r="N42" s="671" t="n"/>
      <c r="O42" s="671" t="n"/>
      <c r="P42" s="671" t="n"/>
    </row>
    <row r="43" customFormat="1" s="13">
      <c r="A43" s="790" t="n">
        <v>42705</v>
      </c>
      <c r="B43" s="9">
        <f>SUM('Raw Data (KG)'!D43:E43)</f>
        <v/>
      </c>
      <c r="C43" s="9">
        <f>SUM('Raw Data (KG)'!F43:G43)</f>
        <v/>
      </c>
      <c r="D43" s="8">
        <f>SUM('Raw Data (KG)'!H43:I43)</f>
        <v/>
      </c>
      <c r="E43" s="9">
        <f>'Raw Data (KG)'!K43</f>
        <v/>
      </c>
      <c r="F43" s="679">
        <f>'Raw Food Data (KG)'!Q4</f>
        <v/>
      </c>
      <c r="G43" s="9">
        <f>'Raw Data (KG)'!X43</f>
        <v/>
      </c>
      <c r="H43" s="9">
        <f>'Raw Data (KG)'!Y43</f>
        <v/>
      </c>
      <c r="I43" s="354">
        <f>'Raw Data (KG)'!V43</f>
        <v/>
      </c>
      <c r="J43" s="9">
        <f>'Raw Data (KG)'!U43</f>
        <v/>
      </c>
      <c r="K43" s="62">
        <f>'Raw Data (KG)'!J43+SUM('Raw Data (KG)'!L43:P43)+SUM('Raw Data (KG)'!R43:T43)+'Raw Data (KG)'!Z43</f>
        <v/>
      </c>
      <c r="L43" s="15">
        <f>SUM(B43:K43)</f>
        <v/>
      </c>
      <c r="M43" s="619" t="n"/>
      <c r="N43" s="671" t="n"/>
      <c r="O43" s="671" t="n"/>
      <c r="P43" s="671" t="n"/>
    </row>
    <row r="44" customFormat="1" s="13">
      <c r="A44" s="790" t="n">
        <v>42736</v>
      </c>
      <c r="B44" s="9">
        <f>SUM('Raw Data (KG)'!D44:E44)</f>
        <v/>
      </c>
      <c r="C44" s="9">
        <f>SUM('Raw Data (KG)'!F44:G44)</f>
        <v/>
      </c>
      <c r="D44" s="8">
        <f>SUM('Raw Data (KG)'!H44:I44)</f>
        <v/>
      </c>
      <c r="E44" s="9">
        <f>'Raw Data (KG)'!K44</f>
        <v/>
      </c>
      <c r="F44" s="679">
        <f>'Raw Food Data (KG)'!Q5</f>
        <v/>
      </c>
      <c r="G44" s="9">
        <f>'Raw Data (KG)'!X44</f>
        <v/>
      </c>
      <c r="H44" s="9">
        <f>'Raw Data (KG)'!Y44</f>
        <v/>
      </c>
      <c r="I44" s="354">
        <f>'Raw Data (KG)'!V44</f>
        <v/>
      </c>
      <c r="J44" s="9">
        <f>'Raw Data (KG)'!U44</f>
        <v/>
      </c>
      <c r="K44" s="62">
        <f>'Raw Data (KG)'!J44+SUM('Raw Data (KG)'!L44:P44)+SUM('Raw Data (KG)'!R44:T44)+'Raw Data (KG)'!Z44</f>
        <v/>
      </c>
      <c r="L44" s="15">
        <f>SUM(B44:K44)</f>
        <v/>
      </c>
      <c r="M44" s="619" t="n"/>
      <c r="N44" s="671" t="n"/>
      <c r="O44" s="671" t="n"/>
      <c r="P44" s="671" t="n"/>
    </row>
    <row r="45" customFormat="1" s="13">
      <c r="A45" s="790" t="n">
        <v>42767</v>
      </c>
      <c r="B45" s="9">
        <f>SUM('Raw Data (KG)'!D45:E45)</f>
        <v/>
      </c>
      <c r="C45" s="9">
        <f>SUM('Raw Data (KG)'!F45:G45)</f>
        <v/>
      </c>
      <c r="D45" s="8">
        <f>SUM('Raw Data (KG)'!H45:I45)</f>
        <v/>
      </c>
      <c r="E45" s="9">
        <f>'Raw Data (KG)'!K45</f>
        <v/>
      </c>
      <c r="F45" s="679">
        <f>'Raw Food Data (KG)'!Q6</f>
        <v/>
      </c>
      <c r="G45" s="9">
        <f>'Raw Data (KG)'!X45</f>
        <v/>
      </c>
      <c r="H45" s="9">
        <f>'Raw Data (KG)'!Y45</f>
        <v/>
      </c>
      <c r="I45" s="354">
        <f>'Raw Data (KG)'!V45</f>
        <v/>
      </c>
      <c r="J45" s="9">
        <f>'Raw Data (KG)'!U45</f>
        <v/>
      </c>
      <c r="K45" s="62">
        <f>'Raw Data (KG)'!J45+SUM('Raw Data (KG)'!L45:P45)+SUM('Raw Data (KG)'!R45:T45)+'Raw Data (KG)'!Z45</f>
        <v/>
      </c>
      <c r="L45" s="15">
        <f>SUM(B45:K45)</f>
        <v/>
      </c>
      <c r="M45" s="619" t="n"/>
      <c r="N45" s="671" t="n"/>
      <c r="O45" s="671" t="n"/>
      <c r="P45" s="671" t="n"/>
    </row>
    <row r="46" customFormat="1" s="13">
      <c r="A46" s="790" t="n">
        <v>42795</v>
      </c>
      <c r="B46" s="9">
        <f>SUM('Raw Data (KG)'!D46:E46)</f>
        <v/>
      </c>
      <c r="C46" s="9">
        <f>SUM('Raw Data (KG)'!F46:G46)</f>
        <v/>
      </c>
      <c r="D46" s="8">
        <f>SUM('Raw Data (KG)'!H46:I46)</f>
        <v/>
      </c>
      <c r="E46" s="9">
        <f>'Raw Data (KG)'!K46</f>
        <v/>
      </c>
      <c r="F46" s="679">
        <f>'Raw Food Data (KG)'!Q7</f>
        <v/>
      </c>
      <c r="G46" s="9">
        <f>'Raw Data (KG)'!X46</f>
        <v/>
      </c>
      <c r="H46" s="9">
        <f>'Raw Data (KG)'!Y46</f>
        <v/>
      </c>
      <c r="I46" s="354">
        <f>'Raw Data (KG)'!V46</f>
        <v/>
      </c>
      <c r="J46" s="9">
        <f>'Raw Data (KG)'!U46</f>
        <v/>
      </c>
      <c r="K46" s="62">
        <f>'Raw Data (KG)'!J46+SUM('Raw Data (KG)'!L46:P46)+SUM('Raw Data (KG)'!R46:T46)+'Raw Data (KG)'!Z46</f>
        <v/>
      </c>
      <c r="L46" s="15">
        <f>SUM(B46:K46)</f>
        <v/>
      </c>
      <c r="M46" s="619" t="n"/>
      <c r="N46" s="671" t="n"/>
      <c r="O46" s="671" t="n"/>
      <c r="P46" s="671" t="n"/>
    </row>
    <row r="47" customFormat="1" s="13">
      <c r="A47" s="790" t="n">
        <v>42826</v>
      </c>
      <c r="B47" s="9">
        <f>SUM('Raw Data (KG)'!D47:E47)</f>
        <v/>
      </c>
      <c r="C47" s="9">
        <f>SUM('Raw Data (KG)'!F47:G47)</f>
        <v/>
      </c>
      <c r="D47" s="8">
        <f>SUM('Raw Data (KG)'!H47:I47)</f>
        <v/>
      </c>
      <c r="E47" s="9">
        <f>'Raw Data (KG)'!K47</f>
        <v/>
      </c>
      <c r="F47" s="679">
        <f>'Raw Food Data (KG)'!Q8</f>
        <v/>
      </c>
      <c r="G47" s="9">
        <f>'Raw Data (KG)'!X47</f>
        <v/>
      </c>
      <c r="H47" s="9">
        <f>'Raw Data (KG)'!Y47</f>
        <v/>
      </c>
      <c r="I47" s="354">
        <f>'Raw Data (KG)'!V47</f>
        <v/>
      </c>
      <c r="J47" s="9">
        <f>'Raw Data (KG)'!U47</f>
        <v/>
      </c>
      <c r="K47" s="62">
        <f>'Raw Data (KG)'!J47+SUM('Raw Data (KG)'!L47:P47)+SUM('Raw Data (KG)'!R47:T47)+'Raw Data (KG)'!Z47</f>
        <v/>
      </c>
      <c r="L47" s="15">
        <f>SUM(B47:K47)</f>
        <v/>
      </c>
      <c r="M47" s="619" t="n"/>
      <c r="N47" s="671" t="n"/>
      <c r="O47" s="671" t="n"/>
      <c r="P47" s="671" t="n"/>
    </row>
    <row r="48" customFormat="1" s="13">
      <c r="A48" s="790" t="n">
        <v>42856</v>
      </c>
      <c r="B48" s="9">
        <f>SUM('Raw Data (KG)'!D48:E48)</f>
        <v/>
      </c>
      <c r="C48" s="9">
        <f>SUM('Raw Data (KG)'!F48:G48)</f>
        <v/>
      </c>
      <c r="D48" s="8">
        <f>SUM('Raw Data (KG)'!H48:I48)</f>
        <v/>
      </c>
      <c r="E48" s="9">
        <f>'Raw Data (KG)'!K48</f>
        <v/>
      </c>
      <c r="F48" s="679">
        <f>'Raw Food Data (KG)'!Q9</f>
        <v/>
      </c>
      <c r="G48" s="9">
        <f>'Raw Data (KG)'!X48</f>
        <v/>
      </c>
      <c r="H48" s="9">
        <f>'Raw Data (KG)'!Y48</f>
        <v/>
      </c>
      <c r="I48" s="354">
        <f>'Raw Data (KG)'!V48</f>
        <v/>
      </c>
      <c r="J48" s="9">
        <f>'Raw Data (KG)'!U48</f>
        <v/>
      </c>
      <c r="K48" s="62">
        <f>'Raw Data (KG)'!J48+SUM('Raw Data (KG)'!L48:P48)+SUM('Raw Data (KG)'!R48:T48)+'Raw Data (KG)'!Z48</f>
        <v/>
      </c>
      <c r="L48" s="15">
        <f>SUM(B48:K48)</f>
        <v/>
      </c>
      <c r="M48" s="619" t="n"/>
      <c r="N48" s="671" t="n"/>
      <c r="O48" s="671" t="n"/>
      <c r="P48" s="671" t="n"/>
    </row>
    <row r="49" customFormat="1" s="13">
      <c r="A49" s="790" t="n">
        <v>42887</v>
      </c>
      <c r="B49" s="9">
        <f>SUM('Raw Data (KG)'!D49:E49)</f>
        <v/>
      </c>
      <c r="C49" s="9">
        <f>SUM('Raw Data (KG)'!F49:G49)</f>
        <v/>
      </c>
      <c r="D49" s="8">
        <f>SUM('Raw Data (KG)'!H49:I49)</f>
        <v/>
      </c>
      <c r="E49" s="9">
        <f>'Raw Data (KG)'!K49</f>
        <v/>
      </c>
      <c r="F49" s="679">
        <f>'Raw Food Data (KG)'!Q10</f>
        <v/>
      </c>
      <c r="G49" s="9">
        <f>'Raw Data (KG)'!X49</f>
        <v/>
      </c>
      <c r="H49" s="9">
        <f>'Raw Data (KG)'!Y49</f>
        <v/>
      </c>
      <c r="I49" s="354">
        <f>'Raw Data (KG)'!V49</f>
        <v/>
      </c>
      <c r="J49" s="9">
        <f>'Raw Data (KG)'!U49</f>
        <v/>
      </c>
      <c r="K49" s="62">
        <f>'Raw Data (KG)'!J49+SUM('Raw Data (KG)'!L49:P49)+SUM('Raw Data (KG)'!R49:T49)+'Raw Data (KG)'!Z49</f>
        <v/>
      </c>
      <c r="L49" s="15">
        <f>SUM(B49:K49)</f>
        <v/>
      </c>
      <c r="M49" s="150">
        <f>SUM(L38:L49)</f>
        <v/>
      </c>
      <c r="N49" s="671" t="n"/>
      <c r="O49" s="671" t="n"/>
      <c r="P49" s="671" t="n"/>
    </row>
    <row r="50" customFormat="1" s="13">
      <c r="A50" s="790" t="n">
        <v>42917</v>
      </c>
      <c r="B50" s="75">
        <f>SUM('Raw Data (KG)'!D50:E50)</f>
        <v/>
      </c>
      <c r="C50" s="75">
        <f>SUM('Raw Data (KG)'!F50:G50)</f>
        <v/>
      </c>
      <c r="D50" s="73">
        <f>SUM('Raw Data (KG)'!H50:I50)</f>
        <v/>
      </c>
      <c r="E50" s="75">
        <f>'Raw Data (KG)'!K50</f>
        <v/>
      </c>
      <c r="F50" s="791">
        <f>'Raw Food Data (KG)'!Q11</f>
        <v/>
      </c>
      <c r="G50" s="75">
        <f>'Raw Data (KG)'!X50</f>
        <v/>
      </c>
      <c r="H50" s="75">
        <f>'Raw Data (KG)'!Y50</f>
        <v/>
      </c>
      <c r="I50" s="77">
        <f>'Raw Data (KG)'!V50</f>
        <v/>
      </c>
      <c r="J50" s="75">
        <f>'Raw Data (KG)'!U50</f>
        <v/>
      </c>
      <c r="K50" s="74">
        <f>'Raw Data (KG)'!J50+SUM('Raw Data (KG)'!L50:P50)+SUM('Raw Data (KG)'!R50:T50)+'Raw Data (KG)'!Z50</f>
        <v/>
      </c>
      <c r="L50" s="72">
        <f>SUM(B50:K50)</f>
        <v/>
      </c>
      <c r="M50" s="619" t="n"/>
      <c r="N50" s="671" t="n"/>
      <c r="O50" s="671" t="n"/>
      <c r="P50" s="671" t="n"/>
    </row>
    <row r="51" customFormat="1" s="13">
      <c r="A51" s="790" t="n">
        <v>42948</v>
      </c>
      <c r="B51" s="75">
        <f>SUM('Raw Data (KG)'!D51:E51)</f>
        <v/>
      </c>
      <c r="C51" s="75">
        <f>SUM('Raw Data (KG)'!F51:G51)</f>
        <v/>
      </c>
      <c r="D51" s="73">
        <f>SUM('Raw Data (KG)'!H51:I51)</f>
        <v/>
      </c>
      <c r="E51" s="75">
        <f>'Raw Data (KG)'!K51</f>
        <v/>
      </c>
      <c r="F51" s="791">
        <f>'Raw Food Data (KG)'!Q12</f>
        <v/>
      </c>
      <c r="G51" s="75">
        <f>'Raw Data (KG)'!X51</f>
        <v/>
      </c>
      <c r="H51" s="75">
        <f>'Raw Data (KG)'!Y51</f>
        <v/>
      </c>
      <c r="I51" s="77">
        <f>'Raw Data (KG)'!V51</f>
        <v/>
      </c>
      <c r="J51" s="75">
        <f>'Raw Data (KG)'!U51</f>
        <v/>
      </c>
      <c r="K51" s="74">
        <f>'Raw Data (KG)'!J51+SUM('Raw Data (KG)'!L51:P51)+SUM('Raw Data (KG)'!R51:T51)+'Raw Data (KG)'!Z51</f>
        <v/>
      </c>
      <c r="L51" s="72">
        <f>SUM(B51:K51)</f>
        <v/>
      </c>
      <c r="M51" s="619" t="n"/>
      <c r="N51" s="671" t="n"/>
      <c r="O51" s="671" t="n"/>
      <c r="P51" s="671" t="n"/>
    </row>
    <row r="52" customFormat="1" s="13">
      <c r="A52" s="790" t="n">
        <v>42979</v>
      </c>
      <c r="B52" s="75">
        <f>SUM('Raw Data (KG)'!D52:E52)</f>
        <v/>
      </c>
      <c r="C52" s="75">
        <f>SUM('Raw Data (KG)'!F52:G52)</f>
        <v/>
      </c>
      <c r="D52" s="73">
        <f>SUM('Raw Data (KG)'!H52:I52)</f>
        <v/>
      </c>
      <c r="E52" s="75">
        <f>'Raw Data (KG)'!K52</f>
        <v/>
      </c>
      <c r="F52" s="791">
        <f>'Raw Food Data (KG)'!Q13</f>
        <v/>
      </c>
      <c r="G52" s="75">
        <f>'Raw Data (KG)'!X52</f>
        <v/>
      </c>
      <c r="H52" s="75">
        <f>'Raw Data (KG)'!Y52</f>
        <v/>
      </c>
      <c r="I52" s="77">
        <f>'Raw Data (KG)'!V52</f>
        <v/>
      </c>
      <c r="J52" s="75">
        <f>'Raw Data (KG)'!U52</f>
        <v/>
      </c>
      <c r="K52" s="74">
        <f>'Raw Data (KG)'!J52+SUM('Raw Data (KG)'!L52:P52)+SUM('Raw Data (KG)'!R52:T52)+'Raw Data (KG)'!Z52</f>
        <v/>
      </c>
      <c r="L52" s="72">
        <f>SUM(B52:K52)</f>
        <v/>
      </c>
      <c r="M52" s="619" t="n"/>
      <c r="N52" s="671" t="n"/>
      <c r="O52" s="671" t="n"/>
      <c r="P52" s="671" t="n"/>
    </row>
    <row r="53" customFormat="1" s="13">
      <c r="A53" s="790" t="n">
        <v>43009</v>
      </c>
      <c r="B53" s="75">
        <f>SUM('Raw Data (KG)'!D53:E53)</f>
        <v/>
      </c>
      <c r="C53" s="75">
        <f>SUM('Raw Data (KG)'!F53:G53)</f>
        <v/>
      </c>
      <c r="D53" s="73">
        <f>SUM('Raw Data (KG)'!H53:I53)</f>
        <v/>
      </c>
      <c r="E53" s="75">
        <f>'Raw Data (KG)'!K53</f>
        <v/>
      </c>
      <c r="F53" s="791">
        <f>'Raw Food Data (KG)'!Q14</f>
        <v/>
      </c>
      <c r="G53" s="75">
        <f>'Raw Data (KG)'!X53</f>
        <v/>
      </c>
      <c r="H53" s="75">
        <f>'Raw Data (KG)'!Y53</f>
        <v/>
      </c>
      <c r="I53" s="77">
        <f>'Raw Data (KG)'!V53</f>
        <v/>
      </c>
      <c r="J53" s="75">
        <f>'Raw Data (KG)'!U53</f>
        <v/>
      </c>
      <c r="K53" s="74">
        <f>'Raw Data (KG)'!J53+SUM('Raw Data (KG)'!L53:P53)+SUM('Raw Data (KG)'!R53:T53)+'Raw Data (KG)'!Z53</f>
        <v/>
      </c>
      <c r="L53" s="72">
        <f>SUM(B53:K53)</f>
        <v/>
      </c>
      <c r="M53" s="619" t="n"/>
      <c r="N53" s="671" t="n"/>
      <c r="O53" s="671" t="n"/>
      <c r="P53" s="671" t="n"/>
    </row>
    <row r="54" customFormat="1" s="13">
      <c r="A54" s="790" t="n">
        <v>43040</v>
      </c>
      <c r="B54" s="75">
        <f>SUM('Raw Data (KG)'!D54:E54)</f>
        <v/>
      </c>
      <c r="C54" s="75">
        <f>SUM('Raw Data (KG)'!F54:G54)</f>
        <v/>
      </c>
      <c r="D54" s="73">
        <f>SUM('Raw Data (KG)'!H54:I54)</f>
        <v/>
      </c>
      <c r="E54" s="75">
        <f>'Raw Data (KG)'!K54</f>
        <v/>
      </c>
      <c r="F54" s="791">
        <f>'Raw Food Data (KG)'!Q15</f>
        <v/>
      </c>
      <c r="G54" s="75">
        <f>'Raw Data (KG)'!X54</f>
        <v/>
      </c>
      <c r="H54" s="75">
        <f>'Raw Data (KG)'!Y54</f>
        <v/>
      </c>
      <c r="I54" s="77">
        <f>'Raw Data (KG)'!V54</f>
        <v/>
      </c>
      <c r="J54" s="75">
        <f>'Raw Data (KG)'!U54</f>
        <v/>
      </c>
      <c r="K54" s="74">
        <f>'Raw Data (KG)'!J54+SUM('Raw Data (KG)'!L54:P54)+SUM('Raw Data (KG)'!R54:T54)+'Raw Data (KG)'!Z54</f>
        <v/>
      </c>
      <c r="L54" s="72">
        <f>SUM(B54:K54)</f>
        <v/>
      </c>
      <c r="M54" s="619" t="n"/>
      <c r="N54" s="671" t="n"/>
      <c r="O54" s="671" t="n"/>
      <c r="P54" s="671" t="n"/>
    </row>
    <row r="55" customFormat="1" s="13">
      <c r="A55" s="790" t="n">
        <v>43070</v>
      </c>
      <c r="B55" s="75">
        <f>SUM('Raw Data (KG)'!D55:E55)</f>
        <v/>
      </c>
      <c r="C55" s="75">
        <f>SUM('Raw Data (KG)'!F55:G55)</f>
        <v/>
      </c>
      <c r="D55" s="73">
        <f>SUM('Raw Data (KG)'!H55:I55)</f>
        <v/>
      </c>
      <c r="E55" s="75">
        <f>'Raw Data (KG)'!K55</f>
        <v/>
      </c>
      <c r="F55" s="791">
        <f>'Raw Food Data (KG)'!Q16</f>
        <v/>
      </c>
      <c r="G55" s="75">
        <f>'Raw Data (KG)'!X55</f>
        <v/>
      </c>
      <c r="H55" s="75">
        <f>'Raw Data (KG)'!Y55</f>
        <v/>
      </c>
      <c r="I55" s="77">
        <f>'Raw Data (KG)'!V55</f>
        <v/>
      </c>
      <c r="J55" s="75">
        <f>'Raw Data (KG)'!U55</f>
        <v/>
      </c>
      <c r="K55" s="74">
        <f>'Raw Data (KG)'!J55+SUM('Raw Data (KG)'!L55:P55)+SUM('Raw Data (KG)'!R55:T55)+'Raw Data (KG)'!Z55</f>
        <v/>
      </c>
      <c r="L55" s="72">
        <f>SUM(B55:K55)</f>
        <v/>
      </c>
      <c r="M55" s="619" t="n"/>
      <c r="N55" s="671" t="n"/>
      <c r="O55" s="671" t="n"/>
      <c r="P55" s="671" t="n"/>
    </row>
    <row r="56" customFormat="1" s="13">
      <c r="A56" s="790" t="n">
        <v>43101</v>
      </c>
      <c r="B56" s="75">
        <f>SUM('Raw Data (KG)'!D56:E56)</f>
        <v/>
      </c>
      <c r="C56" s="75">
        <f>SUM('Raw Data (KG)'!F56:G56)</f>
        <v/>
      </c>
      <c r="D56" s="73">
        <f>SUM('Raw Data (KG)'!H56:I56)</f>
        <v/>
      </c>
      <c r="E56" s="75">
        <f>'Raw Data (KG)'!K56</f>
        <v/>
      </c>
      <c r="F56" s="791">
        <f>'Raw Food Data (KG)'!Q17</f>
        <v/>
      </c>
      <c r="G56" s="75">
        <f>'Raw Data (KG)'!X56</f>
        <v/>
      </c>
      <c r="H56" s="75">
        <f>'Raw Data (KG)'!Y56</f>
        <v/>
      </c>
      <c r="I56" s="77">
        <f>'Raw Data (KG)'!V56</f>
        <v/>
      </c>
      <c r="J56" s="75">
        <f>'Raw Data (KG)'!U56</f>
        <v/>
      </c>
      <c r="K56" s="74">
        <f>'Raw Data (KG)'!J56+SUM('Raw Data (KG)'!L56:P56)+SUM('Raw Data (KG)'!R56:T56)+'Raw Data (KG)'!Z56</f>
        <v/>
      </c>
      <c r="L56" s="72">
        <f>SUM(B56:K56)</f>
        <v/>
      </c>
      <c r="M56" s="619" t="n"/>
      <c r="N56" s="671" t="n"/>
      <c r="O56" s="671" t="n"/>
      <c r="P56" s="671" t="n"/>
    </row>
    <row r="57" customFormat="1" s="13">
      <c r="A57" s="790" t="n">
        <v>43132</v>
      </c>
      <c r="B57" s="75">
        <f>SUM('Raw Data (KG)'!D57:E57)</f>
        <v/>
      </c>
      <c r="C57" s="75">
        <f>SUM('Raw Data (KG)'!F57:G57)</f>
        <v/>
      </c>
      <c r="D57" s="73">
        <f>SUM('Raw Data (KG)'!H57:I57)</f>
        <v/>
      </c>
      <c r="E57" s="75">
        <f>'Raw Data (KG)'!K57</f>
        <v/>
      </c>
      <c r="F57" s="791">
        <f>'Raw Food Data (KG)'!Q18</f>
        <v/>
      </c>
      <c r="G57" s="75">
        <f>'Raw Data (KG)'!X57</f>
        <v/>
      </c>
      <c r="H57" s="75">
        <f>'Raw Data (KG)'!Y57</f>
        <v/>
      </c>
      <c r="I57" s="77">
        <f>'Raw Data (KG)'!V57</f>
        <v/>
      </c>
      <c r="J57" s="75">
        <f>'Raw Data (KG)'!U57</f>
        <v/>
      </c>
      <c r="K57" s="74">
        <f>'Raw Data (KG)'!J57+SUM('Raw Data (KG)'!L57:P57)+SUM('Raw Data (KG)'!R57:T57)+'Raw Data (KG)'!Z57</f>
        <v/>
      </c>
      <c r="L57" s="72">
        <f>SUM(B57:K57)</f>
        <v/>
      </c>
      <c r="M57" s="619" t="n"/>
      <c r="N57" s="671" t="n"/>
      <c r="O57" s="671" t="n"/>
      <c r="P57" s="671" t="n"/>
    </row>
    <row r="58" customFormat="1" s="13">
      <c r="A58" s="790" t="n">
        <v>43160</v>
      </c>
      <c r="B58" s="75">
        <f>SUM('Raw Data (KG)'!D58:E58)</f>
        <v/>
      </c>
      <c r="C58" s="75">
        <f>SUM('Raw Data (KG)'!F58:G58)</f>
        <v/>
      </c>
      <c r="D58" s="73">
        <f>SUM('Raw Data (KG)'!H58:I58)</f>
        <v/>
      </c>
      <c r="E58" s="75">
        <f>'Raw Data (KG)'!K58</f>
        <v/>
      </c>
      <c r="F58" s="791">
        <f>'Raw Food Data (KG)'!Q19</f>
        <v/>
      </c>
      <c r="G58" s="75">
        <f>'Raw Data (KG)'!X58</f>
        <v/>
      </c>
      <c r="H58" s="75">
        <f>'Raw Data (KG)'!Y58</f>
        <v/>
      </c>
      <c r="I58" s="77">
        <f>'Raw Data (KG)'!V58</f>
        <v/>
      </c>
      <c r="J58" s="75">
        <f>'Raw Data (KG)'!U58</f>
        <v/>
      </c>
      <c r="K58" s="74">
        <f>'Raw Data (KG)'!J58+SUM('Raw Data (KG)'!L58:P58)+SUM('Raw Data (KG)'!R58:T58)+'Raw Data (KG)'!Z58</f>
        <v/>
      </c>
      <c r="L58" s="72">
        <f>SUM(B58:K58)</f>
        <v/>
      </c>
      <c r="M58" s="619" t="n"/>
      <c r="N58" s="671" t="n"/>
      <c r="O58" s="671" t="n"/>
      <c r="P58" s="671" t="n"/>
    </row>
    <row r="59" customFormat="1" s="13">
      <c r="A59" s="790" t="n">
        <v>43191</v>
      </c>
      <c r="B59" s="75">
        <f>SUM('Raw Data (KG)'!D59:E59)</f>
        <v/>
      </c>
      <c r="C59" s="75">
        <f>SUM('Raw Data (KG)'!F59:G59)</f>
        <v/>
      </c>
      <c r="D59" s="73">
        <f>SUM('Raw Data (KG)'!H59:I59)</f>
        <v/>
      </c>
      <c r="E59" s="75">
        <f>'Raw Data (KG)'!K59</f>
        <v/>
      </c>
      <c r="F59" s="791">
        <f>'Raw Food Data (KG)'!Q20</f>
        <v/>
      </c>
      <c r="G59" s="75">
        <f>'Raw Data (KG)'!X59</f>
        <v/>
      </c>
      <c r="H59" s="75">
        <f>'Raw Data (KG)'!Y59</f>
        <v/>
      </c>
      <c r="I59" s="77">
        <f>'Raw Data (KG)'!V59</f>
        <v/>
      </c>
      <c r="J59" s="75">
        <f>'Raw Data (KG)'!U59</f>
        <v/>
      </c>
      <c r="K59" s="74">
        <f>'Raw Data (KG)'!J59+SUM('Raw Data (KG)'!L59:P59)+SUM('Raw Data (KG)'!R59:T59)+'Raw Data (KG)'!Z59</f>
        <v/>
      </c>
      <c r="L59" s="72">
        <f>SUM(B59:K59)</f>
        <v/>
      </c>
      <c r="M59" s="619" t="n"/>
      <c r="N59" s="671" t="n"/>
      <c r="O59" s="671" t="n"/>
      <c r="P59" s="671" t="n"/>
    </row>
    <row r="60" customFormat="1" s="13">
      <c r="A60" s="790" t="n">
        <v>43221</v>
      </c>
      <c r="B60" s="75">
        <f>SUM('Raw Data (KG)'!D60:E60)</f>
        <v/>
      </c>
      <c r="C60" s="75">
        <f>SUM('Raw Data (KG)'!F60:G60)</f>
        <v/>
      </c>
      <c r="D60" s="73">
        <f>SUM('Raw Data (KG)'!H60:I60)</f>
        <v/>
      </c>
      <c r="E60" s="75">
        <f>'Raw Data (KG)'!K60</f>
        <v/>
      </c>
      <c r="F60" s="791">
        <f>'Raw Food Data (KG)'!Q21</f>
        <v/>
      </c>
      <c r="G60" s="75">
        <f>'Raw Data (KG)'!X60</f>
        <v/>
      </c>
      <c r="H60" s="75">
        <f>'Raw Data (KG)'!Y60</f>
        <v/>
      </c>
      <c r="I60" s="77">
        <f>'Raw Data (KG)'!V60</f>
        <v/>
      </c>
      <c r="J60" s="75">
        <f>'Raw Data (KG)'!U60</f>
        <v/>
      </c>
      <c r="K60" s="74">
        <f>'Raw Data (KG)'!J60+SUM('Raw Data (KG)'!L60:P60)+SUM('Raw Data (KG)'!R60:T60)+'Raw Data (KG)'!Z60</f>
        <v/>
      </c>
      <c r="L60" s="72">
        <f>SUM(B60:K60)</f>
        <v/>
      </c>
      <c r="M60" s="619" t="n"/>
      <c r="N60" s="671" t="n"/>
      <c r="O60" s="671" t="n"/>
      <c r="P60" s="671" t="n"/>
    </row>
    <row r="61" customFormat="1" s="13">
      <c r="A61" s="790" t="n">
        <v>43252</v>
      </c>
      <c r="B61" s="75">
        <f>SUM('Raw Data (KG)'!D61:E61)</f>
        <v/>
      </c>
      <c r="C61" s="75">
        <f>SUM('Raw Data (KG)'!F61:G61)</f>
        <v/>
      </c>
      <c r="D61" s="73">
        <f>SUM('Raw Data (KG)'!H61:I61)</f>
        <v/>
      </c>
      <c r="E61" s="75">
        <f>'Raw Data (KG)'!K61</f>
        <v/>
      </c>
      <c r="F61" s="791">
        <f>'Raw Food Data (KG)'!Q22</f>
        <v/>
      </c>
      <c r="G61" s="75">
        <f>'Raw Data (KG)'!X61</f>
        <v/>
      </c>
      <c r="H61" s="75">
        <f>'Raw Data (KG)'!Y61</f>
        <v/>
      </c>
      <c r="I61" s="77">
        <f>'Raw Data (KG)'!V61</f>
        <v/>
      </c>
      <c r="J61" s="75">
        <f>'Raw Data (KG)'!U61</f>
        <v/>
      </c>
      <c r="K61" s="74">
        <f>'Raw Data (KG)'!J61+SUM('Raw Data (KG)'!L61:P61)+SUM('Raw Data (KG)'!R61:T61)+'Raw Data (KG)'!Z61</f>
        <v/>
      </c>
      <c r="L61" s="72">
        <f>SUM(B61:K61)</f>
        <v/>
      </c>
      <c r="M61" s="150">
        <f>SUM(L50:L61)</f>
        <v/>
      </c>
      <c r="N61" s="671" t="n"/>
      <c r="O61" s="671" t="n"/>
      <c r="P61" s="671" t="n"/>
    </row>
    <row r="62" customFormat="1" s="13">
      <c r="A62" s="790" t="n">
        <v>43282</v>
      </c>
      <c r="B62" s="9">
        <f>SUM('Raw Data (KG)'!D62:E62)</f>
        <v/>
      </c>
      <c r="C62" s="9">
        <f>SUM('Raw Data (KG)'!F62:G62)</f>
        <v/>
      </c>
      <c r="D62" s="8">
        <f>SUM('Raw Data (KG)'!H62:I62)</f>
        <v/>
      </c>
      <c r="E62" s="9">
        <f>'Raw Data (KG)'!K62</f>
        <v/>
      </c>
      <c r="F62" s="679">
        <f>'Raw Food Data (KG)'!Q23</f>
        <v/>
      </c>
      <c r="G62" s="9">
        <f>'Raw Data (KG)'!X62</f>
        <v/>
      </c>
      <c r="H62" s="9">
        <f>'Raw Data (KG)'!Y62</f>
        <v/>
      </c>
      <c r="I62" s="354">
        <f>'Raw Data (KG)'!V62</f>
        <v/>
      </c>
      <c r="J62" s="9">
        <f>'Raw Data (KG)'!U62</f>
        <v/>
      </c>
      <c r="K62" s="62">
        <f>'Raw Data (KG)'!J62+SUM('Raw Data (KG)'!L62:P62)+SUM('Raw Data (KG)'!R62:T62)+'Raw Data (KG)'!Z62</f>
        <v/>
      </c>
      <c r="L62" s="15">
        <f>SUM(B62:K62)</f>
        <v/>
      </c>
      <c r="M62" s="619" t="n"/>
      <c r="N62" s="671" t="n"/>
      <c r="O62" s="671" t="n"/>
      <c r="P62" s="671" t="n"/>
    </row>
    <row r="63" customFormat="1" s="13">
      <c r="A63" s="790" t="n">
        <v>43313</v>
      </c>
      <c r="B63" s="9">
        <f>SUM('Raw Data (KG)'!D63:E63)</f>
        <v/>
      </c>
      <c r="C63" s="9">
        <f>SUM('Raw Data (KG)'!F63:G63)</f>
        <v/>
      </c>
      <c r="D63" s="8">
        <f>SUM('Raw Data (KG)'!H63:I63)</f>
        <v/>
      </c>
      <c r="E63" s="9">
        <f>'Raw Data (KG)'!K63</f>
        <v/>
      </c>
      <c r="F63" s="679">
        <f>'Raw Food Data (KG)'!Q24</f>
        <v/>
      </c>
      <c r="G63" s="9">
        <f>'Raw Data (KG)'!X63</f>
        <v/>
      </c>
      <c r="H63" s="9">
        <f>'Raw Data (KG)'!Y63</f>
        <v/>
      </c>
      <c r="I63" s="354">
        <f>'Raw Data (KG)'!V63</f>
        <v/>
      </c>
      <c r="J63" s="9">
        <f>'Raw Data (KG)'!U63</f>
        <v/>
      </c>
      <c r="K63" s="62">
        <f>'Raw Data (KG)'!J63+SUM('Raw Data (KG)'!L63:P63)+SUM('Raw Data (KG)'!R63:T63)+'Raw Data (KG)'!Z63</f>
        <v/>
      </c>
      <c r="L63" s="15">
        <f>SUM(B63:K63)</f>
        <v/>
      </c>
      <c r="M63" s="619" t="n"/>
      <c r="N63" s="671" t="n"/>
      <c r="O63" s="671" t="n"/>
      <c r="P63" s="671" t="n"/>
    </row>
    <row r="64" customFormat="1" s="13">
      <c r="A64" s="790" t="n">
        <v>43344</v>
      </c>
      <c r="B64" s="9">
        <f>SUM('Raw Data (KG)'!D64:E64)</f>
        <v/>
      </c>
      <c r="C64" s="9">
        <f>SUM('Raw Data (KG)'!F64:G64)</f>
        <v/>
      </c>
      <c r="D64" s="8">
        <f>SUM('Raw Data (KG)'!H64:I64)</f>
        <v/>
      </c>
      <c r="E64" s="9">
        <f>'Raw Data (KG)'!K64</f>
        <v/>
      </c>
      <c r="F64" s="679">
        <f>'Raw Food Data (KG)'!Q25</f>
        <v/>
      </c>
      <c r="G64" s="9">
        <f>'Raw Data (KG)'!X64</f>
        <v/>
      </c>
      <c r="H64" s="9">
        <f>'Raw Data (KG)'!Y64</f>
        <v/>
      </c>
      <c r="I64" s="354">
        <f>'Raw Data (KG)'!V64</f>
        <v/>
      </c>
      <c r="J64" s="9">
        <f>'Raw Data (KG)'!U64</f>
        <v/>
      </c>
      <c r="K64" s="62">
        <f>'Raw Data (KG)'!J64+SUM('Raw Data (KG)'!L64:P64)+SUM('Raw Data (KG)'!R64:T64)+'Raw Data (KG)'!Z64</f>
        <v/>
      </c>
      <c r="L64" s="15">
        <f>SUM(B64:K64)</f>
        <v/>
      </c>
      <c r="M64" s="619" t="n"/>
      <c r="N64" s="671" t="n"/>
      <c r="O64" s="671" t="n"/>
      <c r="P64" s="671" t="n"/>
    </row>
    <row r="65" customFormat="1" s="13">
      <c r="A65" s="790" t="n">
        <v>43374</v>
      </c>
      <c r="B65" s="9">
        <f>SUM('Raw Data (KG)'!D65:E65)</f>
        <v/>
      </c>
      <c r="C65" s="9">
        <f>SUM('Raw Data (KG)'!F65:G65)</f>
        <v/>
      </c>
      <c r="D65" s="8">
        <f>SUM('Raw Data (KG)'!H65:I65)</f>
        <v/>
      </c>
      <c r="E65" s="9">
        <f>'Raw Data (KG)'!K65</f>
        <v/>
      </c>
      <c r="F65" s="679">
        <f>'Raw Food Data (KG)'!Q26</f>
        <v/>
      </c>
      <c r="G65" s="9">
        <f>'Raw Data (KG)'!X65</f>
        <v/>
      </c>
      <c r="H65" s="9">
        <f>'Raw Data (KG)'!Y65</f>
        <v/>
      </c>
      <c r="I65" s="354">
        <f>'Raw Data (KG)'!V65</f>
        <v/>
      </c>
      <c r="J65" s="9">
        <f>'Raw Data (KG)'!U65</f>
        <v/>
      </c>
      <c r="K65" s="62">
        <f>'Raw Data (KG)'!J65+SUM('Raw Data (KG)'!L65:P65)+SUM('Raw Data (KG)'!R65:T65)+'Raw Data (KG)'!Z65</f>
        <v/>
      </c>
      <c r="L65" s="15">
        <f>SUM(B65:K65)</f>
        <v/>
      </c>
      <c r="M65" s="619" t="n"/>
      <c r="N65" s="671" t="n"/>
      <c r="O65" s="671" t="n"/>
      <c r="P65" s="671" t="n"/>
    </row>
    <row r="66" customFormat="1" s="13">
      <c r="A66" s="790" t="n">
        <v>43405</v>
      </c>
      <c r="B66" s="9">
        <f>SUM('Raw Data (KG)'!D66:E66)</f>
        <v/>
      </c>
      <c r="C66" s="9">
        <f>SUM('Raw Data (KG)'!F66:G66)</f>
        <v/>
      </c>
      <c r="D66" s="8">
        <f>SUM('Raw Data (KG)'!H66:I66)</f>
        <v/>
      </c>
      <c r="E66" s="9">
        <f>'Raw Data (KG)'!K66</f>
        <v/>
      </c>
      <c r="F66" s="679">
        <f>'Raw Food Data (KG)'!Q27</f>
        <v/>
      </c>
      <c r="G66" s="9">
        <f>'Raw Data (KG)'!X66</f>
        <v/>
      </c>
      <c r="H66" s="9">
        <f>'Raw Data (KG)'!Y66</f>
        <v/>
      </c>
      <c r="I66" s="354">
        <f>'Raw Data (KG)'!V66</f>
        <v/>
      </c>
      <c r="J66" s="9">
        <f>'Raw Data (KG)'!U66</f>
        <v/>
      </c>
      <c r="K66" s="62">
        <f>'Raw Data (KG)'!J66+SUM('Raw Data (KG)'!L66:P66)+SUM('Raw Data (KG)'!R66:T66)+'Raw Data (KG)'!Z66</f>
        <v/>
      </c>
      <c r="L66" s="15">
        <f>SUM(B66:K66)</f>
        <v/>
      </c>
      <c r="M66" s="619" t="n"/>
      <c r="N66" s="671" t="n"/>
      <c r="O66" s="671" t="n"/>
      <c r="P66" s="671" t="n"/>
    </row>
    <row r="67" customFormat="1" s="13">
      <c r="A67" s="790" t="n">
        <v>43435</v>
      </c>
      <c r="B67" s="9">
        <f>SUM('Raw Data (KG)'!D67:E67)</f>
        <v/>
      </c>
      <c r="C67" s="9">
        <f>SUM('Raw Data (KG)'!F67:G67)</f>
        <v/>
      </c>
      <c r="D67" s="8">
        <f>SUM('Raw Data (KG)'!H67:I67)</f>
        <v/>
      </c>
      <c r="E67" s="9">
        <f>'Raw Data (KG)'!K67</f>
        <v/>
      </c>
      <c r="F67" s="679">
        <f>'Raw Food Data (KG)'!Q28</f>
        <v/>
      </c>
      <c r="G67" s="9">
        <f>'Raw Data (KG)'!X67</f>
        <v/>
      </c>
      <c r="H67" s="9">
        <f>'Raw Data (KG)'!Y67</f>
        <v/>
      </c>
      <c r="I67" s="354">
        <f>'Raw Data (KG)'!V67</f>
        <v/>
      </c>
      <c r="J67" s="9">
        <f>'Raw Data (KG)'!U67</f>
        <v/>
      </c>
      <c r="K67" s="62">
        <f>'Raw Data (KG)'!J67+SUM('Raw Data (KG)'!L67:P67)+SUM('Raw Data (KG)'!R67:T67)+'Raw Data (KG)'!Z67</f>
        <v/>
      </c>
      <c r="L67" s="15">
        <f>SUM(B67:K67)</f>
        <v/>
      </c>
      <c r="M67" s="619" t="n"/>
      <c r="N67" s="671" t="n"/>
      <c r="O67" s="671" t="n"/>
      <c r="P67" s="671" t="n"/>
    </row>
    <row r="68" customFormat="1" s="13">
      <c r="A68" s="790" t="n">
        <v>43466</v>
      </c>
      <c r="B68" s="9">
        <f>SUM('Raw Data (KG)'!D68:E68)</f>
        <v/>
      </c>
      <c r="C68" s="9">
        <f>SUM('Raw Data (KG)'!F68:G68)</f>
        <v/>
      </c>
      <c r="D68" s="8">
        <f>SUM('Raw Data (KG)'!H68:I68)</f>
        <v/>
      </c>
      <c r="E68" s="9">
        <f>'Raw Data (KG)'!K68</f>
        <v/>
      </c>
      <c r="F68" s="679">
        <f>'Raw Food Data (KG)'!Q29</f>
        <v/>
      </c>
      <c r="G68" s="9">
        <f>'Raw Data (KG)'!X68</f>
        <v/>
      </c>
      <c r="H68" s="9">
        <f>'Raw Data (KG)'!Y68</f>
        <v/>
      </c>
      <c r="I68" s="354">
        <f>'Raw Data (KG)'!V68</f>
        <v/>
      </c>
      <c r="J68" s="9">
        <f>'Raw Data (KG)'!U68</f>
        <v/>
      </c>
      <c r="K68" s="62">
        <f>'Raw Data (KG)'!J68+SUM('Raw Data (KG)'!L68:P68)+SUM('Raw Data (KG)'!R68:T68)+'Raw Data (KG)'!Z68</f>
        <v/>
      </c>
      <c r="L68" s="15">
        <f>SUM(B68:K68)</f>
        <v/>
      </c>
      <c r="M68" s="619" t="n"/>
      <c r="N68" s="671" t="n"/>
      <c r="O68" s="671" t="n"/>
      <c r="P68" s="671" t="n"/>
    </row>
    <row r="69" customFormat="1" s="13">
      <c r="A69" s="790" t="n">
        <v>43497</v>
      </c>
      <c r="B69" s="9">
        <f>SUM('Raw Data (KG)'!D69:E69)</f>
        <v/>
      </c>
      <c r="C69" s="9">
        <f>SUM('Raw Data (KG)'!F69:G69)</f>
        <v/>
      </c>
      <c r="D69" s="8">
        <f>SUM('Raw Data (KG)'!H69:I69)</f>
        <v/>
      </c>
      <c r="E69" s="9">
        <f>'Raw Data (KG)'!K69</f>
        <v/>
      </c>
      <c r="F69" s="679">
        <f>'Raw Food Data (KG)'!Q30</f>
        <v/>
      </c>
      <c r="G69" s="9">
        <f>'Raw Data (KG)'!X69</f>
        <v/>
      </c>
      <c r="H69" s="9">
        <f>'Raw Data (KG)'!Y69</f>
        <v/>
      </c>
      <c r="I69" s="354">
        <f>'Raw Data (KG)'!V69</f>
        <v/>
      </c>
      <c r="J69" s="9">
        <f>'Raw Data (KG)'!U69</f>
        <v/>
      </c>
      <c r="K69" s="62">
        <f>'Raw Data (KG)'!J69+SUM('Raw Data (KG)'!L69:P69)+SUM('Raw Data (KG)'!R69:T69)+'Raw Data (KG)'!Z69</f>
        <v/>
      </c>
      <c r="L69" s="15">
        <f>SUM(B69:K69)</f>
        <v/>
      </c>
      <c r="M69" s="619" t="n"/>
      <c r="N69" s="671" t="n"/>
      <c r="O69" s="671" t="n"/>
      <c r="P69" s="671" t="n"/>
    </row>
    <row r="70" customFormat="1" s="13">
      <c r="A70" s="790" t="n">
        <v>43525</v>
      </c>
      <c r="B70" s="9">
        <f>SUM('Raw Data (KG)'!D70:E70)</f>
        <v/>
      </c>
      <c r="C70" s="9">
        <f>SUM('Raw Data (KG)'!F70:G70)</f>
        <v/>
      </c>
      <c r="D70" s="8">
        <f>SUM('Raw Data (KG)'!H70:I70)</f>
        <v/>
      </c>
      <c r="E70" s="9">
        <f>'Raw Data (KG)'!K70</f>
        <v/>
      </c>
      <c r="F70" s="679">
        <f>'Raw Food Data (KG)'!Q31</f>
        <v/>
      </c>
      <c r="G70" s="9">
        <f>'Raw Data (KG)'!X70</f>
        <v/>
      </c>
      <c r="H70" s="9">
        <f>'Raw Data (KG)'!Y70</f>
        <v/>
      </c>
      <c r="I70" s="354">
        <f>'Raw Data (KG)'!V70</f>
        <v/>
      </c>
      <c r="J70" s="9">
        <f>'Raw Data (KG)'!U70</f>
        <v/>
      </c>
      <c r="K70" s="62">
        <f>'Raw Data (KG)'!J70+SUM('Raw Data (KG)'!L70:P70)+SUM('Raw Data (KG)'!R70:T70)+'Raw Data (KG)'!Z70</f>
        <v/>
      </c>
      <c r="L70" s="15">
        <f>SUM(B70:K70)</f>
        <v/>
      </c>
      <c r="M70" s="619" t="n"/>
      <c r="N70" s="671" t="n"/>
      <c r="O70" s="671" t="n"/>
      <c r="P70" s="671" t="n"/>
    </row>
    <row r="71" customFormat="1" s="13">
      <c r="A71" s="790" t="n">
        <v>43556</v>
      </c>
      <c r="B71" s="9">
        <f>SUM('Raw Data (KG)'!D71:E71)</f>
        <v/>
      </c>
      <c r="C71" s="9">
        <f>SUM('Raw Data (KG)'!F71:G71)</f>
        <v/>
      </c>
      <c r="D71" s="8">
        <f>SUM('Raw Data (KG)'!H71:I71)</f>
        <v/>
      </c>
      <c r="E71" s="9">
        <f>'Raw Data (KG)'!K71</f>
        <v/>
      </c>
      <c r="F71" s="679">
        <f>'Raw Food Data (KG)'!Q32</f>
        <v/>
      </c>
      <c r="G71" s="9">
        <f>'Raw Data (KG)'!X71</f>
        <v/>
      </c>
      <c r="H71" s="9">
        <f>'Raw Data (KG)'!Y71</f>
        <v/>
      </c>
      <c r="I71" s="354">
        <f>'Raw Data (KG)'!V71</f>
        <v/>
      </c>
      <c r="J71" s="9">
        <f>'Raw Data (KG)'!U71</f>
        <v/>
      </c>
      <c r="K71" s="62">
        <f>'Raw Data (KG)'!J71+SUM('Raw Data (KG)'!L71:P71)+SUM('Raw Data (KG)'!R71:T71)+'Raw Data (KG)'!Z71</f>
        <v/>
      </c>
      <c r="L71" s="15">
        <f>SUM(B71:K71)</f>
        <v/>
      </c>
      <c r="M71" s="619" t="n"/>
      <c r="N71" s="671" t="n"/>
      <c r="O71" s="671" t="n"/>
      <c r="P71" s="671" t="n"/>
    </row>
    <row r="72" customFormat="1" s="13">
      <c r="A72" s="790" t="n">
        <v>43586</v>
      </c>
      <c r="B72" s="9">
        <f>SUM('Raw Data (KG)'!D72:E72)</f>
        <v/>
      </c>
      <c r="C72" s="9">
        <f>SUM('Raw Data (KG)'!F72:G72)</f>
        <v/>
      </c>
      <c r="D72" s="8">
        <f>SUM('Raw Data (KG)'!H72:I72)</f>
        <v/>
      </c>
      <c r="E72" s="9">
        <f>'Raw Data (KG)'!K72</f>
        <v/>
      </c>
      <c r="F72" s="679">
        <f>'Raw Food Data (KG)'!Q33</f>
        <v/>
      </c>
      <c r="G72" s="9">
        <f>'Raw Data (KG)'!X72</f>
        <v/>
      </c>
      <c r="H72" s="9">
        <f>'Raw Data (KG)'!Y72</f>
        <v/>
      </c>
      <c r="I72" s="354">
        <f>'Raw Data (KG)'!V72</f>
        <v/>
      </c>
      <c r="J72" s="9">
        <f>'Raw Data (KG)'!U72</f>
        <v/>
      </c>
      <c r="K72" s="62">
        <f>'Raw Data (KG)'!J72+SUM('Raw Data (KG)'!L72:P72)+SUM('Raw Data (KG)'!R72:T72)+'Raw Data (KG)'!Z72</f>
        <v/>
      </c>
      <c r="L72" s="15">
        <f>SUM(B72:K72)</f>
        <v/>
      </c>
      <c r="M72" s="619" t="n"/>
      <c r="N72" s="671" t="n"/>
      <c r="O72" s="671" t="n"/>
      <c r="P72" s="671" t="n"/>
    </row>
    <row r="73" customFormat="1" s="13">
      <c r="A73" s="790" t="n">
        <v>43617</v>
      </c>
      <c r="B73" s="9">
        <f>SUM('Raw Data (KG)'!D73:E73)</f>
        <v/>
      </c>
      <c r="C73" s="9">
        <f>SUM('Raw Data (KG)'!F73:G73)</f>
        <v/>
      </c>
      <c r="D73" s="8">
        <f>SUM('Raw Data (KG)'!H73:I73)</f>
        <v/>
      </c>
      <c r="E73" s="9">
        <f>'Raw Data (KG)'!K73</f>
        <v/>
      </c>
      <c r="F73" s="679">
        <f>'Raw Food Data (KG)'!Q34</f>
        <v/>
      </c>
      <c r="G73" s="9">
        <f>'Raw Data (KG)'!X73</f>
        <v/>
      </c>
      <c r="H73" s="9">
        <f>'Raw Data (KG)'!Y73</f>
        <v/>
      </c>
      <c r="I73" s="354">
        <f>'Raw Data (KG)'!V73</f>
        <v/>
      </c>
      <c r="J73" s="9">
        <f>'Raw Data (KG)'!U73</f>
        <v/>
      </c>
      <c r="K73" s="62">
        <f>'Raw Data (KG)'!J73+SUM('Raw Data (KG)'!L73:P73)+SUM('Raw Data (KG)'!R73:T73)+'Raw Data (KG)'!Z73</f>
        <v/>
      </c>
      <c r="L73" s="15">
        <f>SUM(B73:K73)</f>
        <v/>
      </c>
      <c r="M73" s="150">
        <f>SUM(L62:L73)</f>
        <v/>
      </c>
      <c r="N73" s="671" t="n"/>
      <c r="O73" s="671" t="n"/>
      <c r="P73" s="671" t="n"/>
    </row>
    <row r="74" customFormat="1" s="13">
      <c r="A74" s="790" t="n">
        <v>43647</v>
      </c>
      <c r="B74" s="75">
        <f>SUM('Raw Data (KG)'!D74:E74)</f>
        <v/>
      </c>
      <c r="C74" s="75">
        <f>SUM('Raw Data (KG)'!F74:G74)</f>
        <v/>
      </c>
      <c r="D74" s="73">
        <f>SUM('Raw Data (KG)'!H74:I74)</f>
        <v/>
      </c>
      <c r="E74" s="75">
        <f>'Raw Data (KG)'!K74</f>
        <v/>
      </c>
      <c r="F74" s="791">
        <f>'Raw Food Data (KG)'!Q35</f>
        <v/>
      </c>
      <c r="G74" s="75">
        <f>'Raw Data (KG)'!X74</f>
        <v/>
      </c>
      <c r="H74" s="75">
        <f>'Raw Data (KG)'!Y74</f>
        <v/>
      </c>
      <c r="I74" s="77">
        <f>'Raw Data (KG)'!V74</f>
        <v/>
      </c>
      <c r="J74" s="75">
        <f>'Raw Data (KG)'!U74</f>
        <v/>
      </c>
      <c r="K74" s="74">
        <f>'Raw Data (KG)'!J74+SUM('Raw Data (KG)'!L74:P74)+SUM('Raw Data (KG)'!R74:T74)+'Raw Data (KG)'!Z74</f>
        <v/>
      </c>
      <c r="L74" s="72">
        <f>SUM(B74:K74)</f>
        <v/>
      </c>
      <c r="M74" s="619" t="n"/>
      <c r="N74" s="671" t="n"/>
      <c r="O74" s="671" t="n"/>
      <c r="P74" s="671" t="n"/>
    </row>
    <row r="75" customFormat="1" s="13">
      <c r="A75" s="790" t="n">
        <v>43678</v>
      </c>
      <c r="B75" s="75">
        <f>SUM('Raw Data (KG)'!D75:E75)</f>
        <v/>
      </c>
      <c r="C75" s="75">
        <f>SUM('Raw Data (KG)'!F75:G75)</f>
        <v/>
      </c>
      <c r="D75" s="73">
        <f>SUM('Raw Data (KG)'!H75:I75)</f>
        <v/>
      </c>
      <c r="E75" s="75">
        <f>'Raw Data (KG)'!K75</f>
        <v/>
      </c>
      <c r="F75" s="791">
        <f>'Raw Food Data (KG)'!Q36</f>
        <v/>
      </c>
      <c r="G75" s="75">
        <f>'Raw Data (KG)'!X75</f>
        <v/>
      </c>
      <c r="H75" s="75">
        <f>'Raw Data (KG)'!Y75</f>
        <v/>
      </c>
      <c r="I75" s="77">
        <f>'Raw Data (KG)'!V75</f>
        <v/>
      </c>
      <c r="J75" s="75">
        <f>'Raw Data (KG)'!U75</f>
        <v/>
      </c>
      <c r="K75" s="74">
        <f>'Raw Data (KG)'!J75+SUM('Raw Data (KG)'!L75:P75)+SUM('Raw Data (KG)'!R75:T75)+'Raw Data (KG)'!Z75</f>
        <v/>
      </c>
      <c r="L75" s="72">
        <f>SUM(B75:K75)</f>
        <v/>
      </c>
      <c r="M75" s="619" t="n"/>
      <c r="N75" s="671" t="n"/>
      <c r="O75" s="671" t="n"/>
      <c r="P75" s="671" t="n"/>
    </row>
    <row r="76" customFormat="1" s="13">
      <c r="A76" s="790" t="n">
        <v>43709</v>
      </c>
      <c r="B76" s="75">
        <f>SUM('Raw Data (KG)'!D76:E76)</f>
        <v/>
      </c>
      <c r="C76" s="75">
        <f>SUM('Raw Data (KG)'!F76:G76)</f>
        <v/>
      </c>
      <c r="D76" s="73">
        <f>SUM('Raw Data (KG)'!H76:I76)</f>
        <v/>
      </c>
      <c r="E76" s="75">
        <f>'Raw Data (KG)'!K76</f>
        <v/>
      </c>
      <c r="F76" s="791">
        <f>'Raw Food Data (KG)'!Q37</f>
        <v/>
      </c>
      <c r="G76" s="75">
        <f>'Raw Data (KG)'!X76</f>
        <v/>
      </c>
      <c r="H76" s="75">
        <f>'Raw Data (KG)'!Y76</f>
        <v/>
      </c>
      <c r="I76" s="77">
        <f>'Raw Data (KG)'!V76</f>
        <v/>
      </c>
      <c r="J76" s="75">
        <f>'Raw Data (KG)'!U76</f>
        <v/>
      </c>
      <c r="K76" s="74">
        <f>'Raw Data (KG)'!J76+SUM('Raw Data (KG)'!L76:P76)+SUM('Raw Data (KG)'!R76:T76)+'Raw Data (KG)'!Z76</f>
        <v/>
      </c>
      <c r="L76" s="72">
        <f>SUM(B76:K76)</f>
        <v/>
      </c>
      <c r="M76" s="619" t="n"/>
      <c r="N76" s="671" t="n"/>
      <c r="O76" s="671" t="n"/>
      <c r="P76" s="671" t="n"/>
    </row>
    <row r="77" customFormat="1" s="13">
      <c r="A77" s="790" t="n">
        <v>43739</v>
      </c>
      <c r="B77" s="75">
        <f>SUM('Raw Data (KG)'!D77:E77)</f>
        <v/>
      </c>
      <c r="C77" s="75">
        <f>SUM('Raw Data (KG)'!F77:G77)</f>
        <v/>
      </c>
      <c r="D77" s="73">
        <f>SUM('Raw Data (KG)'!H77:I77)</f>
        <v/>
      </c>
      <c r="E77" s="75">
        <f>'Raw Data (KG)'!K77</f>
        <v/>
      </c>
      <c r="F77" s="791">
        <f>'Raw Food Data (KG)'!Q38</f>
        <v/>
      </c>
      <c r="G77" s="75">
        <f>'Raw Data (KG)'!X77</f>
        <v/>
      </c>
      <c r="H77" s="75">
        <f>'Raw Data (KG)'!Y77</f>
        <v/>
      </c>
      <c r="I77" s="77">
        <f>'Raw Data (KG)'!V77</f>
        <v/>
      </c>
      <c r="J77" s="75">
        <f>'Raw Data (KG)'!U77</f>
        <v/>
      </c>
      <c r="K77" s="74">
        <f>'Raw Data (KG)'!J77+SUM('Raw Data (KG)'!L77:P77)+SUM('Raw Data (KG)'!R77:T77)+'Raw Data (KG)'!Z77</f>
        <v/>
      </c>
      <c r="L77" s="72">
        <f>SUM(B77:K77)</f>
        <v/>
      </c>
      <c r="M77" s="619" t="n"/>
      <c r="N77" s="671" t="n"/>
      <c r="O77" s="671" t="n"/>
      <c r="P77" s="671" t="n"/>
    </row>
    <row r="78" customFormat="1" s="13">
      <c r="A78" s="790" t="n">
        <v>43770</v>
      </c>
      <c r="B78" s="75">
        <f>SUM('Raw Data (KG)'!D78:E78)</f>
        <v/>
      </c>
      <c r="C78" s="75">
        <f>SUM('Raw Data (KG)'!F78:G78)</f>
        <v/>
      </c>
      <c r="D78" s="73">
        <f>SUM('Raw Data (KG)'!H78:I78)</f>
        <v/>
      </c>
      <c r="E78" s="75">
        <f>'Raw Data (KG)'!K78</f>
        <v/>
      </c>
      <c r="F78" s="791">
        <f>'Raw Food Data (KG)'!Q39</f>
        <v/>
      </c>
      <c r="G78" s="75">
        <f>'Raw Data (KG)'!X78</f>
        <v/>
      </c>
      <c r="H78" s="75">
        <f>'Raw Data (KG)'!Y78</f>
        <v/>
      </c>
      <c r="I78" s="77">
        <f>'Raw Data (KG)'!V78</f>
        <v/>
      </c>
      <c r="J78" s="75">
        <f>'Raw Data (KG)'!U78</f>
        <v/>
      </c>
      <c r="K78" s="74">
        <f>'Raw Data (KG)'!J78+SUM('Raw Data (KG)'!L78:P78)+SUM('Raw Data (KG)'!R78:T78)+'Raw Data (KG)'!Z78</f>
        <v/>
      </c>
      <c r="L78" s="72">
        <f>SUM(B78:K78)</f>
        <v/>
      </c>
      <c r="M78" s="619" t="n"/>
      <c r="N78" s="671" t="n"/>
      <c r="O78" s="671" t="n"/>
      <c r="P78" s="671" t="n"/>
    </row>
    <row r="79" customFormat="1" s="13">
      <c r="A79" s="790" t="n">
        <v>43800</v>
      </c>
      <c r="B79" s="75">
        <f>SUM('Raw Data (KG)'!D79:E79)</f>
        <v/>
      </c>
      <c r="C79" s="75">
        <f>SUM('Raw Data (KG)'!F79:G79)</f>
        <v/>
      </c>
      <c r="D79" s="73">
        <f>SUM('Raw Data (KG)'!H79:I79)</f>
        <v/>
      </c>
      <c r="E79" s="75">
        <f>'Raw Data (KG)'!K79</f>
        <v/>
      </c>
      <c r="F79" s="791">
        <f>'Raw Food Data (KG)'!Q40</f>
        <v/>
      </c>
      <c r="G79" s="75">
        <f>'Raw Data (KG)'!X79</f>
        <v/>
      </c>
      <c r="H79" s="75">
        <f>'Raw Data (KG)'!Y79</f>
        <v/>
      </c>
      <c r="I79" s="77">
        <f>'Raw Data (KG)'!V79</f>
        <v/>
      </c>
      <c r="J79" s="75">
        <f>'Raw Data (KG)'!U79</f>
        <v/>
      </c>
      <c r="K79" s="74">
        <f>'Raw Data (KG)'!J79+SUM('Raw Data (KG)'!L79:P79)+SUM('Raw Data (KG)'!R79:T79)+'Raw Data (KG)'!Z79</f>
        <v/>
      </c>
      <c r="L79" s="72">
        <f>SUM(B79:K79)</f>
        <v/>
      </c>
      <c r="M79" s="619" t="n"/>
      <c r="N79" s="671" t="n"/>
      <c r="O79" s="671" t="n"/>
      <c r="P79" s="671" t="n"/>
    </row>
    <row r="80" customFormat="1" s="13">
      <c r="A80" s="790" t="n">
        <v>43831</v>
      </c>
      <c r="B80" s="75">
        <f>SUM('Raw Data (KG)'!D80:E80)</f>
        <v/>
      </c>
      <c r="C80" s="75">
        <f>SUM('Raw Data (KG)'!F80:G80)</f>
        <v/>
      </c>
      <c r="D80" s="73">
        <f>SUM('Raw Data (KG)'!H80:I80)</f>
        <v/>
      </c>
      <c r="E80" s="75">
        <f>'Raw Data (KG)'!K80</f>
        <v/>
      </c>
      <c r="F80" s="791">
        <f>'Raw Food Data (KG)'!Q41</f>
        <v/>
      </c>
      <c r="G80" s="75">
        <f>'Raw Data (KG)'!X80</f>
        <v/>
      </c>
      <c r="H80" s="75">
        <f>'Raw Data (KG)'!Y80</f>
        <v/>
      </c>
      <c r="I80" s="77">
        <f>'Raw Data (KG)'!V80</f>
        <v/>
      </c>
      <c r="J80" s="75">
        <f>'Raw Data (KG)'!U80</f>
        <v/>
      </c>
      <c r="K80" s="74">
        <f>'Raw Data (KG)'!J80+SUM('Raw Data (KG)'!L80:P80)+SUM('Raw Data (KG)'!R80:T80)+'Raw Data (KG)'!Z80</f>
        <v/>
      </c>
      <c r="L80" s="72">
        <f>SUM(B80:K80)</f>
        <v/>
      </c>
      <c r="M80" s="619" t="n"/>
      <c r="N80" s="671" t="n"/>
      <c r="O80" s="671" t="n"/>
      <c r="P80" s="671" t="n"/>
    </row>
    <row r="81" customFormat="1" s="13">
      <c r="A81" s="790" t="n">
        <v>43862</v>
      </c>
      <c r="B81" s="75">
        <f>SUM('Raw Data (KG)'!D81:E81)</f>
        <v/>
      </c>
      <c r="C81" s="75">
        <f>SUM('Raw Data (KG)'!F81:G81)</f>
        <v/>
      </c>
      <c r="D81" s="73">
        <f>SUM('Raw Data (KG)'!H81:I81)</f>
        <v/>
      </c>
      <c r="E81" s="75">
        <f>'Raw Data (KG)'!K81</f>
        <v/>
      </c>
      <c r="F81" s="791">
        <f>'Raw Food Data (KG)'!Q42</f>
        <v/>
      </c>
      <c r="G81" s="75">
        <f>'Raw Data (KG)'!X81</f>
        <v/>
      </c>
      <c r="H81" s="75">
        <f>'Raw Data (KG)'!Y81</f>
        <v/>
      </c>
      <c r="I81" s="77">
        <f>'Raw Data (KG)'!V81</f>
        <v/>
      </c>
      <c r="J81" s="75">
        <f>'Raw Data (KG)'!U81</f>
        <v/>
      </c>
      <c r="K81" s="74">
        <f>'Raw Data (KG)'!J81+SUM('Raw Data (KG)'!L81:P81)+SUM('Raw Data (KG)'!R81:T81)+'Raw Data (KG)'!Z81</f>
        <v/>
      </c>
      <c r="L81" s="72">
        <f>SUM(B81:K81)</f>
        <v/>
      </c>
      <c r="M81" s="619" t="n"/>
      <c r="N81" s="671" t="n"/>
      <c r="O81" s="671" t="n"/>
      <c r="P81" s="671" t="n"/>
    </row>
    <row r="82" customFormat="1" s="13">
      <c r="A82" s="790" t="n">
        <v>43891</v>
      </c>
      <c r="B82" s="75">
        <f>SUM('Raw Data (KG)'!D82:E82)</f>
        <v/>
      </c>
      <c r="C82" s="75">
        <f>SUM('Raw Data (KG)'!F82:G82)</f>
        <v/>
      </c>
      <c r="D82" s="73">
        <f>SUM('Raw Data (KG)'!H82:I82)</f>
        <v/>
      </c>
      <c r="E82" s="75">
        <f>'Raw Data (KG)'!K82</f>
        <v/>
      </c>
      <c r="F82" s="791">
        <f>'Raw Food Data (KG)'!Q43</f>
        <v/>
      </c>
      <c r="G82" s="75">
        <f>'Raw Data (KG)'!X82</f>
        <v/>
      </c>
      <c r="H82" s="75">
        <f>'Raw Data (KG)'!Y82</f>
        <v/>
      </c>
      <c r="I82" s="77">
        <f>'Raw Data (KG)'!V82</f>
        <v/>
      </c>
      <c r="J82" s="75">
        <f>'Raw Data (KG)'!U82</f>
        <v/>
      </c>
      <c r="K82" s="74">
        <f>'Raw Data (KG)'!J82+SUM('Raw Data (KG)'!L82:P82)+SUM('Raw Data (KG)'!R82:T82)+'Raw Data (KG)'!Z82</f>
        <v/>
      </c>
      <c r="L82" s="72">
        <f>SUM(B82:K82)</f>
        <v/>
      </c>
      <c r="M82" s="619" t="n"/>
      <c r="N82" s="671" t="n"/>
      <c r="O82" s="671" t="n"/>
      <c r="P82" s="671" t="n"/>
    </row>
    <row r="83" customFormat="1" s="13">
      <c r="A83" s="790" t="n">
        <v>43922</v>
      </c>
      <c r="B83" s="75">
        <f>SUM('Raw Data (KG)'!D83:E83)</f>
        <v/>
      </c>
      <c r="C83" s="75">
        <f>SUM('Raw Data (KG)'!F83:G83)</f>
        <v/>
      </c>
      <c r="D83" s="73">
        <f>SUM('Raw Data (KG)'!H83:I83)</f>
        <v/>
      </c>
      <c r="E83" s="75">
        <f>'Raw Data (KG)'!K83</f>
        <v/>
      </c>
      <c r="F83" s="791">
        <f>'Raw Food Data (KG)'!Q44</f>
        <v/>
      </c>
      <c r="G83" s="75">
        <f>'Raw Data (KG)'!X83</f>
        <v/>
      </c>
      <c r="H83" s="75">
        <f>'Raw Data (KG)'!Y83</f>
        <v/>
      </c>
      <c r="I83" s="77">
        <f>'Raw Data (KG)'!V83</f>
        <v/>
      </c>
      <c r="J83" s="75">
        <f>'Raw Data (KG)'!U83</f>
        <v/>
      </c>
      <c r="K83" s="74">
        <f>'Raw Data (KG)'!J83+SUM('Raw Data (KG)'!L83:P83)+SUM('Raw Data (KG)'!R83:T83)+'Raw Data (KG)'!Z83</f>
        <v/>
      </c>
      <c r="L83" s="72">
        <f>SUM(B83:K83)</f>
        <v/>
      </c>
      <c r="M83" s="619" t="n"/>
      <c r="N83" s="671" t="n"/>
      <c r="O83" s="671" t="n"/>
      <c r="P83" s="671" t="n"/>
    </row>
    <row r="84" customFormat="1" s="13">
      <c r="A84" s="790" t="n">
        <v>43952</v>
      </c>
      <c r="B84" s="75">
        <f>SUM('Raw Data (KG)'!D84:E84)</f>
        <v/>
      </c>
      <c r="C84" s="75">
        <f>SUM('Raw Data (KG)'!F84:G84)</f>
        <v/>
      </c>
      <c r="D84" s="73">
        <f>SUM('Raw Data (KG)'!H84:I84)</f>
        <v/>
      </c>
      <c r="E84" s="75">
        <f>'Raw Data (KG)'!K84</f>
        <v/>
      </c>
      <c r="F84" s="791">
        <f>'Raw Food Data (KG)'!Q45</f>
        <v/>
      </c>
      <c r="G84" s="75">
        <f>'Raw Data (KG)'!X84</f>
        <v/>
      </c>
      <c r="H84" s="75">
        <f>'Raw Data (KG)'!Y84</f>
        <v/>
      </c>
      <c r="I84" s="77">
        <f>'Raw Data (KG)'!V84</f>
        <v/>
      </c>
      <c r="J84" s="75">
        <f>'Raw Data (KG)'!U84</f>
        <v/>
      </c>
      <c r="K84" s="74">
        <f>'Raw Data (KG)'!J84+SUM('Raw Data (KG)'!L84:P84)+SUM('Raw Data (KG)'!R84:T84)+'Raw Data (KG)'!Z84</f>
        <v/>
      </c>
      <c r="L84" s="72">
        <f>SUM(B84:K84)</f>
        <v/>
      </c>
      <c r="M84" s="619" t="n"/>
      <c r="N84" s="671" t="n"/>
      <c r="O84" s="671" t="n"/>
      <c r="P84" s="671" t="n"/>
    </row>
    <row r="85" customFormat="1" s="13">
      <c r="A85" s="790" t="n">
        <v>43983</v>
      </c>
      <c r="B85" s="75">
        <f>SUM('Raw Data (KG)'!D85:E85)</f>
        <v/>
      </c>
      <c r="C85" s="75">
        <f>SUM('Raw Data (KG)'!F85:G85)</f>
        <v/>
      </c>
      <c r="D85" s="73">
        <f>SUM('Raw Data (KG)'!H85:I85)</f>
        <v/>
      </c>
      <c r="E85" s="75">
        <f>'Raw Data (KG)'!K85</f>
        <v/>
      </c>
      <c r="F85" s="791">
        <f>'Raw Food Data (KG)'!Q46</f>
        <v/>
      </c>
      <c r="G85" s="75">
        <f>'Raw Data (KG)'!X85</f>
        <v/>
      </c>
      <c r="H85" s="75">
        <f>'Raw Data (KG)'!Y85</f>
        <v/>
      </c>
      <c r="I85" s="77">
        <f>'Raw Data (KG)'!V85</f>
        <v/>
      </c>
      <c r="J85" s="75">
        <f>'Raw Data (KG)'!U85</f>
        <v/>
      </c>
      <c r="K85" s="74">
        <f>'Raw Data (KG)'!J85+SUM('Raw Data (KG)'!L85:P85)+SUM('Raw Data (KG)'!R85:T85)+'Raw Data (KG)'!Z85</f>
        <v/>
      </c>
      <c r="L85" s="72">
        <f>SUM(B85:K85)</f>
        <v/>
      </c>
      <c r="M85" s="150">
        <f>SUM(L74:L85)</f>
        <v/>
      </c>
      <c r="N85" s="671" t="n"/>
      <c r="O85" s="671" t="n"/>
      <c r="P85" s="671" t="n"/>
    </row>
    <row r="86">
      <c r="A86" s="790" t="n">
        <v>44013</v>
      </c>
      <c r="B86" s="9">
        <f>SUM('Raw Data (KG)'!D86:E86)</f>
        <v/>
      </c>
      <c r="C86" s="9">
        <f>SUM('Raw Data (KG)'!F86:G86)</f>
        <v/>
      </c>
      <c r="D86" s="8">
        <f>SUM('Raw Data (KG)'!H86:I86)</f>
        <v/>
      </c>
      <c r="E86" s="9">
        <f>'Raw Data (KG)'!K86</f>
        <v/>
      </c>
      <c r="F86" s="679">
        <f>'Raw Food Data (KG)'!Q47</f>
        <v/>
      </c>
      <c r="G86" s="9">
        <f>'Raw Data (KG)'!X86</f>
        <v/>
      </c>
      <c r="H86" s="9">
        <f>'Raw Data (KG)'!Y86</f>
        <v/>
      </c>
      <c r="I86" s="354">
        <f>'Raw Data (KG)'!V86</f>
        <v/>
      </c>
      <c r="J86" s="9">
        <f>'Raw Data (KG)'!U86</f>
        <v/>
      </c>
      <c r="K86" s="62">
        <f>'Raw Data (KG)'!J86+SUM('Raw Data (KG)'!L86:P86)+SUM('Raw Data (KG)'!R86:T86)+'Raw Data (KG)'!Z86</f>
        <v/>
      </c>
      <c r="L86" s="15">
        <f>SUM(B86:K86)</f>
        <v/>
      </c>
    </row>
    <row r="87">
      <c r="A87" s="790" t="n">
        <v>44044</v>
      </c>
      <c r="B87" s="9">
        <f>SUM('Raw Data (KG)'!D87:E87)</f>
        <v/>
      </c>
      <c r="C87" s="9">
        <f>SUM('Raw Data (KG)'!F87:G87)</f>
        <v/>
      </c>
      <c r="D87" s="8">
        <f>SUM('Raw Data (KG)'!H87:I87)</f>
        <v/>
      </c>
      <c r="E87" s="9">
        <f>'Raw Data (KG)'!K87</f>
        <v/>
      </c>
      <c r="F87" s="679">
        <f>'Raw Food Data (KG)'!Q48</f>
        <v/>
      </c>
      <c r="G87" s="9">
        <f>'Raw Data (KG)'!X87</f>
        <v/>
      </c>
      <c r="H87" s="9">
        <f>'Raw Data (KG)'!Y87</f>
        <v/>
      </c>
      <c r="I87" s="354">
        <f>'Raw Data (KG)'!V87</f>
        <v/>
      </c>
      <c r="J87" s="9">
        <f>'Raw Data (KG)'!U87</f>
        <v/>
      </c>
      <c r="K87" s="62">
        <f>'Raw Data (KG)'!J87+SUM('Raw Data (KG)'!L87:P87)+SUM('Raw Data (KG)'!R87:T87)+'Raw Data (KG)'!Z87</f>
        <v/>
      </c>
      <c r="L87" s="15">
        <f>SUM(B87:K87)</f>
        <v/>
      </c>
    </row>
    <row r="88">
      <c r="A88" s="790" t="n">
        <v>44075</v>
      </c>
      <c r="B88" s="9">
        <f>SUM('Raw Data (KG)'!D88:E88)</f>
        <v/>
      </c>
      <c r="C88" s="9">
        <f>SUM('Raw Data (KG)'!F88:G88)</f>
        <v/>
      </c>
      <c r="D88" s="8">
        <f>SUM('Raw Data (KG)'!H88:I88)</f>
        <v/>
      </c>
      <c r="E88" s="9">
        <f>'Raw Data (KG)'!K88</f>
        <v/>
      </c>
      <c r="F88" s="679">
        <f>'Raw Food Data (KG)'!Q49</f>
        <v/>
      </c>
      <c r="G88" s="9">
        <f>'Raw Data (KG)'!X88</f>
        <v/>
      </c>
      <c r="H88" s="9">
        <f>'Raw Data (KG)'!Y88</f>
        <v/>
      </c>
      <c r="I88" s="354">
        <f>'Raw Data (KG)'!V88</f>
        <v/>
      </c>
      <c r="J88" s="9">
        <f>'Raw Data (KG)'!U88</f>
        <v/>
      </c>
      <c r="K88" s="62">
        <f>'Raw Data (KG)'!J88+SUM('Raw Data (KG)'!L88:P88)+SUM('Raw Data (KG)'!R88:T88)+'Raw Data (KG)'!Z88</f>
        <v/>
      </c>
      <c r="L88" s="15">
        <f>SUM(B88:K88)</f>
        <v/>
      </c>
    </row>
    <row r="89">
      <c r="A89" s="790" t="n">
        <v>44105</v>
      </c>
      <c r="B89" s="9">
        <f>SUM('Raw Data (KG)'!D89:E89)</f>
        <v/>
      </c>
      <c r="C89" s="9">
        <f>SUM('Raw Data (KG)'!F89:G89)</f>
        <v/>
      </c>
      <c r="D89" s="8">
        <f>SUM('Raw Data (KG)'!H89:I89)</f>
        <v/>
      </c>
      <c r="E89" s="9">
        <f>'Raw Data (KG)'!K89</f>
        <v/>
      </c>
      <c r="F89" s="679">
        <f>'Raw Food Data (KG)'!Q50</f>
        <v/>
      </c>
      <c r="G89" s="9">
        <f>'Raw Data (KG)'!X89</f>
        <v/>
      </c>
      <c r="H89" s="9">
        <f>'Raw Data (KG)'!Y89</f>
        <v/>
      </c>
      <c r="I89" s="354">
        <f>'Raw Data (KG)'!V89</f>
        <v/>
      </c>
      <c r="J89" s="9">
        <f>'Raw Data (KG)'!U89</f>
        <v/>
      </c>
      <c r="K89" s="62">
        <f>'Raw Data (KG)'!J89+SUM('Raw Data (KG)'!L89:P89)+SUM('Raw Data (KG)'!R89:T89)+'Raw Data (KG)'!Z89</f>
        <v/>
      </c>
      <c r="L89" s="15">
        <f>SUM(B89:K89)</f>
        <v/>
      </c>
    </row>
    <row r="90">
      <c r="A90" s="790" t="n">
        <v>44136</v>
      </c>
      <c r="B90" s="9">
        <f>SUM('Raw Data (KG)'!D90:E90)</f>
        <v/>
      </c>
      <c r="C90" s="9">
        <f>SUM('Raw Data (KG)'!F90:G90)</f>
        <v/>
      </c>
      <c r="D90" s="8">
        <f>SUM('Raw Data (KG)'!H90:I90)</f>
        <v/>
      </c>
      <c r="E90" s="9">
        <f>'Raw Data (KG)'!K90</f>
        <v/>
      </c>
      <c r="F90" s="679">
        <f>'Raw Food Data (KG)'!Q51</f>
        <v/>
      </c>
      <c r="G90" s="9">
        <f>'Raw Data (KG)'!X90</f>
        <v/>
      </c>
      <c r="H90" s="9">
        <f>'Raw Data (KG)'!Y90</f>
        <v/>
      </c>
      <c r="I90" s="354">
        <f>'Raw Data (KG)'!V90</f>
        <v/>
      </c>
      <c r="J90" s="9">
        <f>'Raw Data (KG)'!U90</f>
        <v/>
      </c>
      <c r="K90" s="62">
        <f>'Raw Data (KG)'!J90+SUM('Raw Data (KG)'!L90:P90)+SUM('Raw Data (KG)'!R90:T90)+'Raw Data (KG)'!Z90</f>
        <v/>
      </c>
      <c r="L90" s="15">
        <f>SUM(B90:K90)</f>
        <v/>
      </c>
    </row>
    <row r="91">
      <c r="A91" s="790" t="n">
        <v>44166</v>
      </c>
      <c r="B91" s="9">
        <f>SUM('Raw Data (KG)'!D91:E91)</f>
        <v/>
      </c>
      <c r="C91" s="9">
        <f>SUM('Raw Data (KG)'!F91:G91)</f>
        <v/>
      </c>
      <c r="D91" s="8">
        <f>SUM('Raw Data (KG)'!H91:I91)</f>
        <v/>
      </c>
      <c r="E91" s="9">
        <f>'Raw Data (KG)'!K91</f>
        <v/>
      </c>
      <c r="F91" s="679">
        <f>'Raw Food Data (KG)'!Q52</f>
        <v/>
      </c>
      <c r="G91" s="9">
        <f>'Raw Data (KG)'!X91</f>
        <v/>
      </c>
      <c r="H91" s="9">
        <f>'Raw Data (KG)'!Y91</f>
        <v/>
      </c>
      <c r="I91" s="354">
        <f>'Raw Data (KG)'!V91</f>
        <v/>
      </c>
      <c r="J91" s="9">
        <f>'Raw Data (KG)'!U91</f>
        <v/>
      </c>
      <c r="K91" s="62">
        <f>'Raw Data (KG)'!J91+SUM('Raw Data (KG)'!L91:P91)+SUM('Raw Data (KG)'!R91:T91)+'Raw Data (KG)'!Z91</f>
        <v/>
      </c>
      <c r="L91" s="15">
        <f>SUM(B91:K91)</f>
        <v/>
      </c>
    </row>
    <row r="92">
      <c r="A92" s="790" t="n">
        <v>44197</v>
      </c>
      <c r="B92" s="9">
        <f>SUM('Raw Data (KG)'!D92:E92)</f>
        <v/>
      </c>
      <c r="C92" s="9">
        <f>SUM('Raw Data (KG)'!F92:G92)</f>
        <v/>
      </c>
      <c r="D92" s="8">
        <f>SUM('Raw Data (KG)'!H92:I92)</f>
        <v/>
      </c>
      <c r="E92" s="9">
        <f>'Raw Data (KG)'!K92</f>
        <v/>
      </c>
      <c r="F92" s="679">
        <f>'Raw Food Data (KG)'!Q53</f>
        <v/>
      </c>
      <c r="G92" s="9">
        <f>'Raw Data (KG)'!X92</f>
        <v/>
      </c>
      <c r="H92" s="9">
        <f>'Raw Data (KG)'!Y92</f>
        <v/>
      </c>
      <c r="I92" s="354">
        <f>'Raw Data (KG)'!V92</f>
        <v/>
      </c>
      <c r="J92" s="9">
        <f>'Raw Data (KG)'!U92</f>
        <v/>
      </c>
      <c r="K92" s="62">
        <f>'Raw Data (KG)'!J92+SUM('Raw Data (KG)'!L92:P92)+SUM('Raw Data (KG)'!R92:T92)+'Raw Data (KG)'!Z92</f>
        <v/>
      </c>
      <c r="L92" s="15">
        <f>SUM(B92:K92)</f>
        <v/>
      </c>
    </row>
    <row r="93">
      <c r="A93" s="790" t="n">
        <v>44228</v>
      </c>
      <c r="B93" s="9">
        <f>SUM('Raw Data (KG)'!D93:E93)</f>
        <v/>
      </c>
      <c r="C93" s="9">
        <f>SUM('Raw Data (KG)'!F93:G93)</f>
        <v/>
      </c>
      <c r="D93" s="8">
        <f>SUM('Raw Data (KG)'!H93:I93)</f>
        <v/>
      </c>
      <c r="E93" s="9">
        <f>'Raw Data (KG)'!K93</f>
        <v/>
      </c>
      <c r="F93" s="679">
        <f>'Raw Food Data (KG)'!Q54</f>
        <v/>
      </c>
      <c r="G93" s="9">
        <f>'Raw Data (KG)'!X93</f>
        <v/>
      </c>
      <c r="H93" s="9">
        <f>'Raw Data (KG)'!Y93</f>
        <v/>
      </c>
      <c r="I93" s="354">
        <f>'Raw Data (KG)'!V93</f>
        <v/>
      </c>
      <c r="J93" s="9">
        <f>'Raw Data (KG)'!U93</f>
        <v/>
      </c>
      <c r="K93" s="62">
        <f>'Raw Data (KG)'!J93+SUM('Raw Data (KG)'!L93:P93)+SUM('Raw Data (KG)'!R93:T93)+'Raw Data (KG)'!Z93</f>
        <v/>
      </c>
      <c r="L93" s="15">
        <f>SUM(B93:K93)</f>
        <v/>
      </c>
    </row>
    <row r="94">
      <c r="A94" s="790" t="n">
        <v>44256</v>
      </c>
      <c r="B94" s="9">
        <f>SUM('Raw Data (KG)'!D94:E94)</f>
        <v/>
      </c>
      <c r="C94" s="9">
        <f>SUM('Raw Data (KG)'!F94:G94)</f>
        <v/>
      </c>
      <c r="D94" s="8">
        <f>SUM('Raw Data (KG)'!H94:I94)</f>
        <v/>
      </c>
      <c r="E94" s="9">
        <f>'Raw Data (KG)'!K94</f>
        <v/>
      </c>
      <c r="F94" s="679">
        <f>'Raw Food Data (KG)'!Q55</f>
        <v/>
      </c>
      <c r="G94" s="9">
        <f>'Raw Data (KG)'!X94</f>
        <v/>
      </c>
      <c r="H94" s="9">
        <f>'Raw Data (KG)'!Y94</f>
        <v/>
      </c>
      <c r="I94" s="354">
        <f>'Raw Data (KG)'!V94</f>
        <v/>
      </c>
      <c r="J94" s="9">
        <f>'Raw Data (KG)'!U94</f>
        <v/>
      </c>
      <c r="K94" s="62">
        <f>'Raw Data (KG)'!J94+SUM('Raw Data (KG)'!L94:P94)+SUM('Raw Data (KG)'!R94:T94)+'Raw Data (KG)'!Z94</f>
        <v/>
      </c>
      <c r="L94" s="15">
        <f>SUM(B94:K94)</f>
        <v/>
      </c>
    </row>
    <row r="95">
      <c r="A95" s="790" t="n">
        <v>44287</v>
      </c>
      <c r="B95" s="9">
        <f>SUM('Raw Data (KG)'!D95:E95)</f>
        <v/>
      </c>
      <c r="C95" s="9">
        <f>SUM('Raw Data (KG)'!F95:G95)</f>
        <v/>
      </c>
      <c r="D95" s="8">
        <f>SUM('Raw Data (KG)'!H95:I95)</f>
        <v/>
      </c>
      <c r="E95" s="9">
        <f>'Raw Data (KG)'!K95</f>
        <v/>
      </c>
      <c r="F95" s="679">
        <f>'Raw Food Data (KG)'!Q56</f>
        <v/>
      </c>
      <c r="G95" s="9">
        <f>'Raw Data (KG)'!X95</f>
        <v/>
      </c>
      <c r="H95" s="9">
        <f>'Raw Data (KG)'!Y95</f>
        <v/>
      </c>
      <c r="I95" s="354">
        <f>'Raw Data (KG)'!V95</f>
        <v/>
      </c>
      <c r="J95" s="9">
        <f>'Raw Data (KG)'!U95</f>
        <v/>
      </c>
      <c r="K95" s="62">
        <f>'Raw Data (KG)'!J95+SUM('Raw Data (KG)'!L95:P95)+SUM('Raw Data (KG)'!R95:T95)+'Raw Data (KG)'!Z95</f>
        <v/>
      </c>
      <c r="L95" s="15">
        <f>SUM(B95:K95)</f>
        <v/>
      </c>
    </row>
    <row r="96">
      <c r="A96" s="790" t="n">
        <v>44317</v>
      </c>
      <c r="B96" s="9">
        <f>SUM('Raw Data (KG)'!D96:E96)</f>
        <v/>
      </c>
      <c r="C96" s="9">
        <f>SUM('Raw Data (KG)'!F96:G96)</f>
        <v/>
      </c>
      <c r="D96" s="8">
        <f>SUM('Raw Data (KG)'!H96:I96)</f>
        <v/>
      </c>
      <c r="E96" s="9">
        <f>'Raw Data (KG)'!K96</f>
        <v/>
      </c>
      <c r="F96" s="679">
        <f>'Raw Food Data (KG)'!Q57</f>
        <v/>
      </c>
      <c r="G96" s="9">
        <f>'Raw Data (KG)'!X96</f>
        <v/>
      </c>
      <c r="H96" s="9">
        <f>'Raw Data (KG)'!Y96</f>
        <v/>
      </c>
      <c r="I96" s="354">
        <f>'Raw Data (KG)'!V96</f>
        <v/>
      </c>
      <c r="J96" s="9">
        <f>'Raw Data (KG)'!U96</f>
        <v/>
      </c>
      <c r="K96" s="62">
        <f>'Raw Data (KG)'!J96+SUM('Raw Data (KG)'!L96:P96)+SUM('Raw Data (KG)'!R96:T96)+'Raw Data (KG)'!Z96</f>
        <v/>
      </c>
      <c r="L96" s="15">
        <f>SUM(B96:K96)</f>
        <v/>
      </c>
    </row>
    <row r="97">
      <c r="A97" s="790" t="n">
        <v>44348</v>
      </c>
      <c r="B97" s="9">
        <f>SUM('Raw Data (KG)'!D97:E97)</f>
        <v/>
      </c>
      <c r="C97" s="9">
        <f>SUM('Raw Data (KG)'!F97:G97)</f>
        <v/>
      </c>
      <c r="D97" s="8">
        <f>SUM('Raw Data (KG)'!H97:I97)</f>
        <v/>
      </c>
      <c r="E97" s="9">
        <f>'Raw Data (KG)'!K97</f>
        <v/>
      </c>
      <c r="F97" s="679">
        <f>'Raw Food Data (KG)'!Q58</f>
        <v/>
      </c>
      <c r="G97" s="9">
        <f>'Raw Data (KG)'!X97</f>
        <v/>
      </c>
      <c r="H97" s="9">
        <f>'Raw Data (KG)'!Y97</f>
        <v/>
      </c>
      <c r="I97" s="354">
        <f>'Raw Data (KG)'!V97</f>
        <v/>
      </c>
      <c r="J97" s="9">
        <f>'Raw Data (KG)'!U97</f>
        <v/>
      </c>
      <c r="K97" s="62">
        <f>'Raw Data (KG)'!J97+SUM('Raw Data (KG)'!L97:P97)+SUM('Raw Data (KG)'!R97:T97)+'Raw Data (KG)'!Z97</f>
        <v/>
      </c>
      <c r="L97" s="15">
        <f>SUM(B97:K97)</f>
        <v/>
      </c>
      <c r="M97" s="15">
        <f>SUM(L86:L97)</f>
        <v/>
      </c>
    </row>
    <row r="98">
      <c r="A98" s="790" t="n">
        <v>44378</v>
      </c>
      <c r="B98" s="75">
        <f>SUM('Raw Data (KG)'!D98:E98)</f>
        <v/>
      </c>
      <c r="C98" s="75">
        <f>SUM('Raw Data (KG)'!F98:G98)</f>
        <v/>
      </c>
      <c r="D98" s="73">
        <f>SUM('Raw Data (KG)'!H98:I98)</f>
        <v/>
      </c>
      <c r="E98" s="75">
        <f>'Raw Data (KG)'!K98</f>
        <v/>
      </c>
      <c r="F98" s="791">
        <f>'Raw Food Data (KG)'!Q59</f>
        <v/>
      </c>
      <c r="G98" s="75">
        <f>'Raw Data (KG)'!X98</f>
        <v/>
      </c>
      <c r="H98" s="75">
        <f>'Raw Data (KG)'!Y98</f>
        <v/>
      </c>
      <c r="I98" s="77">
        <f>'Raw Data (KG)'!V98</f>
        <v/>
      </c>
      <c r="J98" s="75">
        <f>'Raw Data (KG)'!U98</f>
        <v/>
      </c>
      <c r="K98" s="74">
        <f>'Raw Data (KG)'!J98+SUM('Raw Data (KG)'!L98:P98)+SUM('Raw Data (KG)'!R98:T98)+'Raw Data (KG)'!Z98</f>
        <v/>
      </c>
      <c r="L98" s="72">
        <f>SUM(B98:K98)</f>
        <v/>
      </c>
    </row>
    <row r="99">
      <c r="A99" s="790" t="n">
        <v>44409</v>
      </c>
      <c r="B99" s="75">
        <f>SUM('Raw Data (KG)'!D99:E99)</f>
        <v/>
      </c>
      <c r="C99" s="75">
        <f>SUM('Raw Data (KG)'!F99:G99)</f>
        <v/>
      </c>
      <c r="D99" s="73">
        <f>SUM('Raw Data (KG)'!H99:I99)</f>
        <v/>
      </c>
      <c r="E99" s="75">
        <f>'Raw Data (KG)'!K99</f>
        <v/>
      </c>
      <c r="F99" s="791">
        <f>'Raw Food Data (KG)'!Q60</f>
        <v/>
      </c>
      <c r="G99" s="75">
        <f>'Raw Data (KG)'!X99</f>
        <v/>
      </c>
      <c r="H99" s="75">
        <f>'Raw Data (KG)'!Y99</f>
        <v/>
      </c>
      <c r="I99" s="77">
        <f>'Raw Data (KG)'!V99</f>
        <v/>
      </c>
      <c r="J99" s="75">
        <f>'Raw Data (KG)'!U99</f>
        <v/>
      </c>
      <c r="K99" s="74">
        <f>'Raw Data (KG)'!J99+SUM('Raw Data (KG)'!L99:P99)+SUM('Raw Data (KG)'!R99:T99)+'Raw Data (KG)'!Z99</f>
        <v/>
      </c>
      <c r="L99" s="72">
        <f>SUM(B99:K99)</f>
        <v/>
      </c>
    </row>
    <row r="100">
      <c r="A100" s="790" t="n">
        <v>44440</v>
      </c>
      <c r="B100" s="75">
        <f>SUM('Raw Data (KG)'!D100:E100)</f>
        <v/>
      </c>
      <c r="C100" s="75">
        <f>SUM('Raw Data (KG)'!F100:G100)</f>
        <v/>
      </c>
      <c r="D100" s="73">
        <f>SUM('Raw Data (KG)'!H100:I100)</f>
        <v/>
      </c>
      <c r="E100" s="75">
        <f>'Raw Data (KG)'!K100</f>
        <v/>
      </c>
      <c r="F100" s="791">
        <f>'Raw Food Data (KG)'!Q61</f>
        <v/>
      </c>
      <c r="G100" s="75">
        <f>'Raw Data (KG)'!X100</f>
        <v/>
      </c>
      <c r="H100" s="75">
        <f>'Raw Data (KG)'!Y100</f>
        <v/>
      </c>
      <c r="I100" s="77">
        <f>'Raw Data (KG)'!V100</f>
        <v/>
      </c>
      <c r="J100" s="75">
        <f>'Raw Data (KG)'!U100</f>
        <v/>
      </c>
      <c r="K100" s="74">
        <f>'Raw Data (KG)'!J100+SUM('Raw Data (KG)'!L100:P100)+SUM('Raw Data (KG)'!R100:T100)+'Raw Data (KG)'!Z100</f>
        <v/>
      </c>
      <c r="L100" s="72">
        <f>SUM(B100:K100)</f>
        <v/>
      </c>
    </row>
    <row r="101">
      <c r="A101" s="790" t="n">
        <v>44470</v>
      </c>
      <c r="B101" s="75">
        <f>SUM('Raw Data (KG)'!D101:E101)</f>
        <v/>
      </c>
      <c r="C101" s="75">
        <f>SUM('Raw Data (KG)'!F101:G101)</f>
        <v/>
      </c>
      <c r="D101" s="73">
        <f>SUM('Raw Data (KG)'!H101:I101)</f>
        <v/>
      </c>
      <c r="E101" s="75">
        <f>'Raw Data (KG)'!K101</f>
        <v/>
      </c>
      <c r="F101" s="791">
        <f>'Raw Food Data (KG)'!Q62</f>
        <v/>
      </c>
      <c r="G101" s="75">
        <f>'Raw Data (KG)'!X101</f>
        <v/>
      </c>
      <c r="H101" s="75">
        <f>'Raw Data (KG)'!Y101</f>
        <v/>
      </c>
      <c r="I101" s="77">
        <f>'Raw Data (KG)'!V101</f>
        <v/>
      </c>
      <c r="J101" s="75">
        <f>'Raw Data (KG)'!U101</f>
        <v/>
      </c>
      <c r="K101" s="74">
        <f>'Raw Data (KG)'!J101+SUM('Raw Data (KG)'!L101:P101)+SUM('Raw Data (KG)'!R101:T101)+'Raw Data (KG)'!Z101</f>
        <v/>
      </c>
      <c r="L101" s="72">
        <f>SUM(B101:K101)</f>
        <v/>
      </c>
    </row>
    <row r="102">
      <c r="A102" s="790" t="n">
        <v>44501</v>
      </c>
      <c r="B102" s="75">
        <f>SUM('Raw Data (KG)'!D102:E102)</f>
        <v/>
      </c>
      <c r="C102" s="75">
        <f>SUM('Raw Data (KG)'!F102:G102)</f>
        <v/>
      </c>
      <c r="D102" s="73">
        <f>SUM('Raw Data (KG)'!H102:I102)</f>
        <v/>
      </c>
      <c r="E102" s="75">
        <f>'Raw Data (KG)'!K102</f>
        <v/>
      </c>
      <c r="F102" s="791">
        <f>'Raw Food Data (KG)'!Q63</f>
        <v/>
      </c>
      <c r="G102" s="75">
        <f>'Raw Data (KG)'!X102</f>
        <v/>
      </c>
      <c r="H102" s="75">
        <f>'Raw Data (KG)'!Y102</f>
        <v/>
      </c>
      <c r="I102" s="77">
        <f>'Raw Data (KG)'!V102</f>
        <v/>
      </c>
      <c r="J102" s="75">
        <f>'Raw Data (KG)'!U102</f>
        <v/>
      </c>
      <c r="K102" s="74">
        <f>'Raw Data (KG)'!J102+SUM('Raw Data (KG)'!L102:P102)+SUM('Raw Data (KG)'!R102:T102)+'Raw Data (KG)'!Z102</f>
        <v/>
      </c>
      <c r="L102" s="72">
        <f>SUM(B102:K102)</f>
        <v/>
      </c>
    </row>
    <row r="103">
      <c r="A103" s="790" t="n">
        <v>44531</v>
      </c>
      <c r="B103" s="75">
        <f>SUM('Raw Data (KG)'!D103:E103)</f>
        <v/>
      </c>
      <c r="C103" s="75">
        <f>SUM('Raw Data (KG)'!F103:G103)</f>
        <v/>
      </c>
      <c r="D103" s="73">
        <f>SUM('Raw Data (KG)'!H103:I103)</f>
        <v/>
      </c>
      <c r="E103" s="75">
        <f>'Raw Data (KG)'!K103</f>
        <v/>
      </c>
      <c r="F103" s="791">
        <f>'Raw Food Data (KG)'!Q64</f>
        <v/>
      </c>
      <c r="G103" s="75">
        <f>'Raw Data (KG)'!X103</f>
        <v/>
      </c>
      <c r="H103" s="75">
        <f>'Raw Data (KG)'!Y103</f>
        <v/>
      </c>
      <c r="I103" s="77">
        <f>'Raw Data (KG)'!V103</f>
        <v/>
      </c>
      <c r="J103" s="75">
        <f>'Raw Data (KG)'!U103</f>
        <v/>
      </c>
      <c r="K103" s="74">
        <f>'Raw Data (KG)'!J103+SUM('Raw Data (KG)'!L103:P103)+SUM('Raw Data (KG)'!R103:T103)+'Raw Data (KG)'!Z103</f>
        <v/>
      </c>
      <c r="L103" s="72">
        <f>SUM(B103:K103)</f>
        <v/>
      </c>
    </row>
    <row r="104">
      <c r="A104" s="790" t="n">
        <v>44562</v>
      </c>
      <c r="B104" s="75">
        <f>SUM('Raw Data (KG)'!D104:E104)</f>
        <v/>
      </c>
      <c r="C104" s="75">
        <f>SUM('Raw Data (KG)'!F104:G104)</f>
        <v/>
      </c>
      <c r="D104" s="73">
        <f>SUM('Raw Data (KG)'!H104:I104)</f>
        <v/>
      </c>
      <c r="E104" s="75">
        <f>'Raw Data (KG)'!K104</f>
        <v/>
      </c>
      <c r="F104" s="791">
        <f>'Raw Food Data (KG)'!Q65</f>
        <v/>
      </c>
      <c r="G104" s="75">
        <f>'Raw Data (KG)'!X104</f>
        <v/>
      </c>
      <c r="H104" s="75">
        <f>'Raw Data (KG)'!Y104</f>
        <v/>
      </c>
      <c r="I104" s="77">
        <f>'Raw Data (KG)'!V104</f>
        <v/>
      </c>
      <c r="J104" s="75">
        <f>'Raw Data (KG)'!U104</f>
        <v/>
      </c>
      <c r="K104" s="74">
        <f>'Raw Data (KG)'!J104+SUM('Raw Data (KG)'!L104:P104)+SUM('Raw Data (KG)'!R104:T104)+'Raw Data (KG)'!Z104</f>
        <v/>
      </c>
      <c r="L104" s="72">
        <f>SUM(B104:K104)</f>
        <v/>
      </c>
    </row>
    <row r="105">
      <c r="A105" s="790" t="n">
        <v>44593</v>
      </c>
      <c r="B105" s="75">
        <f>SUM('Raw Data (KG)'!D105:E105)</f>
        <v/>
      </c>
      <c r="C105" s="75">
        <f>SUM('Raw Data (KG)'!F105:G105)</f>
        <v/>
      </c>
      <c r="D105" s="73">
        <f>SUM('Raw Data (KG)'!H105:I105)</f>
        <v/>
      </c>
      <c r="E105" s="75">
        <f>'Raw Data (KG)'!K105</f>
        <v/>
      </c>
      <c r="F105" s="791">
        <f>'Raw Food Data (KG)'!Q66</f>
        <v/>
      </c>
      <c r="G105" s="75">
        <f>'Raw Data (KG)'!X105</f>
        <v/>
      </c>
      <c r="H105" s="75">
        <f>'Raw Data (KG)'!Y105</f>
        <v/>
      </c>
      <c r="I105" s="77">
        <f>'Raw Data (KG)'!V105</f>
        <v/>
      </c>
      <c r="J105" s="75">
        <f>'Raw Data (KG)'!U105</f>
        <v/>
      </c>
      <c r="K105" s="74">
        <f>'Raw Data (KG)'!J105+SUM('Raw Data (KG)'!L105:P105)+SUM('Raw Data (KG)'!R105:T105)+'Raw Data (KG)'!Z105</f>
        <v/>
      </c>
      <c r="L105" s="72">
        <f>SUM(B105:K105)</f>
        <v/>
      </c>
    </row>
    <row r="106">
      <c r="A106" s="790" t="n">
        <v>44621</v>
      </c>
      <c r="B106" s="75">
        <f>SUM('Raw Data (KG)'!D106:E106)</f>
        <v/>
      </c>
      <c r="C106" s="75">
        <f>SUM('Raw Data (KG)'!F106:G106)</f>
        <v/>
      </c>
      <c r="D106" s="73">
        <f>SUM('Raw Data (KG)'!H106:I106)</f>
        <v/>
      </c>
      <c r="E106" s="75">
        <f>'Raw Data (KG)'!K106</f>
        <v/>
      </c>
      <c r="F106" s="791">
        <f>'Raw Food Data (KG)'!Q67</f>
        <v/>
      </c>
      <c r="G106" s="75">
        <f>'Raw Data (KG)'!X106</f>
        <v/>
      </c>
      <c r="H106" s="75">
        <f>'Raw Data (KG)'!Y106</f>
        <v/>
      </c>
      <c r="I106" s="77">
        <f>'Raw Data (KG)'!V106</f>
        <v/>
      </c>
      <c r="J106" s="75">
        <f>'Raw Data (KG)'!U106</f>
        <v/>
      </c>
      <c r="K106" s="74">
        <f>'Raw Data (KG)'!J106+SUM('Raw Data (KG)'!L106:P106)+SUM('Raw Data (KG)'!R106:T106)+'Raw Data (KG)'!Z106</f>
        <v/>
      </c>
      <c r="L106" s="72">
        <f>SUM(B106:K106)</f>
        <v/>
      </c>
    </row>
    <row r="107">
      <c r="A107" s="790" t="n">
        <v>44652</v>
      </c>
      <c r="B107" s="75">
        <f>SUM('Raw Data (KG)'!D107:E107)</f>
        <v/>
      </c>
      <c r="C107" s="75">
        <f>SUM('Raw Data (KG)'!F107:G107)</f>
        <v/>
      </c>
      <c r="D107" s="73">
        <f>SUM('Raw Data (KG)'!H107:I107)</f>
        <v/>
      </c>
      <c r="E107" s="75">
        <f>'Raw Data (KG)'!K107</f>
        <v/>
      </c>
      <c r="F107" s="791">
        <f>'Raw Food Data (KG)'!Q68</f>
        <v/>
      </c>
      <c r="G107" s="75">
        <f>'Raw Data (KG)'!X107</f>
        <v/>
      </c>
      <c r="H107" s="75">
        <f>'Raw Data (KG)'!Y107</f>
        <v/>
      </c>
      <c r="I107" s="77">
        <f>'Raw Data (KG)'!V107</f>
        <v/>
      </c>
      <c r="J107" s="75">
        <f>'Raw Data (KG)'!U107</f>
        <v/>
      </c>
      <c r="K107" s="74">
        <f>'Raw Data (KG)'!J107+SUM('Raw Data (KG)'!L107:P107)+SUM('Raw Data (KG)'!R107:T107)+'Raw Data (KG)'!Z107</f>
        <v/>
      </c>
      <c r="L107" s="72">
        <f>SUM(B107:K107)</f>
        <v/>
      </c>
    </row>
    <row r="108">
      <c r="A108" s="790" t="n">
        <v>44682</v>
      </c>
      <c r="B108" s="75">
        <f>SUM('Raw Data (KG)'!D108:E108)</f>
        <v/>
      </c>
      <c r="C108" s="75">
        <f>SUM('Raw Data (KG)'!F108:G108)</f>
        <v/>
      </c>
      <c r="D108" s="73">
        <f>SUM('Raw Data (KG)'!H108:I108)</f>
        <v/>
      </c>
      <c r="E108" s="75">
        <f>'Raw Data (KG)'!K108</f>
        <v/>
      </c>
      <c r="F108" s="791">
        <f>'Raw Food Data (KG)'!Q69</f>
        <v/>
      </c>
      <c r="G108" s="75">
        <f>'Raw Data (KG)'!X108</f>
        <v/>
      </c>
      <c r="H108" s="75">
        <f>'Raw Data (KG)'!Y108</f>
        <v/>
      </c>
      <c r="I108" s="77">
        <f>'Raw Data (KG)'!V108</f>
        <v/>
      </c>
      <c r="J108" s="75">
        <f>'Raw Data (KG)'!U108</f>
        <v/>
      </c>
      <c r="K108" s="74">
        <f>'Raw Data (KG)'!J108+SUM('Raw Data (KG)'!L108:P108)+SUM('Raw Data (KG)'!R108:T108)+'Raw Data (KG)'!Z108</f>
        <v/>
      </c>
      <c r="L108" s="72">
        <f>SUM(B108:K108)</f>
        <v/>
      </c>
    </row>
    <row r="109">
      <c r="A109" s="790" t="n">
        <v>44713</v>
      </c>
      <c r="B109" s="75">
        <f>SUM('Raw Data (KG)'!D109:E109)</f>
        <v/>
      </c>
      <c r="C109" s="75">
        <f>SUM('Raw Data (KG)'!F109:G109)</f>
        <v/>
      </c>
      <c r="D109" s="73">
        <f>SUM('Raw Data (KG)'!H109:I109)</f>
        <v/>
      </c>
      <c r="E109" s="75">
        <f>'Raw Data (KG)'!K109</f>
        <v/>
      </c>
      <c r="F109" s="791">
        <f>'Raw Food Data (KG)'!Q70</f>
        <v/>
      </c>
      <c r="G109" s="75">
        <f>'Raw Data (KG)'!X109</f>
        <v/>
      </c>
      <c r="H109" s="75">
        <f>'Raw Data (KG)'!Y109</f>
        <v/>
      </c>
      <c r="I109" s="77">
        <f>'Raw Data (KG)'!V109</f>
        <v/>
      </c>
      <c r="J109" s="75">
        <f>'Raw Data (KG)'!U109</f>
        <v/>
      </c>
      <c r="K109" s="74">
        <f>'Raw Data (KG)'!J109+SUM('Raw Data (KG)'!L109:P109)+SUM('Raw Data (KG)'!R109:T109)+'Raw Data (KG)'!Z109</f>
        <v/>
      </c>
      <c r="L109" s="72">
        <f>SUM(B109:K109)</f>
        <v/>
      </c>
      <c r="M109" s="15">
        <f>SUM(L98:L109)</f>
        <v/>
      </c>
    </row>
    <row r="110">
      <c r="A110" s="790" t="n">
        <v>44743</v>
      </c>
      <c r="B110" s="9">
        <f>SUM('Raw Data (KG)'!D110:E110)</f>
        <v/>
      </c>
      <c r="C110" s="9">
        <f>SUM('Raw Data (KG)'!F110:G110)</f>
        <v/>
      </c>
      <c r="D110" s="8">
        <f>SUM('Raw Data (KG)'!H110:I110)</f>
        <v/>
      </c>
      <c r="E110" s="9">
        <f>'Raw Data (KG)'!K110</f>
        <v/>
      </c>
      <c r="F110" s="679">
        <f>'Raw Food Data (KG)'!Q71</f>
        <v/>
      </c>
      <c r="G110" s="9">
        <f>'Raw Data (KG)'!X110</f>
        <v/>
      </c>
      <c r="H110" s="9">
        <f>'Raw Data (KG)'!Y110</f>
        <v/>
      </c>
      <c r="I110" s="354">
        <f>'Raw Data (KG)'!V110</f>
        <v/>
      </c>
      <c r="J110" s="9">
        <f>'Raw Data (KG)'!U110</f>
        <v/>
      </c>
      <c r="K110" s="62">
        <f>'Raw Data (KG)'!J110+SUM('Raw Data (KG)'!L110:P110)+'Raw Data (KG)'!Z110</f>
        <v/>
      </c>
      <c r="L110" s="15">
        <f>SUM(B110:K110)</f>
        <v/>
      </c>
    </row>
    <row r="111">
      <c r="A111" s="790" t="n">
        <v>44774</v>
      </c>
      <c r="B111" s="9">
        <f>SUM('Raw Data (KG)'!D111:E111)</f>
        <v/>
      </c>
      <c r="C111" s="9">
        <f>SUM('Raw Data (KG)'!F111:G111)</f>
        <v/>
      </c>
      <c r="D111" s="8">
        <f>SUM('Raw Data (KG)'!H111:I111)</f>
        <v/>
      </c>
      <c r="E111" s="9">
        <f>'Raw Data (KG)'!K111</f>
        <v/>
      </c>
      <c r="F111" s="679">
        <f>'Raw Food Data (KG)'!Q72</f>
        <v/>
      </c>
      <c r="G111" s="9">
        <f>'Raw Data (KG)'!X111</f>
        <v/>
      </c>
      <c r="H111" s="9">
        <f>'Raw Data (KG)'!Y111</f>
        <v/>
      </c>
      <c r="I111" s="354">
        <f>'Raw Data (KG)'!V111</f>
        <v/>
      </c>
      <c r="J111" s="9">
        <f>'Raw Data (KG)'!U111</f>
        <v/>
      </c>
      <c r="K111" s="62">
        <f>'Raw Data (KG)'!J111+SUM('Raw Data (KG)'!L111:P111)+'Raw Data (KG)'!Z111</f>
        <v/>
      </c>
      <c r="L111" s="15">
        <f>SUM(B111:K111)</f>
        <v/>
      </c>
    </row>
    <row r="112">
      <c r="A112" s="790" t="n">
        <v>44805</v>
      </c>
      <c r="B112" s="9">
        <f>SUM('Raw Data (KG)'!D112:E112)</f>
        <v/>
      </c>
      <c r="C112" s="9">
        <f>SUM('Raw Data (KG)'!F112:G112)</f>
        <v/>
      </c>
      <c r="D112" s="8">
        <f>SUM('Raw Data (KG)'!H112:I112)</f>
        <v/>
      </c>
      <c r="E112" s="9">
        <f>'Raw Data (KG)'!K112</f>
        <v/>
      </c>
      <c r="F112" s="679">
        <f>'Raw Food Data (KG)'!Q73</f>
        <v/>
      </c>
      <c r="G112" s="9">
        <f>'Raw Data (KG)'!X112</f>
        <v/>
      </c>
      <c r="H112" s="9">
        <f>'Raw Data (KG)'!Y112</f>
        <v/>
      </c>
      <c r="I112" s="354">
        <f>'Raw Data (KG)'!V112</f>
        <v/>
      </c>
      <c r="J112" s="9">
        <f>'Raw Data (KG)'!U112</f>
        <v/>
      </c>
      <c r="K112" s="62">
        <f>'Raw Data (KG)'!J112+SUM('Raw Data (KG)'!L112:P112)+'Raw Data (KG)'!Z112</f>
        <v/>
      </c>
      <c r="L112" s="15">
        <f>SUM(B112:K112)</f>
        <v/>
      </c>
    </row>
    <row r="113">
      <c r="A113" s="790" t="n">
        <v>44835</v>
      </c>
      <c r="B113" s="9">
        <f>SUM('Raw Data (KG)'!D113:E113)</f>
        <v/>
      </c>
      <c r="C113" s="9">
        <f>SUM('Raw Data (KG)'!F113:G113)</f>
        <v/>
      </c>
      <c r="D113" s="8">
        <f>SUM('Raw Data (KG)'!H113:I113)</f>
        <v/>
      </c>
      <c r="E113" s="9">
        <f>'Raw Data (KG)'!K113</f>
        <v/>
      </c>
      <c r="F113" s="679">
        <f>'Raw Food Data (KG)'!Q74</f>
        <v/>
      </c>
      <c r="G113" s="9">
        <f>'Raw Data (KG)'!X113</f>
        <v/>
      </c>
      <c r="H113" s="9">
        <f>'Raw Data (KG)'!Y113</f>
        <v/>
      </c>
      <c r="I113" s="354">
        <f>'Raw Data (KG)'!V113</f>
        <v/>
      </c>
      <c r="J113" s="9">
        <f>'Raw Data (KG)'!U113</f>
        <v/>
      </c>
      <c r="K113" s="62">
        <f>'Raw Data (KG)'!J113+SUM('Raw Data (KG)'!L113:P113)+'Raw Data (KG)'!Z113</f>
        <v/>
      </c>
      <c r="L113" s="15">
        <f>SUM(B113:K113)</f>
        <v/>
      </c>
    </row>
    <row r="114">
      <c r="A114" s="790" t="n">
        <v>44866</v>
      </c>
      <c r="B114" s="9">
        <f>SUM('Raw Data (KG)'!D114:E114)</f>
        <v/>
      </c>
      <c r="C114" s="9">
        <f>SUM('Raw Data (KG)'!F114:G114)</f>
        <v/>
      </c>
      <c r="D114" s="8">
        <f>SUM('Raw Data (KG)'!H114:I114)</f>
        <v/>
      </c>
      <c r="E114" s="9">
        <f>'Raw Data (KG)'!K114</f>
        <v/>
      </c>
      <c r="F114" s="679">
        <f>'Raw Food Data (KG)'!Q75</f>
        <v/>
      </c>
      <c r="G114" s="9">
        <f>'Raw Data (KG)'!X114</f>
        <v/>
      </c>
      <c r="H114" s="9">
        <f>'Raw Data (KG)'!Y114</f>
        <v/>
      </c>
      <c r="I114" s="354">
        <f>'Raw Data (KG)'!V114</f>
        <v/>
      </c>
      <c r="J114" s="9">
        <f>'Raw Data (KG)'!U114</f>
        <v/>
      </c>
      <c r="K114" s="62">
        <f>'Raw Data (KG)'!J114+SUM('Raw Data (KG)'!L114:P114)+'Raw Data (KG)'!Z114</f>
        <v/>
      </c>
      <c r="L114" s="15">
        <f>SUM(B114:K114)</f>
        <v/>
      </c>
    </row>
    <row r="115">
      <c r="A115" s="790" t="n">
        <v>44896</v>
      </c>
      <c r="B115" s="9">
        <f>SUM('Raw Data (KG)'!D115:E115)</f>
        <v/>
      </c>
      <c r="C115" s="9">
        <f>SUM('Raw Data (KG)'!F115:G115)</f>
        <v/>
      </c>
      <c r="D115" s="8">
        <f>SUM('Raw Data (KG)'!H115:I115)</f>
        <v/>
      </c>
      <c r="E115" s="9">
        <f>'Raw Data (KG)'!K115</f>
        <v/>
      </c>
      <c r="F115" s="679">
        <f>'Raw Food Data (KG)'!Q76</f>
        <v/>
      </c>
      <c r="G115" s="9">
        <f>'Raw Data (KG)'!X115</f>
        <v/>
      </c>
      <c r="H115" s="9">
        <f>'Raw Data (KG)'!Y115</f>
        <v/>
      </c>
      <c r="I115" s="354">
        <f>'Raw Data (KG)'!V115</f>
        <v/>
      </c>
      <c r="J115" s="9">
        <f>'Raw Data (KG)'!U115</f>
        <v/>
      </c>
      <c r="K115" s="62">
        <f>'Raw Data (KG)'!J115+SUM('Raw Data (KG)'!L115:P115)+'Raw Data (KG)'!Z115</f>
        <v/>
      </c>
      <c r="L115" s="15">
        <f>SUM(B115:K115)</f>
        <v/>
      </c>
    </row>
    <row r="116">
      <c r="A116" s="790" t="n">
        <v>44927</v>
      </c>
      <c r="B116" s="9">
        <f>SUM('Raw Data (KG)'!D116:E116)</f>
        <v/>
      </c>
      <c r="C116" s="9">
        <f>SUM('Raw Data (KG)'!F116:G116)</f>
        <v/>
      </c>
      <c r="D116" s="8">
        <f>SUM('Raw Data (KG)'!H116:I116)</f>
        <v/>
      </c>
      <c r="E116" s="9">
        <f>'Raw Data (KG)'!K116</f>
        <v/>
      </c>
      <c r="F116" s="679">
        <f>'Raw Food Data (KG)'!Q77</f>
        <v/>
      </c>
      <c r="G116" s="9">
        <f>'Raw Data (KG)'!X116</f>
        <v/>
      </c>
      <c r="H116" s="9">
        <f>'Raw Data (KG)'!Y116</f>
        <v/>
      </c>
      <c r="I116" s="354">
        <f>'Raw Data (KG)'!V116</f>
        <v/>
      </c>
      <c r="J116" s="9">
        <f>'Raw Data (KG)'!U116</f>
        <v/>
      </c>
      <c r="K116" s="62">
        <f>'Raw Data (KG)'!J116+SUM('Raw Data (KG)'!L116:P116)+'Raw Data (KG)'!Z116</f>
        <v/>
      </c>
      <c r="L116" s="15">
        <f>SUM(B116:K116)</f>
        <v/>
      </c>
    </row>
    <row r="117">
      <c r="A117" s="790" t="n">
        <v>44958</v>
      </c>
      <c r="B117" s="9">
        <f>SUM('Raw Data (KG)'!D117:E117)</f>
        <v/>
      </c>
      <c r="C117" s="9">
        <f>SUM('Raw Data (KG)'!F117:G117)</f>
        <v/>
      </c>
      <c r="D117" s="8">
        <f>SUM('Raw Data (KG)'!H117:I117)</f>
        <v/>
      </c>
      <c r="E117" s="9">
        <f>'Raw Data (KG)'!K117</f>
        <v/>
      </c>
      <c r="F117" s="679">
        <f>'Raw Food Data (KG)'!Q78</f>
        <v/>
      </c>
      <c r="G117" s="9">
        <f>'Raw Data (KG)'!X117</f>
        <v/>
      </c>
      <c r="H117" s="9">
        <f>'Raw Data (KG)'!Y117</f>
        <v/>
      </c>
      <c r="I117" s="354">
        <f>'Raw Data (KG)'!V117</f>
        <v/>
      </c>
      <c r="J117" s="9">
        <f>'Raw Data (KG)'!U117</f>
        <v/>
      </c>
      <c r="K117" s="62">
        <f>'Raw Data (KG)'!J117+SUM('Raw Data (KG)'!L117:P117)+'Raw Data (KG)'!Z117</f>
        <v/>
      </c>
      <c r="L117" s="15">
        <f>SUM(B117:K117)</f>
        <v/>
      </c>
    </row>
    <row r="118">
      <c r="A118" s="790" t="n">
        <v>44986</v>
      </c>
      <c r="B118" s="9">
        <f>SUM('Raw Data (KG)'!D118:E118)</f>
        <v/>
      </c>
      <c r="C118" s="9">
        <f>SUM('Raw Data (KG)'!F118:G118)</f>
        <v/>
      </c>
      <c r="D118" s="8">
        <f>SUM('Raw Data (KG)'!H118:I118)</f>
        <v/>
      </c>
      <c r="E118" s="9">
        <f>'Raw Data (KG)'!K118</f>
        <v/>
      </c>
      <c r="F118" s="679">
        <f>'Raw Food Data (KG)'!Q79</f>
        <v/>
      </c>
      <c r="G118" s="9">
        <f>'Raw Data (KG)'!X118</f>
        <v/>
      </c>
      <c r="H118" s="9">
        <f>'Raw Data (KG)'!Y118</f>
        <v/>
      </c>
      <c r="I118" s="354">
        <f>'Raw Data (KG)'!V118</f>
        <v/>
      </c>
      <c r="J118" s="9">
        <f>'Raw Data (KG)'!U118</f>
        <v/>
      </c>
      <c r="K118" s="62">
        <f>'Raw Data (KG)'!J118+SUM('Raw Data (KG)'!L118:P118)+'Raw Data (KG)'!Z118</f>
        <v/>
      </c>
      <c r="L118" s="15">
        <f>SUM(B118:K118)</f>
        <v/>
      </c>
    </row>
    <row r="119">
      <c r="A119" s="790" t="n">
        <v>45017</v>
      </c>
      <c r="B119" s="9">
        <f>SUM('Raw Data (KG)'!D119:E119)</f>
        <v/>
      </c>
      <c r="C119" s="9">
        <f>SUM('Raw Data (KG)'!F119:G119)</f>
        <v/>
      </c>
      <c r="D119" s="8">
        <f>SUM('Raw Data (KG)'!H119:I119)</f>
        <v/>
      </c>
      <c r="E119" s="9">
        <f>'Raw Data (KG)'!K119</f>
        <v/>
      </c>
      <c r="F119" s="679">
        <f>'Raw Food Data (KG)'!Q80</f>
        <v/>
      </c>
      <c r="G119" s="9">
        <f>'Raw Data (KG)'!X119</f>
        <v/>
      </c>
      <c r="H119" s="9">
        <f>'Raw Data (KG)'!Y119</f>
        <v/>
      </c>
      <c r="I119" s="354">
        <f>'Raw Data (KG)'!V119</f>
        <v/>
      </c>
      <c r="J119" s="9">
        <f>'Raw Data (KG)'!U119</f>
        <v/>
      </c>
      <c r="K119" s="62">
        <f>'Raw Data (KG)'!J119+SUM('Raw Data (KG)'!L119:P119)+'Raw Data (KG)'!Z119</f>
        <v/>
      </c>
      <c r="L119" s="15">
        <f>SUM(B119:K119)</f>
        <v/>
      </c>
    </row>
    <row r="120">
      <c r="A120" s="790" t="n">
        <v>45047</v>
      </c>
      <c r="B120" s="9">
        <f>SUM('Raw Data (KG)'!D120:E120)</f>
        <v/>
      </c>
      <c r="C120" s="9">
        <f>SUM('Raw Data (KG)'!F120:G120)</f>
        <v/>
      </c>
      <c r="D120" s="8">
        <f>SUM('Raw Data (KG)'!H120:I120)</f>
        <v/>
      </c>
      <c r="E120" s="9">
        <f>'Raw Data (KG)'!K120</f>
        <v/>
      </c>
      <c r="F120" s="679">
        <f>'Raw Food Data (KG)'!Q81</f>
        <v/>
      </c>
      <c r="G120" s="9">
        <f>'Raw Data (KG)'!X120</f>
        <v/>
      </c>
      <c r="H120" s="9">
        <f>'Raw Data (KG)'!Y120</f>
        <v/>
      </c>
      <c r="I120" s="354">
        <f>'Raw Data (KG)'!V120</f>
        <v/>
      </c>
      <c r="J120" s="9">
        <f>'Raw Data (KG)'!U120</f>
        <v/>
      </c>
      <c r="K120" s="62">
        <f>'Raw Data (KG)'!J120+SUM('Raw Data (KG)'!L120:P120)+'Raw Data (KG)'!Z120</f>
        <v/>
      </c>
      <c r="L120" s="15">
        <f>SUM(B120:K120)</f>
        <v/>
      </c>
    </row>
    <row r="121">
      <c r="A121" s="790" t="n">
        <v>45078</v>
      </c>
      <c r="B121" s="9">
        <f>SUM('Raw Data (KG)'!D121:E121)</f>
        <v/>
      </c>
      <c r="C121" s="9">
        <f>SUM('Raw Data (KG)'!F121:G121)</f>
        <v/>
      </c>
      <c r="D121" s="8">
        <f>SUM('Raw Data (KG)'!H121:I121)</f>
        <v/>
      </c>
      <c r="E121" s="9">
        <f>'Raw Data (KG)'!K121</f>
        <v/>
      </c>
      <c r="F121" s="679">
        <f>'Raw Food Data (KG)'!Q82</f>
        <v/>
      </c>
      <c r="G121" s="9">
        <f>'Raw Data (KG)'!X121</f>
        <v/>
      </c>
      <c r="H121" s="9">
        <f>'Raw Data (KG)'!Y121</f>
        <v/>
      </c>
      <c r="I121" s="354">
        <f>'Raw Data (KG)'!V121</f>
        <v/>
      </c>
      <c r="J121" s="9">
        <f>'Raw Data (KG)'!U121</f>
        <v/>
      </c>
      <c r="K121" s="62">
        <f>'Raw Data (KG)'!J121+SUM('Raw Data (KG)'!L121:P121)+'Raw Data (KG)'!Z121</f>
        <v/>
      </c>
      <c r="L121" s="15">
        <f>SUM(B121:K121)</f>
        <v/>
      </c>
      <c r="M121" s="15">
        <f>SUM(L110:L121)</f>
        <v/>
      </c>
    </row>
    <row r="122">
      <c r="A122" s="790" t="n">
        <v>45108</v>
      </c>
      <c r="B122" s="75">
        <f>SUM('Raw Data (KG)'!D122:E122)</f>
        <v/>
      </c>
      <c r="C122" s="75">
        <f>SUM('Raw Data (KG)'!F122:G122)</f>
        <v/>
      </c>
      <c r="D122" s="73">
        <f>SUM('Raw Data (KG)'!H122:I122)</f>
        <v/>
      </c>
      <c r="E122" s="75">
        <f>'Raw Data (KG)'!K122</f>
        <v/>
      </c>
      <c r="F122" s="791">
        <f>'Raw Food Data (KG)'!Q83</f>
        <v/>
      </c>
      <c r="G122" s="75">
        <f>'Raw Data (KG)'!X122</f>
        <v/>
      </c>
      <c r="H122" s="75">
        <f>'Raw Data (KG)'!Y122</f>
        <v/>
      </c>
      <c r="I122" s="77">
        <f>'Raw Data (KG)'!V122</f>
        <v/>
      </c>
      <c r="J122" s="75">
        <f>'Raw Data (KG)'!U122</f>
        <v/>
      </c>
      <c r="K122" s="74">
        <f>'Raw Data (KG)'!J122+SUM('Raw Data (KG)'!L122:P122)+'Raw Data (KG)'!Z122</f>
        <v/>
      </c>
      <c r="L122" s="72">
        <f>SUM(B122:K122)</f>
        <v/>
      </c>
    </row>
    <row r="123">
      <c r="A123" s="790" t="n">
        <v>45139</v>
      </c>
      <c r="B123" s="75">
        <f>SUM('Raw Data (KG)'!D123:E123)</f>
        <v/>
      </c>
      <c r="C123" s="75">
        <f>SUM('Raw Data (KG)'!F123:G123)</f>
        <v/>
      </c>
      <c r="D123" s="73">
        <f>SUM('Raw Data (KG)'!H123:I123)</f>
        <v/>
      </c>
      <c r="E123" s="75">
        <f>'Raw Data (KG)'!K123</f>
        <v/>
      </c>
      <c r="F123" s="791">
        <f>'Raw Food Data (KG)'!Q84</f>
        <v/>
      </c>
      <c r="G123" s="75">
        <f>'Raw Data (KG)'!X123</f>
        <v/>
      </c>
      <c r="H123" s="75">
        <f>'Raw Data (KG)'!Y123</f>
        <v/>
      </c>
      <c r="I123" s="77">
        <f>'Raw Data (KG)'!V123</f>
        <v/>
      </c>
      <c r="J123" s="75">
        <f>'Raw Data (KG)'!U123</f>
        <v/>
      </c>
      <c r="K123" s="74">
        <f>'Raw Data (KG)'!J123+SUM('Raw Data (KG)'!L123:P123)+'Raw Data (KG)'!Z123</f>
        <v/>
      </c>
      <c r="L123" s="72">
        <f>SUM(B123:K123)</f>
        <v/>
      </c>
      <c r="M123" s="15">
        <f>SUM(L122:L130)</f>
        <v/>
      </c>
    </row>
    <row r="124">
      <c r="A124" s="790" t="n">
        <v>45170</v>
      </c>
      <c r="B124" s="75">
        <f>SUM('Raw Data (KG)'!D124:E124)</f>
        <v/>
      </c>
      <c r="C124" s="75">
        <f>SUM('Raw Data (KG)'!F124:G124)</f>
        <v/>
      </c>
      <c r="D124" s="73">
        <f>SUM('Raw Data (KG)'!H124:I124)</f>
        <v/>
      </c>
      <c r="E124" s="75">
        <f>'Raw Data (KG)'!K124</f>
        <v/>
      </c>
      <c r="F124" s="791">
        <f>'Raw Food Data (KG)'!Q85</f>
        <v/>
      </c>
      <c r="G124" s="75">
        <f>'Raw Data (KG)'!X124</f>
        <v/>
      </c>
      <c r="H124" s="75">
        <f>'Raw Data (KG)'!Y124</f>
        <v/>
      </c>
      <c r="I124" s="77">
        <f>'Raw Data (KG)'!V124</f>
        <v/>
      </c>
      <c r="J124" s="75">
        <f>'Raw Data (KG)'!U124</f>
        <v/>
      </c>
      <c r="K124" s="74">
        <f>'Raw Data (KG)'!J124+SUM('Raw Data (KG)'!L124:P124)+'Raw Data (KG)'!Z124</f>
        <v/>
      </c>
      <c r="L124" s="72">
        <f>SUM(B124:K124)</f>
        <v/>
      </c>
    </row>
    <row r="125">
      <c r="A125" s="790" t="n">
        <v>45200</v>
      </c>
      <c r="B125" s="75">
        <f>SUM('Raw Data (KG)'!D125:E125)</f>
        <v/>
      </c>
      <c r="C125" s="75">
        <f>SUM('Raw Data (KG)'!F125:G125)</f>
        <v/>
      </c>
      <c r="D125" s="73">
        <f>SUM('Raw Data (KG)'!H125:I125)</f>
        <v/>
      </c>
      <c r="E125" s="75">
        <f>'Raw Data (KG)'!K125</f>
        <v/>
      </c>
      <c r="F125" s="791">
        <f>'Raw Food Data (KG)'!Q86</f>
        <v/>
      </c>
      <c r="G125" s="75">
        <f>'Raw Data (KG)'!X125</f>
        <v/>
      </c>
      <c r="H125" s="75">
        <f>'Raw Data (KG)'!Y125</f>
        <v/>
      </c>
      <c r="I125" s="77">
        <f>'Raw Data (KG)'!V125</f>
        <v/>
      </c>
      <c r="J125" s="75">
        <f>'Raw Data (KG)'!U125</f>
        <v/>
      </c>
      <c r="K125" s="74">
        <f>'Raw Data (KG)'!J125+SUM('Raw Data (KG)'!L125:P125)+'Raw Data (KG)'!Z125</f>
        <v/>
      </c>
      <c r="L125" s="72">
        <f>SUM(B125:K125)</f>
        <v/>
      </c>
    </row>
    <row r="126">
      <c r="A126" s="792" t="n">
        <v>45231</v>
      </c>
      <c r="B126" s="75">
        <f>SUM('Raw Data (KG)'!D126:E126)</f>
        <v/>
      </c>
      <c r="C126" s="75">
        <f>SUM('Raw Data (KG)'!F126:G126)</f>
        <v/>
      </c>
      <c r="D126" s="73">
        <f>SUM('Raw Data (KG)'!H126:I126)</f>
        <v/>
      </c>
      <c r="E126" s="75">
        <f>'Raw Data (KG)'!K126</f>
        <v/>
      </c>
      <c r="F126" s="791">
        <f>'Raw Food Data (KG)'!Q87</f>
        <v/>
      </c>
      <c r="G126" s="75">
        <f>'Raw Data (KG)'!X126</f>
        <v/>
      </c>
      <c r="H126" s="75">
        <f>'Raw Data (KG)'!Y126</f>
        <v/>
      </c>
      <c r="I126" s="77">
        <f>'Raw Data (KG)'!V126</f>
        <v/>
      </c>
      <c r="J126" s="75">
        <f>'Raw Data (KG)'!U126</f>
        <v/>
      </c>
      <c r="K126" s="74">
        <f>'Raw Data (KG)'!J126+SUM('Raw Data (KG)'!L126:P126)+'Raw Data (KG)'!Z126</f>
        <v/>
      </c>
      <c r="L126" s="72">
        <f>SUM(B126:K126)</f>
        <v/>
      </c>
    </row>
    <row r="127">
      <c r="A127" s="792" t="n">
        <v>45261</v>
      </c>
      <c r="B127" s="75">
        <f>SUM('Raw Data (KG)'!D127:E127)</f>
        <v/>
      </c>
      <c r="C127" s="75">
        <f>SUM('Raw Data (KG)'!F127:G127)</f>
        <v/>
      </c>
      <c r="D127" s="73">
        <f>SUM('Raw Data (KG)'!H127:I127)</f>
        <v/>
      </c>
      <c r="E127" s="75">
        <f>'Raw Data (KG)'!K127</f>
        <v/>
      </c>
      <c r="F127" s="791">
        <f>'Raw Food Data (KG)'!Q88</f>
        <v/>
      </c>
      <c r="G127" s="75">
        <f>'Raw Data (KG)'!X127</f>
        <v/>
      </c>
      <c r="H127" s="75">
        <f>'Raw Data (KG)'!Y127</f>
        <v/>
      </c>
      <c r="I127" s="77">
        <f>'Raw Data (KG)'!V127</f>
        <v/>
      </c>
      <c r="J127" s="75">
        <f>'Raw Data (KG)'!U127</f>
        <v/>
      </c>
      <c r="K127" s="74">
        <f>'Raw Data (KG)'!J127+SUM('Raw Data (KG)'!L127:P127)+'Raw Data (KG)'!Z127</f>
        <v/>
      </c>
      <c r="L127" s="72">
        <f>SUM(B127:K127)</f>
        <v/>
      </c>
    </row>
    <row r="128">
      <c r="A128" s="792" t="n">
        <v>45292</v>
      </c>
      <c r="B128" s="75">
        <f>SUM('Raw Data (KG)'!D128:E128)</f>
        <v/>
      </c>
      <c r="C128" s="75">
        <f>SUM('Raw Data (KG)'!F128:G128)</f>
        <v/>
      </c>
      <c r="D128" s="73">
        <f>SUM('Raw Data (KG)'!H128:I128)</f>
        <v/>
      </c>
      <c r="E128" s="75">
        <f>'Raw Data (KG)'!K128</f>
        <v/>
      </c>
      <c r="F128" s="791">
        <f>'Raw Food Data (KG)'!Q89</f>
        <v/>
      </c>
      <c r="G128" s="75">
        <f>'Raw Data (KG)'!X128</f>
        <v/>
      </c>
      <c r="H128" s="75">
        <f>'Raw Data (KG)'!Y128</f>
        <v/>
      </c>
      <c r="I128" s="77">
        <f>'Raw Data (KG)'!V128</f>
        <v/>
      </c>
      <c r="J128" s="75">
        <f>'Raw Data (KG)'!U128</f>
        <v/>
      </c>
      <c r="K128" s="74">
        <f>'Raw Data (KG)'!J128+SUM('Raw Data (KG)'!L128:P128)+'Raw Data (KG)'!Z128</f>
        <v/>
      </c>
      <c r="L128" s="72">
        <f>SUM(B128:K128)</f>
        <v/>
      </c>
    </row>
    <row r="129">
      <c r="A129" s="792" t="n">
        <v>45323</v>
      </c>
      <c r="B129" s="75">
        <f>SUM('Raw Data (KG)'!D129:E129)</f>
        <v/>
      </c>
      <c r="C129" s="75">
        <f>SUM('Raw Data (KG)'!F129:G129)</f>
        <v/>
      </c>
      <c r="D129" s="73">
        <f>SUM('Raw Data (KG)'!H129:I129)</f>
        <v/>
      </c>
      <c r="E129" s="75">
        <f>'Raw Data (KG)'!K129</f>
        <v/>
      </c>
      <c r="F129" s="791">
        <f>'Raw Food Data (KG)'!Q90</f>
        <v/>
      </c>
      <c r="G129" s="75">
        <f>'Raw Data (KG)'!X129</f>
        <v/>
      </c>
      <c r="H129" s="75">
        <f>'Raw Data (KG)'!Y129</f>
        <v/>
      </c>
      <c r="I129" s="77">
        <f>'Raw Data (KG)'!V129</f>
        <v/>
      </c>
      <c r="J129" s="75">
        <f>'Raw Data (KG)'!U129</f>
        <v/>
      </c>
      <c r="K129" s="74">
        <f>'Raw Data (KG)'!J129+SUM('Raw Data (KG)'!L129:P129)+'Raw Data (KG)'!Z129</f>
        <v/>
      </c>
      <c r="L129" s="72">
        <f>SUM(B129:K129)</f>
        <v/>
      </c>
    </row>
    <row r="130">
      <c r="A130" s="792" t="n">
        <v>45352</v>
      </c>
      <c r="B130" s="75">
        <f>SUM('Raw Data (KG)'!D130:E130)</f>
        <v/>
      </c>
      <c r="C130" s="75">
        <f>SUM('Raw Data (KG)'!F130:G130)</f>
        <v/>
      </c>
      <c r="D130" s="73">
        <f>SUM('Raw Data (KG)'!H130:I130)</f>
        <v/>
      </c>
      <c r="E130" s="75">
        <f>'Raw Data (KG)'!K130</f>
        <v/>
      </c>
      <c r="F130" s="791">
        <f>'Raw Food Data (KG)'!Q91</f>
        <v/>
      </c>
      <c r="G130" s="75">
        <f>'Raw Data (KG)'!X130</f>
        <v/>
      </c>
      <c r="H130" s="75">
        <f>'Raw Data (KG)'!Y130</f>
        <v/>
      </c>
      <c r="I130" s="77">
        <f>'Raw Data (KG)'!V130</f>
        <v/>
      </c>
      <c r="J130" s="75">
        <f>'Raw Data (KG)'!U130</f>
        <v/>
      </c>
      <c r="K130" s="74">
        <f>'Raw Data (KG)'!J130+SUM('Raw Data (KG)'!L130:P130)+'Raw Data (KG)'!Z130</f>
        <v/>
      </c>
      <c r="L130" s="72">
        <f>SUM(B130:K130)</f>
        <v/>
      </c>
    </row>
    <row r="131">
      <c r="A131" s="792" t="n">
        <v>45383</v>
      </c>
      <c r="B131" s="75">
        <f>SUM('Raw Data (KG)'!D131:E131)</f>
        <v/>
      </c>
      <c r="C131" s="75">
        <f>SUM('Raw Data (KG)'!F131:G131)</f>
        <v/>
      </c>
      <c r="D131" s="73">
        <f>SUM('Raw Data (KG)'!H131:I131)</f>
        <v/>
      </c>
      <c r="E131" s="75">
        <f>'Raw Data (KG)'!K131</f>
        <v/>
      </c>
      <c r="F131" s="791">
        <f>'Raw Food Data (KG)'!Q92</f>
        <v/>
      </c>
      <c r="G131" s="75">
        <f>'Raw Data (KG)'!X131</f>
        <v/>
      </c>
      <c r="H131" s="75">
        <f>'Raw Data (KG)'!Y131</f>
        <v/>
      </c>
      <c r="I131" s="77">
        <f>'Raw Data (KG)'!V131</f>
        <v/>
      </c>
      <c r="J131" s="75">
        <f>'Raw Data (KG)'!U131</f>
        <v/>
      </c>
      <c r="K131" s="74">
        <f>'Raw Data (KG)'!J131+SUM('Raw Data (KG)'!L131:P131)+'Raw Data (KG)'!Z131</f>
        <v/>
      </c>
      <c r="L131" s="72">
        <f>SUM(B131:K131)</f>
        <v/>
      </c>
    </row>
    <row r="132">
      <c r="A132" s="792" t="n">
        <v>45413</v>
      </c>
      <c r="B132" s="75">
        <f>SUM('Raw Data (KG)'!D132:E132)</f>
        <v/>
      </c>
      <c r="C132" s="75">
        <f>SUM('Raw Data (KG)'!F132:G132)</f>
        <v/>
      </c>
      <c r="D132" s="73">
        <f>SUM('Raw Data (KG)'!H132:I132)</f>
        <v/>
      </c>
      <c r="E132" s="75">
        <f>'Raw Data (KG)'!K132</f>
        <v/>
      </c>
      <c r="F132" s="791">
        <f>'Raw Food Data (KG)'!Q93</f>
        <v/>
      </c>
      <c r="G132" s="75">
        <f>'Raw Data (KG)'!X132</f>
        <v/>
      </c>
      <c r="H132" s="75">
        <f>'Raw Data (KG)'!Y132</f>
        <v/>
      </c>
      <c r="I132" s="77">
        <f>'Raw Data (KG)'!V132</f>
        <v/>
      </c>
      <c r="J132" s="75">
        <f>'Raw Data (KG)'!U132</f>
        <v/>
      </c>
      <c r="K132" s="74">
        <f>'Raw Data (KG)'!J132+SUM('Raw Data (KG)'!L132:P132)+'Raw Data (KG)'!Z132</f>
        <v/>
      </c>
      <c r="L132" s="72">
        <f>SUM(B132:K132)</f>
        <v/>
      </c>
    </row>
    <row r="133">
      <c r="A133" s="792" t="n">
        <v>45444</v>
      </c>
      <c r="B133" s="75">
        <f>SUM('Raw Data (KG)'!D133:E133)</f>
        <v/>
      </c>
      <c r="C133" s="75">
        <f>SUM('Raw Data (KG)'!F133:G133)</f>
        <v/>
      </c>
      <c r="D133" s="73">
        <f>SUM('Raw Data (KG)'!H133:I133)</f>
        <v/>
      </c>
      <c r="E133" s="75">
        <f>'Raw Data (KG)'!K133</f>
        <v/>
      </c>
      <c r="F133" s="791">
        <f>'Raw Food Data (KG)'!Q94</f>
        <v/>
      </c>
      <c r="G133" s="75">
        <f>'Raw Data (KG)'!X133</f>
        <v/>
      </c>
      <c r="H133" s="75">
        <f>'Raw Data (KG)'!Y133</f>
        <v/>
      </c>
      <c r="I133" s="77">
        <f>'Raw Data (KG)'!V133</f>
        <v/>
      </c>
      <c r="J133" s="75">
        <f>'Raw Data (KG)'!U133</f>
        <v/>
      </c>
      <c r="K133" s="74">
        <f>'Raw Data (KG)'!J133+SUM('Raw Data (KG)'!L133:P133)+'Raw Data (KG)'!Z133</f>
        <v/>
      </c>
      <c r="L133" s="72">
        <f>SUM(B133:K133)</f>
        <v/>
      </c>
      <c r="M133" s="15">
        <f>SUM(L122:L133)</f>
        <v/>
      </c>
    </row>
    <row r="134">
      <c r="A134" s="792" t="n">
        <v>45474</v>
      </c>
      <c r="B134" s="9">
        <f>SUM('Raw Data (KG)'!D134:E134)</f>
        <v/>
      </c>
      <c r="C134" s="9">
        <f>SUM('Raw Data (KG)'!F134:G134)</f>
        <v/>
      </c>
      <c r="D134" s="8">
        <f>SUM('Raw Data (KG)'!H134:I134)</f>
        <v/>
      </c>
      <c r="E134" s="9">
        <f>'Raw Data (KG)'!K134</f>
        <v/>
      </c>
      <c r="F134" s="679">
        <f>'Raw Food Data (KG)'!Q95</f>
        <v/>
      </c>
      <c r="G134" s="9">
        <f>'Raw Data (KG)'!X134</f>
        <v/>
      </c>
      <c r="H134" s="9">
        <f>'Raw Data (KG)'!Y134</f>
        <v/>
      </c>
      <c r="I134" s="354">
        <f>'Raw Data (KG)'!V134</f>
        <v/>
      </c>
      <c r="J134" s="9">
        <f>'Raw Data (KG)'!U134</f>
        <v/>
      </c>
      <c r="K134" s="62">
        <f>'Raw Data (KG)'!J134+SUM('Raw Data (KG)'!L134:P134)+SUM('Raw Data (KG)'!R134:T134)+'Raw Data (KG)'!Z134</f>
        <v/>
      </c>
      <c r="L134" s="15">
        <f>SUM(B134:K134)</f>
        <v/>
      </c>
    </row>
    <row r="135">
      <c r="A135" s="792" t="n">
        <v>45505</v>
      </c>
      <c r="B135" s="9">
        <f>SUM('Raw Data (KG)'!D135:E135)</f>
        <v/>
      </c>
      <c r="C135" s="9">
        <f>SUM('Raw Data (KG)'!F135:G135)</f>
        <v/>
      </c>
      <c r="D135" s="8">
        <f>SUM('Raw Data (KG)'!H135:I135)</f>
        <v/>
      </c>
      <c r="E135" s="9">
        <f>'Raw Data (KG)'!K135</f>
        <v/>
      </c>
      <c r="F135" s="679">
        <f>'Raw Food Data (KG)'!Q96</f>
        <v/>
      </c>
      <c r="G135" s="9">
        <f>'Raw Data (KG)'!X135</f>
        <v/>
      </c>
      <c r="H135" s="9">
        <f>'Raw Data (KG)'!Y135</f>
        <v/>
      </c>
      <c r="I135" s="354">
        <f>'Raw Data (KG)'!V135</f>
        <v/>
      </c>
      <c r="J135" s="9">
        <f>'Raw Data (KG)'!U135</f>
        <v/>
      </c>
      <c r="K135" s="62">
        <f>'Raw Data (KG)'!J135+SUM('Raw Data (KG)'!L135:P135)+SUM('Raw Data (KG)'!R135:T135)+'Raw Data (KG)'!Z135</f>
        <v/>
      </c>
      <c r="L135" s="15">
        <f>SUM(B135:K135)</f>
        <v/>
      </c>
    </row>
    <row r="136">
      <c r="A136" s="792" t="n">
        <v>45536</v>
      </c>
      <c r="B136" s="9">
        <f>SUM('Raw Data (KG)'!D136:E136)</f>
        <v/>
      </c>
      <c r="C136" s="9">
        <f>SUM('Raw Data (KG)'!F136:G136)</f>
        <v/>
      </c>
      <c r="D136" s="8">
        <f>SUM('Raw Data (KG)'!H136:I136)</f>
        <v/>
      </c>
      <c r="E136" s="9">
        <f>'Raw Data (KG)'!K136</f>
        <v/>
      </c>
      <c r="F136" s="679">
        <f>'Raw Food Data (KG)'!Q97</f>
        <v/>
      </c>
      <c r="G136" s="9">
        <f>'Raw Data (KG)'!X136</f>
        <v/>
      </c>
      <c r="H136" s="9">
        <f>'Raw Data (KG)'!Y136</f>
        <v/>
      </c>
      <c r="I136" s="354">
        <f>'Raw Data (KG)'!V136</f>
        <v/>
      </c>
      <c r="J136" s="9">
        <f>'Raw Data (KG)'!U136</f>
        <v/>
      </c>
      <c r="K136" s="62">
        <f>'Raw Data (KG)'!J136+SUM('Raw Data (KG)'!L136:P136)+SUM('Raw Data (KG)'!R136:T136)+'Raw Data (KG)'!Z136</f>
        <v/>
      </c>
      <c r="L136" s="15">
        <f>SUM(B136:K136)</f>
        <v/>
      </c>
    </row>
    <row r="137">
      <c r="A137" s="792" t="n">
        <v>45566</v>
      </c>
      <c r="B137" s="9">
        <f>SUM('Raw Data (KG)'!D137:E137)</f>
        <v/>
      </c>
      <c r="C137" s="9">
        <f>SUM('Raw Data (KG)'!F137:G137)</f>
        <v/>
      </c>
      <c r="D137" s="8">
        <f>SUM('Raw Data (KG)'!H137:I137)</f>
        <v/>
      </c>
      <c r="E137" s="9">
        <f>'Raw Data (KG)'!K137</f>
        <v/>
      </c>
      <c r="F137" s="679">
        <f>'Raw Food Data (KG)'!Q98</f>
        <v/>
      </c>
      <c r="G137" s="9">
        <f>'Raw Data (KG)'!X137</f>
        <v/>
      </c>
      <c r="H137" s="9">
        <f>'Raw Data (KG)'!Y137</f>
        <v/>
      </c>
      <c r="I137" s="354">
        <f>'Raw Data (KG)'!V137</f>
        <v/>
      </c>
      <c r="J137" s="9">
        <f>'Raw Data (KG)'!U137</f>
        <v/>
      </c>
      <c r="K137" s="62">
        <f>'Raw Data (KG)'!J137+SUM('Raw Data (KG)'!L137:P137)+SUM('Raw Data (KG)'!R137:T137)+'Raw Data (KG)'!Z137</f>
        <v/>
      </c>
      <c r="L137" s="15">
        <f>SUM(B137:K137)</f>
        <v/>
      </c>
    </row>
    <row r="138">
      <c r="A138" s="792" t="n">
        <v>45597</v>
      </c>
      <c r="B138" s="9">
        <f>SUM('Raw Data (KG)'!D138:E138)</f>
        <v/>
      </c>
      <c r="C138" s="9">
        <f>SUM('Raw Data (KG)'!F138:G138)</f>
        <v/>
      </c>
      <c r="D138" s="8">
        <f>SUM('Raw Data (KG)'!H138:I138)</f>
        <v/>
      </c>
      <c r="E138" s="9">
        <f>'Raw Data (KG)'!K138</f>
        <v/>
      </c>
      <c r="F138" s="679">
        <f>'Raw Food Data (KG)'!Q99</f>
        <v/>
      </c>
      <c r="G138" s="9">
        <f>'Raw Data (KG)'!X138</f>
        <v/>
      </c>
      <c r="H138" s="9">
        <f>'Raw Data (KG)'!Y138</f>
        <v/>
      </c>
      <c r="I138" s="354">
        <f>'Raw Data (KG)'!V138</f>
        <v/>
      </c>
      <c r="J138" s="9">
        <f>'Raw Data (KG)'!U138</f>
        <v/>
      </c>
      <c r="K138" s="62">
        <f>'Raw Data (KG)'!J138+SUM('Raw Data (KG)'!L138:P138)+SUM('Raw Data (KG)'!R138:T138)+'Raw Data (KG)'!Z138</f>
        <v/>
      </c>
      <c r="L138" s="15">
        <f>SUM(B138:K138)</f>
        <v/>
      </c>
    </row>
    <row r="139">
      <c r="A139" s="792" t="n">
        <v>45627</v>
      </c>
      <c r="B139" s="9">
        <f>SUM('Raw Data (KG)'!D139:E139)</f>
        <v/>
      </c>
      <c r="C139" s="9">
        <f>SUM('Raw Data (KG)'!F139:G139)</f>
        <v/>
      </c>
      <c r="D139" s="8">
        <f>SUM('Raw Data (KG)'!H139:I139)</f>
        <v/>
      </c>
      <c r="E139" s="9">
        <f>'Raw Data (KG)'!K139</f>
        <v/>
      </c>
      <c r="F139" s="679">
        <f>'Raw Food Data (KG)'!Q100</f>
        <v/>
      </c>
      <c r="G139" s="9">
        <f>'Raw Data (KG)'!X139</f>
        <v/>
      </c>
      <c r="H139" s="9">
        <f>'Raw Data (KG)'!Y139</f>
        <v/>
      </c>
      <c r="I139" s="354">
        <f>'Raw Data (KG)'!V139</f>
        <v/>
      </c>
      <c r="J139" s="9">
        <f>'Raw Data (KG)'!U139</f>
        <v/>
      </c>
      <c r="K139" s="62">
        <f>'Raw Data (KG)'!J139+SUM('Raw Data (KG)'!L139:P139)+SUM('Raw Data (KG)'!R139:T139)+'Raw Data (KG)'!Z139</f>
        <v/>
      </c>
      <c r="L139" s="15">
        <f>SUM(B139:K139)</f>
        <v/>
      </c>
    </row>
    <row r="140">
      <c r="A140" s="371" t="n">
        <v>45658</v>
      </c>
      <c r="B140" s="9">
        <f>SUM('Raw Data (KG)'!D140:E140)</f>
        <v/>
      </c>
      <c r="C140" s="9">
        <f>SUM('Raw Data (KG)'!F140:G140)</f>
        <v/>
      </c>
      <c r="D140" s="8">
        <f>SUM('Raw Data (KG)'!H140:I140)</f>
        <v/>
      </c>
      <c r="E140" s="9">
        <f>'Raw Data (KG)'!K140</f>
        <v/>
      </c>
      <c r="F140" s="679">
        <f>'Raw Food Data (KG)'!Q101</f>
        <v/>
      </c>
      <c r="G140" s="9">
        <f>'Raw Data (KG)'!X140</f>
        <v/>
      </c>
      <c r="H140" s="9">
        <f>'Raw Data (KG)'!Y140</f>
        <v/>
      </c>
      <c r="I140" s="354">
        <f>'Raw Data (KG)'!V140</f>
        <v/>
      </c>
      <c r="J140" s="9">
        <f>'Raw Data (KG)'!U140</f>
        <v/>
      </c>
      <c r="K140" s="62">
        <f>'Raw Data (KG)'!J140+SUM('Raw Data (KG)'!L140:P140)+SUM('Raw Data (KG)'!R140:T140)+'Raw Data (KG)'!Z140</f>
        <v/>
      </c>
      <c r="L140" s="15">
        <f>SUM(B140:K140)</f>
        <v/>
      </c>
    </row>
    <row r="141">
      <c r="A141" s="371" t="n">
        <v>45689</v>
      </c>
      <c r="B141" s="9">
        <f>SUM('Raw Data (KG)'!D141:E141)</f>
        <v/>
      </c>
      <c r="C141" s="9">
        <f>SUM('Raw Data (KG)'!F141:G141)</f>
        <v/>
      </c>
      <c r="D141" s="8">
        <f>SUM('Raw Data (KG)'!H141:I141)</f>
        <v/>
      </c>
      <c r="E141" s="9">
        <f>'Raw Data (KG)'!K141</f>
        <v/>
      </c>
      <c r="F141" s="679">
        <f>'Raw Food Data (KG)'!Q102</f>
        <v/>
      </c>
      <c r="G141" s="9">
        <f>'Raw Data (KG)'!X141</f>
        <v/>
      </c>
      <c r="H141" s="9">
        <f>'Raw Data (KG)'!Y141</f>
        <v/>
      </c>
      <c r="I141" s="354">
        <f>'Raw Data (KG)'!V141</f>
        <v/>
      </c>
      <c r="J141" s="9">
        <f>'Raw Data (KG)'!U141</f>
        <v/>
      </c>
      <c r="K141" s="62">
        <f>'Raw Data (KG)'!J141+SUM('Raw Data (KG)'!L141:P141)+SUM('Raw Data (KG)'!R141:T141)+'Raw Data (KG)'!Z141</f>
        <v/>
      </c>
      <c r="L141" s="15">
        <f>SUM(B141:K141)</f>
        <v/>
      </c>
    </row>
    <row r="142">
      <c r="A142" s="371" t="n">
        <v>45717</v>
      </c>
      <c r="B142" s="9">
        <f>SUM('Raw Data (KG)'!D142:E142)</f>
        <v/>
      </c>
      <c r="C142" s="9">
        <f>SUM('Raw Data (KG)'!F142:G142)</f>
        <v/>
      </c>
      <c r="D142" s="8">
        <f>SUM('Raw Data (KG)'!H142:I142)</f>
        <v/>
      </c>
      <c r="E142" s="9">
        <f>'Raw Data (KG)'!K142</f>
        <v/>
      </c>
      <c r="F142" s="679">
        <f>'Raw Food Data (KG)'!Q103</f>
        <v/>
      </c>
      <c r="G142" s="9">
        <f>'Raw Data (KG)'!X142</f>
        <v/>
      </c>
      <c r="H142" s="9">
        <f>'Raw Data (KG)'!Y142</f>
        <v/>
      </c>
      <c r="I142" s="354">
        <f>'Raw Data (KG)'!V142</f>
        <v/>
      </c>
      <c r="J142" s="9">
        <f>'Raw Data (KG)'!U142</f>
        <v/>
      </c>
      <c r="K142" s="62">
        <f>'Raw Data (KG)'!J142+SUM('Raw Data (KG)'!L142:P142)+SUM('Raw Data (KG)'!R142:T142)+'Raw Data (KG)'!Z142</f>
        <v/>
      </c>
      <c r="L142" s="15">
        <f>SUM(B142:K142)</f>
        <v/>
      </c>
      <c r="O142" s="14" t="n"/>
    </row>
    <row r="143">
      <c r="A143" s="371" t="n">
        <v>45748</v>
      </c>
      <c r="B143" s="9">
        <f>SUM('Raw Data (KG)'!D143:E143)</f>
        <v/>
      </c>
      <c r="C143" s="9">
        <f>SUM('Raw Data (KG)'!F143:G143)</f>
        <v/>
      </c>
      <c r="D143" s="8">
        <f>SUM('Raw Data (KG)'!H143:I143)</f>
        <v/>
      </c>
      <c r="E143" s="9">
        <f>'Raw Data (KG)'!K143</f>
        <v/>
      </c>
      <c r="F143" s="679">
        <f>'Raw Food Data (KG)'!Q104</f>
        <v/>
      </c>
      <c r="G143" s="9">
        <f>'Raw Data (KG)'!X143</f>
        <v/>
      </c>
      <c r="H143" s="9">
        <f>'Raw Data (KG)'!Y143</f>
        <v/>
      </c>
      <c r="I143" s="354">
        <f>'Raw Data (KG)'!V143</f>
        <v/>
      </c>
      <c r="J143" s="9">
        <f>'Raw Data (KG)'!U143</f>
        <v/>
      </c>
      <c r="K143" s="62">
        <f>'Raw Data (KG)'!J143+SUM('Raw Data (KG)'!L143:P143)+SUM('Raw Data (KG)'!R143:T143)+'Raw Data (KG)'!Z143</f>
        <v/>
      </c>
      <c r="L143" s="15">
        <f>SUM(B143:K143)</f>
        <v/>
      </c>
    </row>
    <row r="144">
      <c r="A144" s="371" t="n">
        <v>45778</v>
      </c>
      <c r="B144" s="9">
        <f>SUM('Raw Data (KG)'!D144:E144)</f>
        <v/>
      </c>
      <c r="C144" s="9">
        <f>SUM('Raw Data (KG)'!F144:G144)</f>
        <v/>
      </c>
      <c r="D144" s="8">
        <f>SUM('Raw Data (KG)'!H144:I144)</f>
        <v/>
      </c>
      <c r="E144" s="9">
        <f>'Raw Data (KG)'!K144</f>
        <v/>
      </c>
      <c r="F144" s="679">
        <f>'Raw Food Data (KG)'!Q105</f>
        <v/>
      </c>
      <c r="G144" s="9">
        <f>'Raw Data (KG)'!X144</f>
        <v/>
      </c>
      <c r="H144" s="9">
        <f>'Raw Data (KG)'!Y144</f>
        <v/>
      </c>
      <c r="I144" s="354">
        <f>'Raw Data (KG)'!V144</f>
        <v/>
      </c>
      <c r="J144" s="9">
        <f>'Raw Data (KG)'!U144</f>
        <v/>
      </c>
      <c r="K144" s="62">
        <f>'Raw Data (KG)'!J144+SUM('Raw Data (KG)'!L144:P144)+SUM('Raw Data (KG)'!R144:T144)+'Raw Data (KG)'!Z144</f>
        <v/>
      </c>
      <c r="L144" s="15">
        <f>SUM(B144:K144)</f>
        <v/>
      </c>
    </row>
    <row r="145">
      <c r="A145" s="371" t="n">
        <v>45809</v>
      </c>
      <c r="B145" s="9">
        <f>SUM('Raw Data (KG)'!D145:E145)</f>
        <v/>
      </c>
      <c r="C145" s="9">
        <f>SUM('Raw Data (KG)'!F145:G145)</f>
        <v/>
      </c>
      <c r="D145" s="8">
        <f>SUM('Raw Data (KG)'!H145:I145)</f>
        <v/>
      </c>
      <c r="E145" s="9">
        <f>'Raw Data (KG)'!K145</f>
        <v/>
      </c>
      <c r="F145" s="679">
        <f>'Raw Food Data (KG)'!Q106</f>
        <v/>
      </c>
      <c r="G145" s="9">
        <f>'Raw Data (KG)'!X145</f>
        <v/>
      </c>
      <c r="H145" s="9">
        <f>'Raw Data (KG)'!Y145</f>
        <v/>
      </c>
      <c r="I145" s="354">
        <f>'Raw Data (KG)'!V145</f>
        <v/>
      </c>
      <c r="J145" s="9">
        <f>'Raw Data (KG)'!U145</f>
        <v/>
      </c>
      <c r="K145" s="62">
        <f>'Raw Data (KG)'!J145+SUM('Raw Data (KG)'!L145:P145)+SUM('Raw Data (KG)'!R145:T145)+'Raw Data (KG)'!Z145</f>
        <v/>
      </c>
      <c r="L145" s="15">
        <f>SUM(B145:K145)</f>
        <v/>
      </c>
    </row>
    <row r="146">
      <c r="A146" s="371" t="n">
        <v>45839</v>
      </c>
      <c r="B146" s="9">
        <f>SUM('Raw Data (KG)'!D146:E146)</f>
        <v/>
      </c>
      <c r="C146" s="9">
        <f>SUM('Raw Data (KG)'!F146:G146)</f>
        <v/>
      </c>
      <c r="D146" s="8">
        <f>SUM('Raw Data (KG)'!H146:I146)</f>
        <v/>
      </c>
      <c r="E146" s="9">
        <f>'Raw Data (KG)'!K146</f>
        <v/>
      </c>
      <c r="F146" s="679">
        <f>'Raw Food Data (KG)'!Q107</f>
        <v/>
      </c>
      <c r="G146" s="9">
        <f>'Raw Data (KG)'!X146</f>
        <v/>
      </c>
      <c r="H146" s="9">
        <f>'Raw Data (KG)'!Y146</f>
        <v/>
      </c>
      <c r="I146" s="354">
        <f>'Raw Data (KG)'!V146</f>
        <v/>
      </c>
      <c r="J146" s="9">
        <f>'Raw Data (KG)'!U146</f>
        <v/>
      </c>
      <c r="K146" s="62">
        <f>'Raw Data (KG)'!J146+SUM('Raw Data (KG)'!L146:P146)+SUM('Raw Data (KG)'!R146:T146)+'Raw Data (KG)'!Z146</f>
        <v/>
      </c>
      <c r="L146" s="15">
        <f>SUM(B146:K146)</f>
        <v/>
      </c>
    </row>
    <row r="147">
      <c r="A147" s="371" t="n">
        <v>45870</v>
      </c>
      <c r="B147" s="9">
        <f>SUM('Raw Data (KG)'!D147:E147)</f>
        <v/>
      </c>
      <c r="C147" s="9">
        <f>SUM('Raw Data (KG)'!F147:G147)</f>
        <v/>
      </c>
      <c r="D147" s="8">
        <f>SUM('Raw Data (KG)'!H147:I147)</f>
        <v/>
      </c>
      <c r="E147" s="9">
        <f>'Raw Data (KG)'!K147</f>
        <v/>
      </c>
      <c r="F147" s="679">
        <f>'Raw Food Data (KG)'!Q108</f>
        <v/>
      </c>
      <c r="G147" s="9">
        <f>'Raw Data (KG)'!X147</f>
        <v/>
      </c>
      <c r="H147" s="9">
        <f>'Raw Data (KG)'!Y147</f>
        <v/>
      </c>
      <c r="I147" s="354">
        <f>'Raw Data (KG)'!V147</f>
        <v/>
      </c>
      <c r="J147" s="9">
        <f>'Raw Data (KG)'!U147</f>
        <v/>
      </c>
      <c r="K147" s="62">
        <f>'Raw Data (KG)'!J147+SUM('Raw Data (KG)'!L147:P147)+SUM('Raw Data (KG)'!R147:T147)+'Raw Data (KG)'!Z147</f>
        <v/>
      </c>
      <c r="L147" s="15">
        <f>SUM(B147:K147)</f>
        <v/>
      </c>
    </row>
    <row r="148">
      <c r="A148" s="371" t="n">
        <v>45901</v>
      </c>
      <c r="B148" s="9">
        <f>SUM('Raw Data (KG)'!D148:E148)</f>
        <v/>
      </c>
      <c r="C148" s="9">
        <f>SUM('Raw Data (KG)'!F148:G148)</f>
        <v/>
      </c>
      <c r="D148" s="8">
        <f>SUM('Raw Data (KG)'!H148:I148)</f>
        <v/>
      </c>
      <c r="E148" s="9">
        <f>'Raw Data (KG)'!K148</f>
        <v/>
      </c>
      <c r="F148" s="679">
        <f>'Raw Food Data (KG)'!Q109</f>
        <v/>
      </c>
      <c r="G148" s="9">
        <f>'Raw Data (KG)'!X148</f>
        <v/>
      </c>
      <c r="H148" s="9">
        <f>'Raw Data (KG)'!Y148</f>
        <v/>
      </c>
      <c r="I148" s="354">
        <f>'Raw Data (KG)'!V148</f>
        <v/>
      </c>
      <c r="J148" s="9">
        <f>'Raw Data (KG)'!U148</f>
        <v/>
      </c>
      <c r="K148" s="62">
        <f>'Raw Data (KG)'!J148+SUM('Raw Data (KG)'!L148:P148)+SUM('Raw Data (KG)'!R148:T148)+'Raw Data (KG)'!Z148</f>
        <v/>
      </c>
      <c r="L148" s="15">
        <f>SUM(B148:K148)</f>
        <v/>
      </c>
    </row>
    <row r="149">
      <c r="A149" s="371" t="n">
        <v>45931</v>
      </c>
      <c r="B149" s="9">
        <f>SUM('Raw Data (KG)'!D149:E149)</f>
        <v/>
      </c>
      <c r="C149" s="9">
        <f>SUM('Raw Data (KG)'!F149:G149)</f>
        <v/>
      </c>
      <c r="D149" s="8">
        <f>SUM('Raw Data (KG)'!H149:I149)</f>
        <v/>
      </c>
      <c r="E149" s="9">
        <f>'Raw Data (KG)'!K149</f>
        <v/>
      </c>
      <c r="F149" s="679">
        <f>'Raw Food Data (KG)'!Q110</f>
        <v/>
      </c>
      <c r="G149" s="9">
        <f>'Raw Data (KG)'!X149</f>
        <v/>
      </c>
      <c r="H149" s="9">
        <f>'Raw Data (KG)'!Y149</f>
        <v/>
      </c>
      <c r="I149" s="354">
        <f>'Raw Data (KG)'!V149</f>
        <v/>
      </c>
      <c r="J149" s="9">
        <f>'Raw Data (KG)'!U149</f>
        <v/>
      </c>
      <c r="K149" s="62">
        <f>'Raw Data (KG)'!J149+SUM('Raw Data (KG)'!L149:P149)+SUM('Raw Data (KG)'!R149:T149)+'Raw Data (KG)'!Z149</f>
        <v/>
      </c>
      <c r="L149" s="15">
        <f>SUM(B149:K149)</f>
        <v/>
      </c>
    </row>
    <row r="150">
      <c r="A150" s="371" t="n">
        <v>45962</v>
      </c>
      <c r="B150" s="9">
        <f>SUM('Raw Data (KG)'!D150:E150)</f>
        <v/>
      </c>
      <c r="C150" s="9">
        <f>SUM('Raw Data (KG)'!F150:G150)</f>
        <v/>
      </c>
      <c r="D150" s="8">
        <f>SUM('Raw Data (KG)'!H150:I150)</f>
        <v/>
      </c>
      <c r="E150" s="9">
        <f>'Raw Data (KG)'!K150</f>
        <v/>
      </c>
      <c r="F150" s="679">
        <f>'Raw Food Data (KG)'!Q111</f>
        <v/>
      </c>
      <c r="G150" s="9">
        <f>'Raw Data (KG)'!X150</f>
        <v/>
      </c>
      <c r="H150" s="9">
        <f>'Raw Data (KG)'!Y150</f>
        <v/>
      </c>
      <c r="I150" s="354">
        <f>'Raw Data (KG)'!V150</f>
        <v/>
      </c>
      <c r="J150" s="9">
        <f>'Raw Data (KG)'!U150</f>
        <v/>
      </c>
      <c r="K150" s="62">
        <f>'Raw Data (KG)'!J150+SUM('Raw Data (KG)'!L150:P150)+SUM('Raw Data (KG)'!R150:T150)+'Raw Data (KG)'!Z150</f>
        <v/>
      </c>
      <c r="L150" s="15">
        <f>SUM(B150:K150)</f>
        <v/>
      </c>
    </row>
    <row r="151">
      <c r="A151" s="371" t="n">
        <v>45992</v>
      </c>
      <c r="B151" s="9">
        <f>SUM('Raw Data (KG)'!D151:E151)</f>
        <v/>
      </c>
      <c r="C151" s="9">
        <f>SUM('Raw Data (KG)'!F151:G151)</f>
        <v/>
      </c>
      <c r="D151" s="8">
        <f>SUM('Raw Data (KG)'!H151:I151)</f>
        <v/>
      </c>
      <c r="E151" s="9">
        <f>'Raw Data (KG)'!K151</f>
        <v/>
      </c>
      <c r="F151" s="679">
        <f>'Raw Food Data (KG)'!Q112</f>
        <v/>
      </c>
      <c r="G151" s="9">
        <f>'Raw Data (KG)'!X151</f>
        <v/>
      </c>
      <c r="H151" s="9">
        <f>'Raw Data (KG)'!Y151</f>
        <v/>
      </c>
      <c r="I151" s="354">
        <f>'Raw Data (KG)'!V151</f>
        <v/>
      </c>
      <c r="J151" s="9">
        <f>'Raw Data (KG)'!U151</f>
        <v/>
      </c>
      <c r="K151" s="62">
        <f>'Raw Data (KG)'!J151+SUM('Raw Data (KG)'!L151:P151)+SUM('Raw Data (KG)'!R151:T151)+'Raw Data (KG)'!Z151</f>
        <v/>
      </c>
      <c r="L151" s="15">
        <f>SUM(B151:K151)</f>
        <v/>
      </c>
    </row>
    <row r="152">
      <c r="A152" s="371" t="n">
        <v>46023</v>
      </c>
      <c r="B152" s="9">
        <f>SUM('Raw Data (KG)'!D152:E152)</f>
        <v/>
      </c>
      <c r="C152" s="9">
        <f>SUM('Raw Data (KG)'!F152:G152)</f>
        <v/>
      </c>
      <c r="D152" s="8">
        <f>SUM('Raw Data (KG)'!H152:I152)</f>
        <v/>
      </c>
      <c r="E152" s="9">
        <f>'Raw Data (KG)'!K152</f>
        <v/>
      </c>
      <c r="F152" s="679">
        <f>'Raw Food Data (KG)'!Q113</f>
        <v/>
      </c>
      <c r="G152" s="9">
        <f>'Raw Data (KG)'!X152</f>
        <v/>
      </c>
      <c r="H152" s="9">
        <f>'Raw Data (KG)'!Y152</f>
        <v/>
      </c>
      <c r="I152" s="354">
        <f>'Raw Data (KG)'!V152</f>
        <v/>
      </c>
      <c r="J152" s="9">
        <f>'Raw Data (KG)'!U152</f>
        <v/>
      </c>
      <c r="K152" s="62">
        <f>'Raw Data (KG)'!J152+SUM('Raw Data (KG)'!L152:P152)+SUM('Raw Data (KG)'!R152:T152)+'Raw Data (KG)'!Z152</f>
        <v/>
      </c>
      <c r="L152" s="15">
        <f>SUM(B152:K152)</f>
        <v/>
      </c>
    </row>
    <row r="153">
      <c r="A153" s="371" t="n">
        <v>46054</v>
      </c>
      <c r="B153" s="9">
        <f>SUM('Raw Data (KG)'!D153:E153)</f>
        <v/>
      </c>
      <c r="C153" s="9">
        <f>SUM('Raw Data (KG)'!F153:G153)</f>
        <v/>
      </c>
      <c r="D153" s="8">
        <f>SUM('Raw Data (KG)'!H153:I153)</f>
        <v/>
      </c>
      <c r="E153" s="9">
        <f>'Raw Data (KG)'!K153</f>
        <v/>
      </c>
      <c r="F153" s="679">
        <f>'Raw Food Data (KG)'!Q114</f>
        <v/>
      </c>
      <c r="G153" s="9">
        <f>'Raw Data (KG)'!X153</f>
        <v/>
      </c>
      <c r="H153" s="9">
        <f>'Raw Data (KG)'!Y153</f>
        <v/>
      </c>
      <c r="I153" s="354">
        <f>'Raw Data (KG)'!V153</f>
        <v/>
      </c>
      <c r="J153" s="9">
        <f>'Raw Data (KG)'!U153</f>
        <v/>
      </c>
      <c r="K153" s="62">
        <f>'Raw Data (KG)'!J153+SUM('Raw Data (KG)'!L153:P153)+SUM('Raw Data (KG)'!R153:T153)+'Raw Data (KG)'!Z153</f>
        <v/>
      </c>
      <c r="L153" s="15">
        <f>SUM(B153:K153)</f>
        <v/>
      </c>
    </row>
    <row r="154">
      <c r="A154" s="371" t="n">
        <v>46082</v>
      </c>
      <c r="B154" s="9">
        <f>SUM('Raw Data (KG)'!D154:E154)</f>
        <v/>
      </c>
      <c r="C154" s="9">
        <f>SUM('Raw Data (KG)'!F154:G154)</f>
        <v/>
      </c>
      <c r="D154" s="8">
        <f>SUM('Raw Data (KG)'!H154:I154)</f>
        <v/>
      </c>
      <c r="E154" s="9">
        <f>'Raw Data (KG)'!K154</f>
        <v/>
      </c>
      <c r="F154" s="679">
        <f>'Raw Food Data (KG)'!Q115</f>
        <v/>
      </c>
      <c r="G154" s="9">
        <f>'Raw Data (KG)'!X154</f>
        <v/>
      </c>
      <c r="H154" s="9">
        <f>'Raw Data (KG)'!Y154</f>
        <v/>
      </c>
      <c r="I154" s="354">
        <f>'Raw Data (KG)'!V154</f>
        <v/>
      </c>
      <c r="J154" s="9">
        <f>'Raw Data (KG)'!U154</f>
        <v/>
      </c>
      <c r="K154" s="62">
        <f>'Raw Data (KG)'!J154+SUM('Raw Data (KG)'!L154:P154)+SUM('Raw Data (KG)'!R154:T154)+'Raw Data (KG)'!Z154</f>
        <v/>
      </c>
      <c r="L154" s="15">
        <f>SUM(B154:K154)</f>
        <v/>
      </c>
    </row>
    <row r="155">
      <c r="A155" s="371" t="n">
        <v>46113</v>
      </c>
      <c r="B155" s="9">
        <f>SUM('Raw Data (KG)'!D155:E155)</f>
        <v/>
      </c>
      <c r="C155" s="9">
        <f>SUM('Raw Data (KG)'!F155:G155)</f>
        <v/>
      </c>
      <c r="D155" s="8">
        <f>SUM('Raw Data (KG)'!H155:I155)</f>
        <v/>
      </c>
      <c r="E155" s="9">
        <f>'Raw Data (KG)'!K155</f>
        <v/>
      </c>
      <c r="F155" s="679">
        <f>'Raw Food Data (KG)'!Q116</f>
        <v/>
      </c>
      <c r="G155" s="9">
        <f>'Raw Data (KG)'!X155</f>
        <v/>
      </c>
      <c r="H155" s="9">
        <f>'Raw Data (KG)'!Y155</f>
        <v/>
      </c>
      <c r="I155" s="354">
        <f>'Raw Data (KG)'!V155</f>
        <v/>
      </c>
      <c r="J155" s="9">
        <f>'Raw Data (KG)'!U155</f>
        <v/>
      </c>
      <c r="K155" s="62">
        <f>'Raw Data (KG)'!J155+SUM('Raw Data (KG)'!L155:P155)+SUM('Raw Data (KG)'!R155:T155)+'Raw Data (KG)'!Z155</f>
        <v/>
      </c>
      <c r="L155" s="15">
        <f>SUM(B155:K155)</f>
        <v/>
      </c>
    </row>
    <row r="156">
      <c r="A156" s="371" t="n">
        <v>46143</v>
      </c>
      <c r="B156" s="9">
        <f>SUM('Raw Data (KG)'!D156:E156)</f>
        <v/>
      </c>
      <c r="C156" s="9">
        <f>SUM('Raw Data (KG)'!F156:G156)</f>
        <v/>
      </c>
      <c r="D156" s="8">
        <f>SUM('Raw Data (KG)'!H156:I156)</f>
        <v/>
      </c>
      <c r="E156" s="9">
        <f>'Raw Data (KG)'!K156</f>
        <v/>
      </c>
      <c r="F156" s="679">
        <f>'Raw Food Data (KG)'!Q117</f>
        <v/>
      </c>
      <c r="G156" s="9">
        <f>'Raw Data (KG)'!X156</f>
        <v/>
      </c>
      <c r="H156" s="9">
        <f>'Raw Data (KG)'!Y156</f>
        <v/>
      </c>
      <c r="I156" s="354">
        <f>'Raw Data (KG)'!V156</f>
        <v/>
      </c>
      <c r="J156" s="9">
        <f>'Raw Data (KG)'!U156</f>
        <v/>
      </c>
      <c r="K156" s="62">
        <f>'Raw Data (KG)'!J156+SUM('Raw Data (KG)'!L156:P156)+SUM('Raw Data (KG)'!R156:T156)+'Raw Data (KG)'!Z156</f>
        <v/>
      </c>
      <c r="L156" s="15">
        <f>SUM(B156:K156)</f>
        <v/>
      </c>
    </row>
    <row r="157">
      <c r="A157" s="371" t="n">
        <v>46174</v>
      </c>
    </row>
    <row r="158">
      <c r="A158" s="371" t="n">
        <v>46204</v>
      </c>
    </row>
    <row r="159">
      <c r="A159" s="371" t="n">
        <v>46235</v>
      </c>
    </row>
  </sheetData>
  <mergeCells count="1">
    <mergeCell ref="O1:P1"/>
  </mergeCells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15" sqref="Q15:Q17"/>
    </sheetView>
  </sheetViews>
  <sheetFormatPr baseColWidth="10" defaultColWidth="8.6640625" defaultRowHeight="16"/>
  <cols>
    <col width="13.33203125" customWidth="1" style="13" min="1" max="1"/>
    <col width="15.6640625" customWidth="1" style="1" min="2" max="2"/>
    <col width="10.83203125" customWidth="1" style="1" min="3" max="5"/>
    <col width="13.33203125" customWidth="1" style="1" min="6" max="10"/>
    <col width="25.6640625" customWidth="1" style="1" min="11" max="11"/>
    <col width="15.6640625" customWidth="1" style="1" min="12" max="13"/>
    <col width="11" customWidth="1" style="1" min="14" max="14"/>
    <col width="14.33203125" customWidth="1" style="1" min="15" max="15"/>
    <col width="10.83203125" customWidth="1" style="1" min="16" max="17"/>
    <col width="8.5" bestFit="1" customWidth="1" style="1" min="18" max="18"/>
    <col width="8.6640625" customWidth="1" style="1" min="19" max="16384"/>
  </cols>
  <sheetData>
    <row r="1" ht="68" customFormat="1" customHeight="1" s="18">
      <c r="A1" s="17" t="inlineStr">
        <is>
          <t>Date</t>
        </is>
      </c>
      <c r="B1" s="17" t="inlineStr">
        <is>
          <t>Paper</t>
        </is>
      </c>
      <c r="C1" s="17" t="inlineStr">
        <is>
          <t>Metal</t>
        </is>
      </c>
      <c r="D1" s="17" t="inlineStr">
        <is>
          <t>Plastic</t>
        </is>
      </c>
      <c r="E1" s="17" t="inlineStr">
        <is>
          <t>Glass</t>
        </is>
      </c>
      <c r="F1" s="17" t="inlineStr">
        <is>
          <t>Food Waste</t>
        </is>
      </c>
      <c r="G1" s="17" t="inlineStr">
        <is>
          <t>Animal Bedding</t>
        </is>
      </c>
      <c r="H1" s="17" t="inlineStr">
        <is>
          <t>Landscape</t>
        </is>
      </c>
      <c r="I1" s="17" t="inlineStr">
        <is>
          <t>Wood</t>
        </is>
      </c>
      <c r="J1" s="17" t="inlineStr">
        <is>
          <t>Electrical Appliance</t>
        </is>
      </c>
      <c r="K1" s="17" t="inlineStr">
        <is>
          <t>Other (clothes, florescent tube+bulb, rechargable battery, toner, ink cartridge, tetra packs)</t>
        </is>
      </c>
      <c r="L1" s="17" t="inlineStr">
        <is>
          <t>Landfill</t>
        </is>
      </c>
      <c r="M1" s="17" t="inlineStr">
        <is>
          <t>Total Recycling</t>
        </is>
      </c>
      <c r="N1" s="17" t="inlineStr">
        <is>
          <t>Waste Per Capita</t>
        </is>
      </c>
      <c r="O1" s="17" t="inlineStr">
        <is>
          <t>Waste Per GFA</t>
        </is>
      </c>
      <c r="P1" s="18" t="inlineStr">
        <is>
          <t>Diversion Rate</t>
        </is>
      </c>
      <c r="Q1" s="18" t="inlineStr">
        <is>
          <t>Reduction Rate</t>
        </is>
      </c>
    </row>
    <row r="2">
      <c r="A2" s="373" t="inlineStr">
        <is>
          <t>2010/11</t>
        </is>
      </c>
      <c r="B2" s="62" t="n">
        <v>170720</v>
      </c>
      <c r="C2" s="8" t="n">
        <v>202</v>
      </c>
      <c r="D2" s="9" t="n">
        <v>1713</v>
      </c>
      <c r="E2" s="8" t="n"/>
      <c r="F2" s="8" t="n"/>
      <c r="G2" s="8" t="n"/>
      <c r="H2" s="8" t="n"/>
      <c r="I2" s="8" t="n"/>
      <c r="J2" s="8" t="n"/>
      <c r="K2" s="8" t="n"/>
      <c r="L2" s="8" t="n"/>
      <c r="M2" s="679" t="n"/>
    </row>
    <row r="3">
      <c r="A3" s="373" t="inlineStr">
        <is>
          <t>2011/12</t>
        </is>
      </c>
      <c r="B3" s="62" t="n">
        <v>111620</v>
      </c>
      <c r="C3" s="8" t="n">
        <v>135</v>
      </c>
      <c r="D3" s="9" t="n">
        <v>1500</v>
      </c>
      <c r="E3" s="8" t="n"/>
      <c r="F3" s="8" t="n"/>
      <c r="G3" s="8" t="n"/>
      <c r="H3" s="8" t="n"/>
      <c r="I3" s="8" t="n"/>
      <c r="J3" s="8" t="n"/>
      <c r="K3" s="8" t="n"/>
      <c r="L3" s="8" t="n"/>
      <c r="M3" s="679" t="n"/>
    </row>
    <row r="4">
      <c r="A4" s="373" t="inlineStr">
        <is>
          <t>2012/13</t>
        </is>
      </c>
      <c r="B4" s="62" t="n">
        <v>89515</v>
      </c>
      <c r="C4" s="8" t="n">
        <v>1260</v>
      </c>
      <c r="D4" s="9" t="n">
        <v>3088</v>
      </c>
      <c r="E4" s="8" t="n"/>
      <c r="F4" s="8" t="n"/>
      <c r="G4" s="8" t="n"/>
      <c r="H4" s="8" t="n"/>
      <c r="I4" s="8" t="n"/>
      <c r="J4" s="8" t="n"/>
      <c r="K4" s="8" t="n"/>
      <c r="L4" s="8" t="n"/>
      <c r="M4" s="679" t="n"/>
    </row>
    <row r="5">
      <c r="A5" s="373" t="inlineStr">
        <is>
          <t>2013/14</t>
        </is>
      </c>
      <c r="B5" s="62" t="n">
        <v>79200</v>
      </c>
      <c r="C5" s="9" t="n">
        <v>2309</v>
      </c>
      <c r="D5" s="9" t="n">
        <v>5110</v>
      </c>
      <c r="E5" s="185" t="n"/>
      <c r="F5" s="8" t="n"/>
      <c r="G5" s="9" t="n"/>
      <c r="H5" s="9" t="n"/>
      <c r="I5" s="9" t="n"/>
      <c r="J5" s="374" t="n"/>
      <c r="K5" s="8" t="n"/>
      <c r="L5" s="9" t="n"/>
      <c r="M5" s="679" t="n"/>
    </row>
    <row r="6">
      <c r="A6" s="545" t="inlineStr">
        <is>
          <t>2014/15</t>
        </is>
      </c>
      <c r="B6" s="62" t="n">
        <v>76830</v>
      </c>
      <c r="C6" s="9" t="n">
        <v>2370</v>
      </c>
      <c r="D6" s="9" t="n">
        <v>4940</v>
      </c>
      <c r="E6" s="185" t="n">
        <v>11567</v>
      </c>
      <c r="F6" s="8" t="n">
        <v>2851</v>
      </c>
      <c r="G6" s="9" t="n">
        <v>0</v>
      </c>
      <c r="H6" s="9" t="n">
        <v>0</v>
      </c>
      <c r="I6" s="9" t="n">
        <v>0</v>
      </c>
      <c r="J6" s="374" t="n">
        <v>10000</v>
      </c>
      <c r="K6" s="62" t="n">
        <v>5568.660999999993</v>
      </c>
      <c r="L6" s="9" t="n">
        <v>3322000</v>
      </c>
      <c r="M6" s="9">
        <f>SUM(B6:K6)</f>
        <v/>
      </c>
      <c r="N6" s="546">
        <f>L6/'Yearly GHG (mCO2)'!G6</f>
        <v/>
      </c>
      <c r="O6" s="793">
        <f>L6/'Yearly GHG (mCO2)'!H6</f>
        <v/>
      </c>
      <c r="P6" s="202">
        <f>M6/(M6+L6)</f>
        <v/>
      </c>
    </row>
    <row r="7">
      <c r="A7" s="373" t="inlineStr">
        <is>
          <t>2015/16</t>
        </is>
      </c>
      <c r="B7" s="62" t="n">
        <v>73386.84999800001</v>
      </c>
      <c r="C7" s="9" t="n">
        <v>2020</v>
      </c>
      <c r="D7" s="9" t="n">
        <v>5530</v>
      </c>
      <c r="E7" s="185" t="n">
        <v>20945</v>
      </c>
      <c r="F7" s="8" t="n">
        <v>7846.000000000001</v>
      </c>
      <c r="G7" s="9" t="n">
        <v>0</v>
      </c>
      <c r="H7" s="9" t="n">
        <v>0</v>
      </c>
      <c r="I7" s="9" t="n">
        <v>0</v>
      </c>
      <c r="J7" s="374" t="n">
        <v>18400</v>
      </c>
      <c r="K7" s="62" t="n">
        <v>6179.601999999999</v>
      </c>
      <c r="L7" s="9" t="n">
        <v>3187000</v>
      </c>
      <c r="M7" s="9">
        <f>SUM(B7:K7)</f>
        <v/>
      </c>
      <c r="N7" s="546">
        <f>L7/'Yearly GHG (mCO2)'!G7</f>
        <v/>
      </c>
      <c r="O7" s="793">
        <f>L7/'Yearly GHG (mCO2)'!H7</f>
        <v/>
      </c>
      <c r="P7" s="202">
        <f>M7/(M7+L7)</f>
        <v/>
      </c>
      <c r="Q7" s="202">
        <f>(L7-L6)/L6</f>
        <v/>
      </c>
    </row>
    <row r="8">
      <c r="A8" s="373" t="inlineStr">
        <is>
          <t>2016/17</t>
        </is>
      </c>
      <c r="B8" s="62" t="n">
        <v>126070.099999</v>
      </c>
      <c r="C8" s="9" t="n">
        <v>2990</v>
      </c>
      <c r="D8" s="9" t="n">
        <v>21117</v>
      </c>
      <c r="E8" s="185" t="n">
        <v>22872</v>
      </c>
      <c r="F8" s="8" t="n">
        <v>185918</v>
      </c>
      <c r="G8" s="9" t="n">
        <v>128.5</v>
      </c>
      <c r="H8" s="9" t="n">
        <v>0</v>
      </c>
      <c r="I8" s="9" t="n">
        <v>0</v>
      </c>
      <c r="J8" s="374" t="n">
        <v>28600</v>
      </c>
      <c r="K8" s="62" t="n">
        <v>8734.442999999912</v>
      </c>
      <c r="L8" s="9" t="n">
        <v>2961000</v>
      </c>
      <c r="M8" s="9">
        <f>SUM(B8:K8)</f>
        <v/>
      </c>
      <c r="N8" s="546">
        <f>L8/'Yearly GHG (mCO2)'!G8</f>
        <v/>
      </c>
      <c r="O8" s="793">
        <f>L8/'Yearly GHG (mCO2)'!H8</f>
        <v/>
      </c>
      <c r="P8" s="202">
        <f>M8/(M8+L8)</f>
        <v/>
      </c>
      <c r="Q8" s="202">
        <f>(L8-L7)/L7</f>
        <v/>
      </c>
    </row>
    <row r="9">
      <c r="A9" s="373" t="inlineStr">
        <is>
          <t>2017/18</t>
        </is>
      </c>
      <c r="B9" s="62" t="n">
        <v>128138.75</v>
      </c>
      <c r="C9" s="9" t="n">
        <v>2850</v>
      </c>
      <c r="D9" s="679" t="n">
        <v>11869.7</v>
      </c>
      <c r="E9" s="185" t="n">
        <v>24517.99999999999</v>
      </c>
      <c r="F9" s="9" t="n">
        <v>304749.9999999999</v>
      </c>
      <c r="G9" s="9" t="n">
        <v>0</v>
      </c>
      <c r="H9" s="9" t="n">
        <v>21000</v>
      </c>
      <c r="I9" s="9" t="n">
        <v>47870</v>
      </c>
      <c r="J9" s="374" t="n">
        <v>16200</v>
      </c>
      <c r="K9" s="62" t="n">
        <v>8559.494000000064</v>
      </c>
      <c r="L9" s="9" t="n">
        <v>2902000</v>
      </c>
      <c r="M9" s="9">
        <f>SUM(B9:K9)</f>
        <v/>
      </c>
      <c r="N9" s="546">
        <f>L9/'Yearly GHG (mCO2)'!G9</f>
        <v/>
      </c>
      <c r="O9" s="793">
        <f>L9/'Yearly GHG (mCO2)'!H9</f>
        <v/>
      </c>
      <c r="P9" s="202">
        <f>M9/(M9+L9)</f>
        <v/>
      </c>
      <c r="Q9" s="202">
        <f>(L9-L8)/L8</f>
        <v/>
      </c>
    </row>
    <row r="10">
      <c r="A10" s="373" t="inlineStr">
        <is>
          <t>2018/19</t>
        </is>
      </c>
      <c r="B10" s="62" t="n">
        <v>116432</v>
      </c>
      <c r="C10" s="9" t="n">
        <v>2300</v>
      </c>
      <c r="D10" s="62" t="n">
        <v>10285.75</v>
      </c>
      <c r="E10" s="185" t="n">
        <v>18298</v>
      </c>
      <c r="F10" s="9" t="n">
        <v>304621.45</v>
      </c>
      <c r="G10" s="9" t="n">
        <v>46080</v>
      </c>
      <c r="H10" s="9" t="n">
        <v>145000</v>
      </c>
      <c r="I10" s="9" t="n">
        <v>91500</v>
      </c>
      <c r="J10" s="374" t="n">
        <v>4456</v>
      </c>
      <c r="K10" s="62" t="n">
        <v>6606.660000000033</v>
      </c>
      <c r="L10" s="9" t="n">
        <v>2323000</v>
      </c>
      <c r="M10" s="9">
        <f>SUM(B10:K10)</f>
        <v/>
      </c>
      <c r="N10" s="546">
        <f>L10/'Yearly GHG (mCO2)'!G10</f>
        <v/>
      </c>
      <c r="O10" s="793">
        <f>L10/'Yearly GHG (mCO2)'!H10</f>
        <v/>
      </c>
      <c r="P10" s="202">
        <f>M10/(M10+L10)</f>
        <v/>
      </c>
      <c r="Q10" s="202">
        <f>(L10-L9)/L9</f>
        <v/>
      </c>
    </row>
    <row r="11">
      <c r="A11" s="373" t="inlineStr">
        <is>
          <t>2019/20</t>
        </is>
      </c>
      <c r="B11" s="62" t="n">
        <v>152149.6</v>
      </c>
      <c r="C11" s="9" t="n">
        <v>7251</v>
      </c>
      <c r="D11" s="62" t="n">
        <v>5562.75</v>
      </c>
      <c r="E11" s="185" t="n">
        <v>12691</v>
      </c>
      <c r="F11" s="9" t="n">
        <v>268845.5</v>
      </c>
      <c r="G11" s="9" t="n">
        <v>75520</v>
      </c>
      <c r="H11" s="9" t="n">
        <v>210000</v>
      </c>
      <c r="I11" s="9" t="n">
        <v>156900</v>
      </c>
      <c r="J11" s="374" t="n">
        <v>4373</v>
      </c>
      <c r="K11" s="62" t="n">
        <v>3948.445000000065</v>
      </c>
      <c r="L11" s="9" t="n">
        <v>1790000</v>
      </c>
      <c r="M11" s="9">
        <f>SUM(B11:K11)</f>
        <v/>
      </c>
      <c r="N11" s="546">
        <f>L11/'Yearly GHG (mCO2)'!G11</f>
        <v/>
      </c>
      <c r="O11" s="793">
        <f>L11/'Yearly GHG (mCO2)'!H11</f>
        <v/>
      </c>
      <c r="P11" s="202">
        <f>M11/(M11+L11)</f>
        <v/>
      </c>
      <c r="Q11" s="202">
        <f>(L11-L10)/L10</f>
        <v/>
      </c>
    </row>
    <row r="12">
      <c r="A12" s="373" t="inlineStr">
        <is>
          <t>2020/21</t>
        </is>
      </c>
      <c r="B12" s="62" t="n">
        <v>158697</v>
      </c>
      <c r="C12" s="9" t="n">
        <v>10127</v>
      </c>
      <c r="D12" s="62" t="n">
        <v>6493</v>
      </c>
      <c r="E12" s="185" t="n">
        <v>8395</v>
      </c>
      <c r="F12" s="9" t="n">
        <v>392921</v>
      </c>
      <c r="G12" s="9" t="n">
        <v>59200</v>
      </c>
      <c r="H12" s="9" t="n">
        <v>230500</v>
      </c>
      <c r="I12" s="9" t="n">
        <v>156100</v>
      </c>
      <c r="J12" s="374" t="n">
        <v>4627</v>
      </c>
      <c r="K12" s="62" t="n">
        <v>4471.929</v>
      </c>
      <c r="L12" s="9" t="n">
        <v>1440000</v>
      </c>
      <c r="M12" s="9">
        <f>SUM(B12:K12)</f>
        <v/>
      </c>
      <c r="N12" s="546">
        <f>L12/'Yearly GHG (mCO2)'!G12</f>
        <v/>
      </c>
      <c r="O12" s="793">
        <f>L12/'Yearly GHG (mCO2)'!H12</f>
        <v/>
      </c>
      <c r="P12" s="202">
        <f>M12/(M12+L12)</f>
        <v/>
      </c>
      <c r="Q12" s="202">
        <f>(L12-L11)/L11</f>
        <v/>
      </c>
    </row>
    <row r="13">
      <c r="A13" s="373" t="inlineStr">
        <is>
          <t>2021/22</t>
        </is>
      </c>
      <c r="B13" s="62" t="n">
        <v>153272</v>
      </c>
      <c r="C13" s="9" t="n">
        <v>8474</v>
      </c>
      <c r="D13" s="679" t="n">
        <v>4504</v>
      </c>
      <c r="E13" s="185" t="n">
        <v>6526</v>
      </c>
      <c r="F13" s="9" t="n">
        <v>389824</v>
      </c>
      <c r="G13" s="9" t="n">
        <v>78400</v>
      </c>
      <c r="H13" s="9" t="n">
        <v>343000</v>
      </c>
      <c r="I13" s="9" t="n">
        <v>125058</v>
      </c>
      <c r="J13" s="374" t="n">
        <v>5621</v>
      </c>
      <c r="K13" s="62" t="n">
        <v>5233.868</v>
      </c>
      <c r="L13" s="9" t="n">
        <v>1575000</v>
      </c>
      <c r="M13" s="9">
        <f>SUM(B13:K13)</f>
        <v/>
      </c>
      <c r="N13" s="546">
        <f>L13/'Yearly GHG (mCO2)'!G13</f>
        <v/>
      </c>
      <c r="O13" s="793">
        <f>L13/'Yearly GHG (mCO2)'!H13</f>
        <v/>
      </c>
      <c r="P13" s="202">
        <f>M13/(M13+L13)</f>
        <v/>
      </c>
      <c r="Q13" s="202">
        <f>(L13-L12)/L12</f>
        <v/>
      </c>
    </row>
    <row r="14">
      <c r="A14" s="373" t="inlineStr">
        <is>
          <t>2022/23</t>
        </is>
      </c>
      <c r="B14" s="9">
        <f>SUM('Monthly Recycling'!B110:B121)</f>
        <v/>
      </c>
      <c r="C14" s="9">
        <f>SUM('Monthly Recycling'!C110:C121)</f>
        <v/>
      </c>
      <c r="D14" s="8">
        <f>SUM('Monthly Recycling'!D110:D121)</f>
        <v/>
      </c>
      <c r="E14" s="9">
        <f>SUM('Monthly Recycling'!E110:E121)</f>
        <v/>
      </c>
      <c r="F14" s="679">
        <f>SUM('Monthly Recycling'!F110:F121)</f>
        <v/>
      </c>
      <c r="G14" s="679">
        <f>SUM('Monthly Recycling'!G110:G121)</f>
        <v/>
      </c>
      <c r="H14" s="9">
        <f>SUM('Monthly Recycling'!H110:H121)</f>
        <v/>
      </c>
      <c r="I14" s="9">
        <f>SUM('Monthly Recycling'!I110:I121)</f>
        <v/>
      </c>
      <c r="J14" s="9">
        <f>SUM('Monthly Recycling'!J110:J121)</f>
        <v/>
      </c>
      <c r="K14" s="62">
        <f>SUM('Monthly Recycling'!K110:K121)</f>
        <v/>
      </c>
      <c r="L14" s="9">
        <f>SUM('Raw Data (KG)'!B110:C121)</f>
        <v/>
      </c>
      <c r="M14" s="9">
        <f>SUM(B14:K14)</f>
        <v/>
      </c>
      <c r="N14" s="546">
        <f>L14/'Yearly GHG (mCO2)'!G14</f>
        <v/>
      </c>
      <c r="O14" s="793">
        <f>L14/'Yearly GHG (mCO2)'!H14</f>
        <v/>
      </c>
      <c r="P14" s="202">
        <f>M14/(M14+L14)</f>
        <v/>
      </c>
      <c r="Q14" s="202">
        <f>(L14-L13)/L13</f>
        <v/>
      </c>
    </row>
    <row r="15">
      <c r="A15" s="373" t="inlineStr">
        <is>
          <t>2023/24</t>
        </is>
      </c>
      <c r="B15" s="9">
        <f>SUM('Monthly Recycling'!B122:B133)</f>
        <v/>
      </c>
      <c r="C15" s="9">
        <f>SUM('Monthly Recycling'!C122:C133)</f>
        <v/>
      </c>
      <c r="D15" s="8">
        <f>SUM('Monthly Recycling'!D122:D133)</f>
        <v/>
      </c>
      <c r="E15" s="9">
        <f>SUM('Monthly Recycling'!E122:E133)</f>
        <v/>
      </c>
      <c r="F15" s="679">
        <f>SUM('Monthly Recycling'!F122:F133)</f>
        <v/>
      </c>
      <c r="G15" s="679">
        <f>SUM('Monthly Recycling'!G122:G133)</f>
        <v/>
      </c>
      <c r="H15" s="9">
        <f>SUM('Monthly Recycling'!H122:H133)</f>
        <v/>
      </c>
      <c r="I15" s="9">
        <f>SUM('Monthly Recycling'!I122:I133)</f>
        <v/>
      </c>
      <c r="J15" s="9">
        <f>SUM('Monthly Recycling'!J122:J133)</f>
        <v/>
      </c>
      <c r="K15" s="62">
        <f>SUM('Monthly Recycling'!K122:K133)</f>
        <v/>
      </c>
      <c r="L15" s="9">
        <f>SUM('Raw Data (KG)'!B122:C133)</f>
        <v/>
      </c>
      <c r="M15" s="9">
        <f>SUM(B15:K15)</f>
        <v/>
      </c>
      <c r="N15" s="546">
        <f>L15/'Yearly GHG (mCO2)'!G15</f>
        <v/>
      </c>
      <c r="O15" s="793">
        <f>L15/'Yearly GHG (mCO2)'!H15</f>
        <v/>
      </c>
      <c r="P15" s="202">
        <f>M15/(M15+L15)</f>
        <v/>
      </c>
      <c r="Q15" s="202">
        <f>(L15-L14)/L14</f>
        <v/>
      </c>
    </row>
    <row r="16">
      <c r="A16" s="51" t="inlineStr">
        <is>
          <t>2024/25</t>
        </is>
      </c>
      <c r="B16" s="9">
        <f>SUM('Monthly Recycling'!B134:B145)</f>
        <v/>
      </c>
      <c r="C16" s="9">
        <f>SUM('Monthly Recycling'!C134:C145)</f>
        <v/>
      </c>
      <c r="D16" s="9">
        <f>SUM('Monthly Recycling'!D134:D145)</f>
        <v/>
      </c>
      <c r="E16" s="9">
        <f>SUM('Monthly Recycling'!E134:E145)</f>
        <v/>
      </c>
      <c r="F16" s="9">
        <f>SUM('Monthly Recycling'!F134:F145)</f>
        <v/>
      </c>
      <c r="G16" s="9">
        <f>SUM('Monthly Recycling'!G134:G145)</f>
        <v/>
      </c>
      <c r="H16" s="9">
        <f>SUM('Monthly Recycling'!H134:H145)</f>
        <v/>
      </c>
      <c r="I16" s="9">
        <f>SUM('Monthly Recycling'!I134:I145)</f>
        <v/>
      </c>
      <c r="J16" s="9">
        <f>SUM('Monthly Recycling'!J134:J145)</f>
        <v/>
      </c>
      <c r="K16" s="9">
        <f>SUM('Monthly Recycling'!K134:K145)</f>
        <v/>
      </c>
      <c r="L16" s="9">
        <f>SUM('Raw Data (KG)'!B134:C145)</f>
        <v/>
      </c>
      <c r="M16" s="9">
        <f>SUM(B16:K16)</f>
        <v/>
      </c>
      <c r="N16" s="546">
        <f>L16/'Yearly GHG (mCO2)'!G16</f>
        <v/>
      </c>
      <c r="O16" s="793">
        <f>L16/'Yearly GHG (mCO2)'!H16</f>
        <v/>
      </c>
      <c r="P16" s="202">
        <f>M16/(M16+L16)</f>
        <v/>
      </c>
      <c r="Q16" s="202">
        <f>(L16-L15)/L15</f>
        <v/>
      </c>
    </row>
    <row r="17">
      <c r="A17" s="51" t="inlineStr">
        <is>
          <t>2025/26</t>
        </is>
      </c>
      <c r="B17" s="9">
        <f>SUM('Monthly Recycling'!B135:B146)</f>
        <v/>
      </c>
      <c r="C17" s="9">
        <f>SUM('Monthly Recycling'!C135:C146)</f>
        <v/>
      </c>
      <c r="D17" s="9">
        <f>SUM('Monthly Recycling'!D135:D146)</f>
        <v/>
      </c>
      <c r="E17" s="9">
        <f>SUM('Monthly Recycling'!E135:E146)</f>
        <v/>
      </c>
      <c r="F17" s="9">
        <f>SUM('Monthly Recycling'!F135:F146)</f>
        <v/>
      </c>
      <c r="G17" s="9">
        <f>SUM('Monthly Recycling'!G135:G146)</f>
        <v/>
      </c>
      <c r="H17" s="9">
        <f>SUM('Monthly Recycling'!H135:H146)</f>
        <v/>
      </c>
      <c r="I17" s="9">
        <f>SUM('Monthly Recycling'!I135:I146)</f>
        <v/>
      </c>
      <c r="J17" s="9">
        <f>SUM('Monthly Recycling'!J135:J146)</f>
        <v/>
      </c>
      <c r="K17" s="62">
        <f>SUM('Monthly Recycling'!K124:K135)</f>
        <v/>
      </c>
      <c r="L17" s="9">
        <f>SUM('Raw Data (KG)'!B124:C135)</f>
        <v/>
      </c>
      <c r="M17" s="9">
        <f>SUM(B17:K17)</f>
        <v/>
      </c>
      <c r="N17" s="546">
        <f>L17/'Yearly GHG (mCO2)'!G17</f>
        <v/>
      </c>
      <c r="O17" s="793">
        <f>L17/'Yearly GHG (mCO2)'!H17</f>
        <v/>
      </c>
      <c r="P17" s="202">
        <f>M17/(M17+L17)</f>
        <v/>
      </c>
      <c r="Q17" s="202">
        <f>(L17-L16)/L16</f>
        <v/>
      </c>
    </row>
    <row r="18">
      <c r="A18" t="n"/>
      <c r="B18" s="164" t="n"/>
      <c r="C18" s="164" t="n"/>
      <c r="D18" s="164" t="n"/>
      <c r="E18" s="164" t="n"/>
      <c r="F18" s="164" t="n"/>
      <c r="G18" s="164" t="n"/>
      <c r="H18" s="164" t="n"/>
      <c r="I18" s="164" t="n"/>
      <c r="J18" s="164" t="n"/>
      <c r="L18" s="164" t="n"/>
      <c r="M18" s="164" t="n"/>
    </row>
    <row r="19">
      <c r="L19" s="164" t="n"/>
      <c r="M19" s="164" t="n"/>
    </row>
    <row r="20">
      <c r="I20" s="14" t="n"/>
      <c r="J20" s="15" t="n"/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732"/>
  <sheetViews>
    <sheetView topLeftCell="A684" workbookViewId="0">
      <selection activeCell="A1" sqref="A1"/>
    </sheetView>
  </sheetViews>
  <sheetFormatPr baseColWidth="10" defaultColWidth="11.5" defaultRowHeight="15"/>
  <cols>
    <col width="10.6640625" customWidth="1" style="433" min="2" max="11"/>
  </cols>
  <sheetData>
    <row r="1" ht="96" customHeight="1">
      <c r="A1" s="434" t="inlineStr">
        <is>
          <t>Date</t>
        </is>
      </c>
      <c r="B1" s="435" t="inlineStr">
        <is>
          <t>LG1 Canteen and China Garden</t>
        </is>
      </c>
      <c r="C1" s="435" t="inlineStr">
        <is>
          <t>LG7 Canteen + McDonald's</t>
        </is>
      </c>
      <c r="D1" s="435" t="inlineStr">
        <is>
          <t>LG7 Fusion</t>
        </is>
      </c>
      <c r="E1" s="435" t="inlineStr">
        <is>
          <t>Courtyard (Lift 25)</t>
        </is>
      </c>
      <c r="F1" s="435" t="inlineStr">
        <is>
          <t>UC Bistro (Tower C)</t>
        </is>
      </c>
      <c r="G1" s="435" t="inlineStr">
        <is>
          <t>LSK Campus</t>
        </is>
      </c>
      <c r="H1" s="435" t="inlineStr">
        <is>
          <t>Seafront Cafeteria (now collected at UG6 starting July 23)</t>
        </is>
      </c>
      <c r="I1" s="435" t="inlineStr">
        <is>
          <t>Conference Lodge</t>
        </is>
      </c>
      <c r="J1" s="435" t="inlineStr">
        <is>
          <t>Staff Quarters (All)</t>
        </is>
      </c>
      <c r="K1" s="435" t="inlineStr">
        <is>
          <t>Total (kg)</t>
        </is>
      </c>
    </row>
    <row r="2">
      <c r="A2" s="794" t="n">
        <v>45108</v>
      </c>
      <c r="D2" t="n">
        <v>6</v>
      </c>
      <c r="K2">
        <f>SUM(B2:J2)</f>
        <v/>
      </c>
    </row>
    <row r="3">
      <c r="A3" s="794" t="n">
        <v>45109</v>
      </c>
      <c r="B3" t="n">
        <v>145</v>
      </c>
      <c r="D3" t="n">
        <v>9</v>
      </c>
      <c r="E3" t="n">
        <v>57</v>
      </c>
      <c r="F3" t="n">
        <v>4</v>
      </c>
      <c r="J3" t="n">
        <v>12</v>
      </c>
      <c r="K3">
        <f>SUM(B3:J3)</f>
        <v/>
      </c>
    </row>
    <row r="4">
      <c r="A4" s="794" t="n">
        <v>45110</v>
      </c>
      <c r="B4" t="n">
        <v>173</v>
      </c>
      <c r="C4" t="n">
        <v>39</v>
      </c>
      <c r="D4" t="n">
        <v>31</v>
      </c>
      <c r="E4" t="n">
        <v>87</v>
      </c>
      <c r="F4" t="n">
        <v>17</v>
      </c>
      <c r="I4" t="n">
        <v>32</v>
      </c>
      <c r="K4">
        <f>SUM(B4:J4)</f>
        <v/>
      </c>
    </row>
    <row r="5">
      <c r="A5" s="794" t="n">
        <v>45111</v>
      </c>
      <c r="B5" t="n">
        <v>89</v>
      </c>
      <c r="C5" t="n">
        <v>10</v>
      </c>
      <c r="D5" t="n">
        <v>279</v>
      </c>
      <c r="E5" t="n">
        <v>191</v>
      </c>
      <c r="F5" t="n">
        <v>7</v>
      </c>
      <c r="G5" t="n">
        <v>93</v>
      </c>
      <c r="I5" t="n">
        <v>14</v>
      </c>
      <c r="J5" t="n">
        <v>3</v>
      </c>
      <c r="K5">
        <f>SUM(B5:J5)</f>
        <v/>
      </c>
    </row>
    <row r="6">
      <c r="A6" s="794" t="n">
        <v>45112</v>
      </c>
      <c r="B6" t="n">
        <v>94</v>
      </c>
      <c r="C6" t="n">
        <v>36</v>
      </c>
      <c r="D6" t="n">
        <v>421</v>
      </c>
      <c r="E6" t="n">
        <v>206</v>
      </c>
      <c r="F6" t="n">
        <v>27</v>
      </c>
      <c r="G6" t="n">
        <v>105</v>
      </c>
      <c r="I6" t="n">
        <v>13</v>
      </c>
      <c r="J6" t="n">
        <v>9</v>
      </c>
      <c r="K6">
        <f>SUM(B6:J6)</f>
        <v/>
      </c>
    </row>
    <row r="7">
      <c r="A7" s="794" t="n">
        <v>45113</v>
      </c>
      <c r="B7" t="n">
        <v>75</v>
      </c>
      <c r="C7" t="n">
        <v>172.5</v>
      </c>
      <c r="D7" t="n">
        <v>10.5</v>
      </c>
      <c r="E7" t="n">
        <v>88.5</v>
      </c>
      <c r="F7" t="n">
        <v>5.5</v>
      </c>
      <c r="G7" t="n">
        <v>35.5</v>
      </c>
      <c r="I7" t="n">
        <v>1.5</v>
      </c>
      <c r="K7">
        <f>SUM(B7:J7)</f>
        <v/>
      </c>
    </row>
    <row r="8">
      <c r="A8" s="794" t="n">
        <v>45114</v>
      </c>
      <c r="B8" t="n">
        <v>98</v>
      </c>
      <c r="C8" t="n">
        <v>18</v>
      </c>
      <c r="D8" t="n">
        <v>407</v>
      </c>
      <c r="E8" t="n">
        <v>155</v>
      </c>
      <c r="F8" t="n">
        <v>4</v>
      </c>
      <c r="G8" t="n">
        <v>93</v>
      </c>
      <c r="I8" t="n">
        <v>49</v>
      </c>
      <c r="J8" t="n">
        <v>5</v>
      </c>
      <c r="K8">
        <f>SUM(B8:J8)</f>
        <v/>
      </c>
    </row>
    <row r="9">
      <c r="A9" s="794" t="n">
        <v>45115</v>
      </c>
      <c r="B9" t="n">
        <v>195</v>
      </c>
      <c r="C9" t="n">
        <v>435</v>
      </c>
      <c r="D9" t="n">
        <v>28</v>
      </c>
      <c r="E9" t="n">
        <v>148</v>
      </c>
      <c r="F9" t="n">
        <v>15</v>
      </c>
      <c r="G9" t="n">
        <v>87</v>
      </c>
      <c r="I9" t="n">
        <v>38</v>
      </c>
      <c r="K9">
        <f>SUM(B9:J9)</f>
        <v/>
      </c>
    </row>
    <row r="10">
      <c r="A10" s="794" t="n">
        <v>45116</v>
      </c>
      <c r="B10" t="n">
        <v>318</v>
      </c>
      <c r="C10" t="n">
        <v>428</v>
      </c>
      <c r="D10" t="n">
        <v>41</v>
      </c>
      <c r="F10" t="n">
        <v>3</v>
      </c>
      <c r="G10" t="n">
        <v>76</v>
      </c>
      <c r="I10" t="n">
        <v>26</v>
      </c>
      <c r="K10">
        <f>SUM(B10:J10)</f>
        <v/>
      </c>
    </row>
    <row r="11">
      <c r="A11" s="794" t="n">
        <v>45117</v>
      </c>
      <c r="B11" t="n">
        <v>338</v>
      </c>
      <c r="C11" t="n">
        <v>207</v>
      </c>
      <c r="D11" t="n">
        <v>21</v>
      </c>
      <c r="F11" t="n">
        <v>11</v>
      </c>
      <c r="I11" t="n">
        <v>29</v>
      </c>
      <c r="K11">
        <f>SUM(B11:J11)</f>
        <v/>
      </c>
    </row>
    <row r="12">
      <c r="A12" s="794" t="n">
        <v>45118</v>
      </c>
      <c r="B12" t="n">
        <v>338</v>
      </c>
      <c r="C12" t="n">
        <v>378</v>
      </c>
      <c r="D12" t="n">
        <v>67</v>
      </c>
      <c r="E12" t="n">
        <v>51</v>
      </c>
      <c r="F12" t="n">
        <v>7</v>
      </c>
      <c r="G12" t="n">
        <v>95</v>
      </c>
      <c r="I12" t="n">
        <v>36</v>
      </c>
      <c r="J12" t="n">
        <v>13</v>
      </c>
      <c r="K12">
        <f>SUM(B12:J12)</f>
        <v/>
      </c>
    </row>
    <row r="13">
      <c r="A13" s="794" t="n">
        <v>45119</v>
      </c>
      <c r="B13" t="n">
        <v>256</v>
      </c>
      <c r="C13" t="n">
        <v>409</v>
      </c>
      <c r="D13" t="n">
        <v>22</v>
      </c>
      <c r="E13" t="n">
        <v>13</v>
      </c>
      <c r="F13" t="n">
        <v>40</v>
      </c>
      <c r="G13" t="n">
        <v>92</v>
      </c>
      <c r="I13" t="n">
        <v>8</v>
      </c>
      <c r="J13" t="n">
        <v>6</v>
      </c>
      <c r="K13">
        <f>SUM(B13:J13)</f>
        <v/>
      </c>
    </row>
    <row r="14">
      <c r="A14" s="794" t="n">
        <v>45120</v>
      </c>
      <c r="B14" t="n">
        <v>323</v>
      </c>
      <c r="C14" t="n">
        <v>427</v>
      </c>
      <c r="E14" t="n">
        <v>43</v>
      </c>
      <c r="F14" t="n">
        <v>38</v>
      </c>
      <c r="G14" t="n">
        <v>84</v>
      </c>
      <c r="I14" t="n">
        <v>12</v>
      </c>
      <c r="J14" t="n">
        <v>10</v>
      </c>
      <c r="K14">
        <f>SUM(B14:J14)</f>
        <v/>
      </c>
    </row>
    <row r="15">
      <c r="A15" s="794" t="n">
        <v>45121</v>
      </c>
      <c r="B15" t="n">
        <v>246</v>
      </c>
      <c r="C15" t="n">
        <v>379</v>
      </c>
      <c r="D15" t="n">
        <v>35</v>
      </c>
      <c r="E15" t="n">
        <v>34</v>
      </c>
      <c r="G15" t="n">
        <v>99</v>
      </c>
      <c r="K15">
        <f>SUM(B15:J15)</f>
        <v/>
      </c>
    </row>
    <row r="16">
      <c r="A16" s="794" t="n">
        <v>45122</v>
      </c>
      <c r="B16" t="n">
        <v>255</v>
      </c>
      <c r="C16" t="n">
        <v>311</v>
      </c>
      <c r="D16" t="n">
        <v>38</v>
      </c>
      <c r="E16" t="n">
        <v>53</v>
      </c>
      <c r="F16" t="n">
        <v>49</v>
      </c>
      <c r="G16" t="n">
        <v>114</v>
      </c>
      <c r="K16">
        <f>SUM(B16:J16)</f>
        <v/>
      </c>
    </row>
    <row r="17">
      <c r="A17" s="794" t="n">
        <v>45123</v>
      </c>
      <c r="B17" t="n">
        <v>303</v>
      </c>
      <c r="C17" t="n">
        <v>169</v>
      </c>
      <c r="D17" t="n">
        <v>40</v>
      </c>
      <c r="E17" t="n">
        <v>16</v>
      </c>
      <c r="F17" t="n">
        <v>9</v>
      </c>
      <c r="G17" t="n">
        <v>77</v>
      </c>
      <c r="I17" t="n">
        <v>25</v>
      </c>
      <c r="K17">
        <f>SUM(B17:J17)</f>
        <v/>
      </c>
    </row>
    <row r="18">
      <c r="A18" s="794" t="n">
        <v>45124</v>
      </c>
      <c r="K18">
        <f>SUM(B18:J18)</f>
        <v/>
      </c>
    </row>
    <row r="19">
      <c r="A19" s="794" t="n">
        <v>45125</v>
      </c>
      <c r="B19" t="n">
        <v>455</v>
      </c>
      <c r="C19" t="n">
        <v>232</v>
      </c>
      <c r="D19" t="n">
        <v>60</v>
      </c>
      <c r="I19" t="n">
        <v>16</v>
      </c>
      <c r="J19" t="n">
        <v>15</v>
      </c>
      <c r="K19">
        <f>SUM(B19:J19)</f>
        <v/>
      </c>
    </row>
    <row r="20">
      <c r="A20" s="794" t="n">
        <v>45126</v>
      </c>
      <c r="B20" t="n">
        <v>242</v>
      </c>
      <c r="C20" t="n">
        <v>427</v>
      </c>
      <c r="D20" t="n">
        <v>13</v>
      </c>
      <c r="E20" t="n">
        <v>45</v>
      </c>
      <c r="G20" t="n">
        <v>87</v>
      </c>
      <c r="J20" t="n">
        <v>26</v>
      </c>
      <c r="K20">
        <f>SUM(B20:J20)</f>
        <v/>
      </c>
    </row>
    <row r="21">
      <c r="A21" s="794" t="n">
        <v>45127</v>
      </c>
      <c r="B21" t="n">
        <v>238</v>
      </c>
      <c r="C21" t="n">
        <v>357</v>
      </c>
      <c r="D21" t="n">
        <v>22</v>
      </c>
      <c r="F21" t="n">
        <v>31</v>
      </c>
      <c r="G21" t="n">
        <v>84</v>
      </c>
      <c r="I21" t="n">
        <v>45</v>
      </c>
      <c r="K21">
        <f>SUM(B21:J21)</f>
        <v/>
      </c>
    </row>
    <row r="22">
      <c r="A22" s="794" t="n">
        <v>45128</v>
      </c>
      <c r="B22" t="n">
        <v>243</v>
      </c>
      <c r="C22" t="n">
        <v>363</v>
      </c>
      <c r="D22" t="n">
        <v>15</v>
      </c>
      <c r="G22" t="n">
        <v>38</v>
      </c>
      <c r="I22" t="n">
        <v>102</v>
      </c>
      <c r="K22">
        <f>SUM(B22:J22)</f>
        <v/>
      </c>
    </row>
    <row r="23">
      <c r="A23" s="794" t="n">
        <v>45129</v>
      </c>
      <c r="B23" t="n">
        <v>310</v>
      </c>
      <c r="C23" t="n">
        <v>365</v>
      </c>
      <c r="D23" t="n">
        <v>29</v>
      </c>
      <c r="E23" t="n">
        <v>57</v>
      </c>
      <c r="G23" t="n">
        <v>79</v>
      </c>
      <c r="I23" t="n">
        <v>29</v>
      </c>
      <c r="K23">
        <f>SUM(B23:J23)</f>
        <v/>
      </c>
    </row>
    <row r="24">
      <c r="A24" s="794" t="n">
        <v>45130</v>
      </c>
      <c r="B24" t="n">
        <v>337</v>
      </c>
      <c r="C24" t="n">
        <v>224</v>
      </c>
      <c r="D24" t="n">
        <v>32</v>
      </c>
      <c r="E24" t="n">
        <v>13</v>
      </c>
      <c r="F24" t="n">
        <v>28</v>
      </c>
      <c r="G24" t="n">
        <v>88</v>
      </c>
      <c r="I24" t="n">
        <v>7</v>
      </c>
      <c r="K24">
        <f>SUM(B24:J24)</f>
        <v/>
      </c>
    </row>
    <row r="25">
      <c r="A25" s="794" t="n">
        <v>45131</v>
      </c>
      <c r="B25" t="n">
        <v>276</v>
      </c>
      <c r="C25" t="n">
        <v>172</v>
      </c>
      <c r="D25" t="n">
        <v>49</v>
      </c>
      <c r="F25" t="n">
        <v>39</v>
      </c>
      <c r="K25">
        <f>SUM(B25:J25)</f>
        <v/>
      </c>
    </row>
    <row r="26">
      <c r="A26" s="794" t="n">
        <v>45132</v>
      </c>
      <c r="B26" t="n">
        <v>295</v>
      </c>
      <c r="C26" t="n">
        <v>424</v>
      </c>
      <c r="D26" t="n">
        <v>79</v>
      </c>
      <c r="E26" t="n">
        <v>49</v>
      </c>
      <c r="G26" t="n">
        <v>99</v>
      </c>
      <c r="K26">
        <f>SUM(B26:J26)</f>
        <v/>
      </c>
    </row>
    <row r="27">
      <c r="A27" s="794" t="n">
        <v>45133</v>
      </c>
      <c r="B27" t="n">
        <v>401</v>
      </c>
      <c r="C27" t="n">
        <v>232</v>
      </c>
      <c r="D27" t="n">
        <v>19</v>
      </c>
      <c r="F27" t="n">
        <v>59</v>
      </c>
      <c r="G27" t="n">
        <v>87</v>
      </c>
      <c r="I27" t="n">
        <v>94</v>
      </c>
      <c r="K27">
        <f>SUM(B27:J27)</f>
        <v/>
      </c>
    </row>
    <row r="28">
      <c r="A28" s="794" t="n">
        <v>45134</v>
      </c>
      <c r="B28" t="n">
        <v>225</v>
      </c>
      <c r="C28" t="n">
        <v>265</v>
      </c>
      <c r="D28" t="n">
        <v>87</v>
      </c>
      <c r="I28" t="n">
        <v>49</v>
      </c>
      <c r="K28">
        <f>SUM(B28:J28)</f>
        <v/>
      </c>
    </row>
    <row r="29">
      <c r="A29" s="794" t="n">
        <v>45135</v>
      </c>
      <c r="B29" t="n">
        <v>286</v>
      </c>
      <c r="C29" t="n">
        <v>326</v>
      </c>
      <c r="F29" t="n">
        <v>19</v>
      </c>
      <c r="I29" t="n">
        <v>99</v>
      </c>
      <c r="K29">
        <f>SUM(B29:J29)</f>
        <v/>
      </c>
    </row>
    <row r="30">
      <c r="A30" s="794" t="n">
        <v>45136</v>
      </c>
      <c r="B30" t="n">
        <v>315</v>
      </c>
      <c r="C30" t="n">
        <v>175</v>
      </c>
      <c r="D30" t="n">
        <v>59</v>
      </c>
      <c r="G30" t="n">
        <v>109</v>
      </c>
      <c r="K30">
        <f>SUM(B30:J30)</f>
        <v/>
      </c>
    </row>
    <row r="31">
      <c r="A31" s="794" t="n">
        <v>45137</v>
      </c>
      <c r="B31" t="n">
        <v>307</v>
      </c>
      <c r="C31" t="n">
        <v>243</v>
      </c>
      <c r="D31" t="n">
        <v>21</v>
      </c>
      <c r="E31" t="n">
        <v>16</v>
      </c>
      <c r="F31" t="n">
        <v>15</v>
      </c>
      <c r="G31" t="n">
        <v>72</v>
      </c>
      <c r="I31" t="n">
        <v>14</v>
      </c>
      <c r="K31">
        <f>SUM(B31:J31)</f>
        <v/>
      </c>
    </row>
    <row r="32">
      <c r="A32" s="794" t="n">
        <v>45138</v>
      </c>
      <c r="B32" t="n">
        <v>256</v>
      </c>
      <c r="C32" t="n">
        <v>110.1</v>
      </c>
      <c r="K32">
        <f>SUM(B32:J32)</f>
        <v/>
      </c>
    </row>
    <row r="33">
      <c r="A33" s="794" t="n">
        <v>45139</v>
      </c>
      <c r="B33" t="n">
        <v>226</v>
      </c>
      <c r="C33" t="n">
        <v>313.8</v>
      </c>
      <c r="D33" t="n">
        <v>64</v>
      </c>
      <c r="E33" t="n">
        <v>59</v>
      </c>
      <c r="G33" t="n">
        <v>19</v>
      </c>
      <c r="K33">
        <f>SUM(B33:J33)</f>
        <v/>
      </c>
    </row>
    <row r="34">
      <c r="A34" s="794" t="n">
        <v>45140</v>
      </c>
      <c r="B34" t="n">
        <v>330</v>
      </c>
      <c r="C34" t="n">
        <v>371</v>
      </c>
      <c r="D34" t="n">
        <v>20</v>
      </c>
      <c r="E34" t="n">
        <v>51</v>
      </c>
      <c r="F34" t="n">
        <v>67</v>
      </c>
      <c r="G34" t="n">
        <v>104</v>
      </c>
      <c r="H34" t="n">
        <v>9</v>
      </c>
      <c r="I34" t="n">
        <v>24</v>
      </c>
      <c r="K34">
        <f>SUM(B34:J34)</f>
        <v/>
      </c>
    </row>
    <row r="35">
      <c r="A35" s="794" t="n">
        <v>45141</v>
      </c>
      <c r="B35" t="n">
        <v>509</v>
      </c>
      <c r="C35" t="n">
        <v>195</v>
      </c>
      <c r="I35" t="n">
        <v>59</v>
      </c>
      <c r="K35">
        <f>SUM(B35:J35)</f>
        <v/>
      </c>
    </row>
    <row r="36">
      <c r="A36" s="794" t="n">
        <v>45142</v>
      </c>
      <c r="B36" t="n">
        <v>145</v>
      </c>
      <c r="C36" t="n">
        <v>443</v>
      </c>
      <c r="D36" t="n">
        <v>121</v>
      </c>
      <c r="G36" t="n">
        <v>29</v>
      </c>
      <c r="K36">
        <f>SUM(B36:J36)</f>
        <v/>
      </c>
    </row>
    <row r="37">
      <c r="A37" s="794" t="n">
        <v>45143</v>
      </c>
      <c r="B37" t="n">
        <v>196</v>
      </c>
      <c r="C37" t="n">
        <v>322</v>
      </c>
      <c r="D37" t="n">
        <v>48</v>
      </c>
      <c r="E37" t="n">
        <v>59</v>
      </c>
      <c r="G37" t="n">
        <v>79</v>
      </c>
      <c r="K37">
        <f>SUM(B37:J37)</f>
        <v/>
      </c>
    </row>
    <row r="38">
      <c r="A38" s="794" t="n">
        <v>45144</v>
      </c>
      <c r="B38" t="n">
        <v>326</v>
      </c>
      <c r="C38" t="n">
        <v>248</v>
      </c>
      <c r="D38" t="n">
        <v>36</v>
      </c>
      <c r="E38" t="n">
        <v>3</v>
      </c>
      <c r="F38" t="n">
        <v>13</v>
      </c>
      <c r="G38" t="n">
        <v>72</v>
      </c>
      <c r="I38" t="n">
        <v>7.6</v>
      </c>
      <c r="K38">
        <f>SUM(B38:J38)</f>
        <v/>
      </c>
    </row>
    <row r="39">
      <c r="A39" s="794" t="n">
        <v>45145</v>
      </c>
      <c r="B39" t="n">
        <v>347</v>
      </c>
      <c r="C39" t="n">
        <v>221</v>
      </c>
      <c r="D39" t="n">
        <v>22</v>
      </c>
      <c r="F39" t="n">
        <v>12</v>
      </c>
      <c r="I39" t="n">
        <v>22</v>
      </c>
      <c r="K39">
        <f>SUM(B39:J39)</f>
        <v/>
      </c>
    </row>
    <row r="40">
      <c r="A40" s="794" t="n">
        <v>45146</v>
      </c>
      <c r="B40" t="n">
        <v>362</v>
      </c>
      <c r="C40" t="n">
        <v>31</v>
      </c>
      <c r="D40" t="n">
        <v>360</v>
      </c>
      <c r="E40" t="n">
        <v>13</v>
      </c>
      <c r="F40" t="n">
        <v>16</v>
      </c>
      <c r="G40" t="n">
        <v>101</v>
      </c>
      <c r="I40" t="n">
        <v>13</v>
      </c>
      <c r="K40">
        <f>SUM(B40:J40)</f>
        <v/>
      </c>
    </row>
    <row r="41">
      <c r="A41" s="794" t="n">
        <v>45147</v>
      </c>
      <c r="B41" t="n">
        <v>210</v>
      </c>
      <c r="C41" t="n">
        <v>376</v>
      </c>
      <c r="E41" t="n">
        <v>89</v>
      </c>
      <c r="G41" t="n">
        <v>114</v>
      </c>
      <c r="K41">
        <f>SUM(B41:J41)</f>
        <v/>
      </c>
    </row>
    <row r="42">
      <c r="A42" s="794" t="n">
        <v>45148</v>
      </c>
      <c r="B42" t="n">
        <v>275</v>
      </c>
      <c r="C42" t="n">
        <v>335</v>
      </c>
      <c r="D42" t="n">
        <v>13</v>
      </c>
      <c r="E42" t="n">
        <v>64</v>
      </c>
      <c r="F42" t="n">
        <v>24</v>
      </c>
      <c r="G42" t="n">
        <v>91</v>
      </c>
      <c r="I42" t="n">
        <v>27</v>
      </c>
      <c r="K42">
        <f>SUM(B42:J42)</f>
        <v/>
      </c>
    </row>
    <row r="43">
      <c r="A43" s="794" t="n">
        <v>45149</v>
      </c>
      <c r="B43" t="n">
        <v>319</v>
      </c>
      <c r="C43" t="n">
        <v>388</v>
      </c>
      <c r="D43" t="n">
        <v>34</v>
      </c>
      <c r="E43" t="n">
        <v>49</v>
      </c>
      <c r="F43" t="n">
        <v>14</v>
      </c>
      <c r="G43" t="n">
        <v>94</v>
      </c>
      <c r="I43" t="n">
        <v>5</v>
      </c>
      <c r="K43">
        <f>SUM(B43:J43)</f>
        <v/>
      </c>
    </row>
    <row r="44">
      <c r="A44" s="794" t="n">
        <v>45150</v>
      </c>
      <c r="B44" t="n">
        <v>376</v>
      </c>
      <c r="C44" t="n">
        <v>392</v>
      </c>
      <c r="D44" t="n">
        <v>74</v>
      </c>
      <c r="G44" t="n">
        <v>42</v>
      </c>
      <c r="K44">
        <f>SUM(B44:J44)</f>
        <v/>
      </c>
    </row>
    <row r="45">
      <c r="A45" s="794" t="n">
        <v>45151</v>
      </c>
      <c r="B45" t="n">
        <v>393</v>
      </c>
      <c r="C45" t="n">
        <v>294</v>
      </c>
      <c r="D45" t="n">
        <v>22</v>
      </c>
      <c r="E45" t="n">
        <v>11</v>
      </c>
      <c r="F45" t="n">
        <v>9</v>
      </c>
      <c r="G45" t="n">
        <v>16</v>
      </c>
      <c r="I45" t="n">
        <v>12</v>
      </c>
      <c r="K45">
        <f>SUM(B45:J45)</f>
        <v/>
      </c>
    </row>
    <row r="46">
      <c r="A46" s="794" t="n">
        <v>45152</v>
      </c>
      <c r="B46" t="n">
        <v>267</v>
      </c>
      <c r="C46" t="n">
        <v>139</v>
      </c>
      <c r="D46" t="n">
        <v>24</v>
      </c>
      <c r="E46" t="n">
        <v>6</v>
      </c>
      <c r="F46" t="n">
        <v>13</v>
      </c>
      <c r="G46" t="n">
        <v>2</v>
      </c>
      <c r="I46" t="n">
        <v>21</v>
      </c>
      <c r="K46">
        <f>SUM(B46:J46)</f>
        <v/>
      </c>
    </row>
    <row r="47">
      <c r="A47" s="794" t="n">
        <v>45153</v>
      </c>
      <c r="B47" t="n">
        <v>290</v>
      </c>
      <c r="C47" t="n">
        <v>363</v>
      </c>
      <c r="D47" t="n">
        <v>27</v>
      </c>
      <c r="E47" t="n">
        <v>52</v>
      </c>
      <c r="F47" t="n">
        <v>26</v>
      </c>
      <c r="G47" t="n">
        <v>97</v>
      </c>
      <c r="H47" t="n">
        <v>17</v>
      </c>
      <c r="I47" t="n">
        <v>16</v>
      </c>
      <c r="K47">
        <f>SUM(B47:J47)</f>
        <v/>
      </c>
    </row>
    <row r="48">
      <c r="A48" s="794" t="n">
        <v>45154</v>
      </c>
      <c r="B48" t="n">
        <v>307</v>
      </c>
      <c r="C48" t="n">
        <v>383</v>
      </c>
      <c r="D48" t="n">
        <v>22</v>
      </c>
      <c r="E48" t="n">
        <v>59</v>
      </c>
      <c r="F48" t="n">
        <v>21</v>
      </c>
      <c r="G48" t="n">
        <v>94</v>
      </c>
      <c r="H48" t="n">
        <v>17</v>
      </c>
      <c r="I48" t="n">
        <v>14</v>
      </c>
      <c r="K48">
        <f>SUM(B48:J48)</f>
        <v/>
      </c>
    </row>
    <row r="49">
      <c r="A49" s="794" t="n">
        <v>45155</v>
      </c>
      <c r="B49" t="n">
        <v>410</v>
      </c>
      <c r="C49" t="n">
        <v>564</v>
      </c>
      <c r="D49" t="n">
        <v>23</v>
      </c>
      <c r="E49" t="n">
        <v>98</v>
      </c>
      <c r="F49" t="n">
        <v>6</v>
      </c>
      <c r="G49" t="n">
        <v>1</v>
      </c>
      <c r="H49" t="n">
        <v>8</v>
      </c>
      <c r="I49" t="n">
        <v>11</v>
      </c>
      <c r="J49" t="n">
        <v>12</v>
      </c>
      <c r="K49">
        <f>SUM(B49:J49)</f>
        <v/>
      </c>
    </row>
    <row r="50">
      <c r="A50" s="794" t="n">
        <v>45156</v>
      </c>
      <c r="B50" t="n">
        <v>394</v>
      </c>
      <c r="C50" t="n">
        <v>624</v>
      </c>
      <c r="D50" t="n">
        <v>7</v>
      </c>
      <c r="E50" t="n">
        <v>46</v>
      </c>
      <c r="F50" t="n">
        <v>13</v>
      </c>
      <c r="G50" t="n">
        <v>115</v>
      </c>
      <c r="H50" t="n">
        <v>7</v>
      </c>
      <c r="I50" t="n">
        <v>13</v>
      </c>
      <c r="J50" t="n">
        <v>2</v>
      </c>
      <c r="K50">
        <f>SUM(B50:J50)</f>
        <v/>
      </c>
    </row>
    <row r="51">
      <c r="A51" s="794" t="n">
        <v>45157</v>
      </c>
      <c r="B51" t="n">
        <v>281</v>
      </c>
      <c r="C51" t="n">
        <v>260</v>
      </c>
      <c r="G51" t="n">
        <v>56</v>
      </c>
      <c r="I51" t="n">
        <v>99</v>
      </c>
      <c r="K51">
        <f>SUM(B51:J51)</f>
        <v/>
      </c>
    </row>
    <row r="52">
      <c r="A52" s="794" t="n">
        <v>45158</v>
      </c>
      <c r="B52" t="n">
        <v>434</v>
      </c>
      <c r="C52" t="n">
        <v>249</v>
      </c>
      <c r="D52" t="n">
        <v>39</v>
      </c>
      <c r="E52" t="n">
        <v>10</v>
      </c>
      <c r="F52" t="n">
        <v>7</v>
      </c>
      <c r="G52" t="n">
        <v>102</v>
      </c>
      <c r="I52" t="n">
        <v>18</v>
      </c>
      <c r="J52" t="n">
        <v>8</v>
      </c>
      <c r="K52">
        <f>SUM(B52:J52)</f>
        <v/>
      </c>
    </row>
    <row r="53">
      <c r="A53" s="794" t="n">
        <v>45159</v>
      </c>
      <c r="B53" t="n">
        <v>301</v>
      </c>
      <c r="C53" t="n">
        <v>73</v>
      </c>
      <c r="D53" t="n">
        <v>71</v>
      </c>
      <c r="F53" t="n">
        <v>11</v>
      </c>
      <c r="G53" t="n">
        <v>4</v>
      </c>
      <c r="H53" t="n">
        <v>6</v>
      </c>
      <c r="I53" t="n">
        <v>14</v>
      </c>
      <c r="K53">
        <f>SUM(B53:J53)</f>
        <v/>
      </c>
    </row>
    <row r="54">
      <c r="A54" s="794" t="n">
        <v>45160</v>
      </c>
      <c r="B54" t="n">
        <v>369</v>
      </c>
      <c r="C54" t="n">
        <v>281</v>
      </c>
      <c r="D54" t="n">
        <v>29</v>
      </c>
      <c r="E54" t="n">
        <v>16</v>
      </c>
      <c r="F54" t="n">
        <v>31</v>
      </c>
      <c r="G54" t="n">
        <v>94</v>
      </c>
      <c r="H54" t="n">
        <v>15</v>
      </c>
      <c r="I54" t="n">
        <v>14</v>
      </c>
      <c r="K54">
        <f>SUM(B54:J54)</f>
        <v/>
      </c>
    </row>
    <row r="55">
      <c r="A55" s="794" t="n">
        <v>45161</v>
      </c>
      <c r="B55" t="n">
        <v>353</v>
      </c>
      <c r="C55" t="n">
        <v>300</v>
      </c>
      <c r="D55" t="n">
        <v>46</v>
      </c>
      <c r="E55" t="n">
        <v>49</v>
      </c>
      <c r="F55" t="n">
        <v>9</v>
      </c>
      <c r="G55" t="n">
        <v>111</v>
      </c>
      <c r="H55" t="n">
        <v>9</v>
      </c>
      <c r="I55" t="n">
        <v>26</v>
      </c>
      <c r="K55">
        <f>SUM(B55:J55)</f>
        <v/>
      </c>
    </row>
    <row r="56">
      <c r="A56" s="794" t="n">
        <v>45162</v>
      </c>
      <c r="B56" t="n">
        <v>312</v>
      </c>
      <c r="C56" t="n">
        <v>202</v>
      </c>
      <c r="D56" t="n">
        <v>29</v>
      </c>
      <c r="E56" t="n">
        <v>68</v>
      </c>
      <c r="F56" t="n">
        <v>19</v>
      </c>
      <c r="G56" t="n">
        <v>94</v>
      </c>
      <c r="H56" t="n">
        <v>9</v>
      </c>
      <c r="I56" t="n">
        <v>44</v>
      </c>
      <c r="J56" t="n">
        <v>10</v>
      </c>
      <c r="K56">
        <f>SUM(B56:J56)</f>
        <v/>
      </c>
    </row>
    <row r="57">
      <c r="A57" s="794" t="n">
        <v>45163</v>
      </c>
      <c r="B57" t="n">
        <v>378</v>
      </c>
      <c r="C57" t="n">
        <v>580</v>
      </c>
      <c r="D57" t="n">
        <v>39</v>
      </c>
      <c r="E57" t="n">
        <v>57</v>
      </c>
      <c r="F57" t="n">
        <v>25</v>
      </c>
      <c r="G57" t="n">
        <v>94</v>
      </c>
      <c r="H57" t="n">
        <v>9</v>
      </c>
      <c r="I57" t="n">
        <v>7</v>
      </c>
      <c r="K57">
        <f>SUM(B57:J57)</f>
        <v/>
      </c>
    </row>
    <row r="58">
      <c r="A58" s="794" t="n">
        <v>45164</v>
      </c>
      <c r="B58" t="n">
        <v>381</v>
      </c>
      <c r="C58" t="n">
        <v>393</v>
      </c>
      <c r="D58" t="n">
        <v>31</v>
      </c>
      <c r="E58" t="n">
        <v>83</v>
      </c>
      <c r="F58" t="n">
        <v>11</v>
      </c>
      <c r="G58" t="n">
        <v>106</v>
      </c>
      <c r="H58" t="n">
        <v>8</v>
      </c>
      <c r="I58" t="n">
        <v>4</v>
      </c>
      <c r="J58" t="n">
        <v>6</v>
      </c>
      <c r="K58">
        <f>SUM(B58:J58)</f>
        <v/>
      </c>
    </row>
    <row r="59">
      <c r="A59" s="794" t="n">
        <v>45165</v>
      </c>
      <c r="B59" t="n">
        <v>407</v>
      </c>
      <c r="C59" t="n">
        <v>319</v>
      </c>
      <c r="D59" t="n">
        <v>22</v>
      </c>
      <c r="E59" t="n">
        <v>27</v>
      </c>
      <c r="F59" t="n">
        <v>11</v>
      </c>
      <c r="G59" t="n">
        <v>87</v>
      </c>
      <c r="I59" t="n">
        <v>41</v>
      </c>
      <c r="J59" t="n">
        <v>4</v>
      </c>
      <c r="K59">
        <f>SUM(B59:J59)</f>
        <v/>
      </c>
    </row>
    <row r="60">
      <c r="A60" s="794" t="n">
        <v>45166</v>
      </c>
      <c r="B60" t="n">
        <v>251</v>
      </c>
      <c r="C60" t="n">
        <v>118</v>
      </c>
      <c r="D60" t="n">
        <v>49</v>
      </c>
      <c r="G60" t="n">
        <v>74</v>
      </c>
      <c r="K60">
        <f>SUM(B60:J60)</f>
        <v/>
      </c>
    </row>
    <row r="61">
      <c r="A61" s="794" t="n">
        <v>45167</v>
      </c>
      <c r="B61" t="n">
        <v>330</v>
      </c>
      <c r="C61" t="n">
        <v>488</v>
      </c>
      <c r="E61" t="n">
        <v>64</v>
      </c>
      <c r="G61" t="n">
        <v>69</v>
      </c>
      <c r="I61" t="n">
        <v>59</v>
      </c>
      <c r="K61">
        <f>SUM(B61:J61)</f>
        <v/>
      </c>
    </row>
    <row r="62">
      <c r="A62" s="794" t="n">
        <v>45168</v>
      </c>
      <c r="B62" t="n">
        <v>276</v>
      </c>
      <c r="C62" t="n">
        <v>483</v>
      </c>
      <c r="E62" t="n">
        <v>69</v>
      </c>
      <c r="F62" t="n">
        <v>49</v>
      </c>
      <c r="G62" t="n">
        <v>79</v>
      </c>
      <c r="K62">
        <f>SUM(B62:J62)</f>
        <v/>
      </c>
    </row>
    <row r="63">
      <c r="A63" s="794" t="n">
        <v>45169</v>
      </c>
      <c r="B63" t="n">
        <v>380</v>
      </c>
      <c r="C63" t="n">
        <v>479</v>
      </c>
      <c r="F63" t="n">
        <v>49</v>
      </c>
      <c r="G63" t="n">
        <v>39</v>
      </c>
      <c r="H63" t="n">
        <v>9</v>
      </c>
      <c r="I63" t="n">
        <v>19</v>
      </c>
      <c r="J63" t="n">
        <v>14</v>
      </c>
      <c r="K63">
        <f>SUM(B63:J63)</f>
        <v/>
      </c>
    </row>
    <row r="64">
      <c r="A64" s="794" t="n">
        <v>45170</v>
      </c>
      <c r="K64">
        <f>SUM(B64:J64)</f>
        <v/>
      </c>
    </row>
    <row r="65">
      <c r="A65" s="794" t="n">
        <v>45171</v>
      </c>
      <c r="K65">
        <f>SUM(B65:J65)</f>
        <v/>
      </c>
    </row>
    <row r="66">
      <c r="A66" s="794" t="n">
        <v>45172</v>
      </c>
      <c r="B66" t="n">
        <v>715</v>
      </c>
      <c r="C66" t="n">
        <v>807</v>
      </c>
      <c r="D66" t="n">
        <v>25</v>
      </c>
      <c r="E66" t="n">
        <v>92</v>
      </c>
      <c r="F66" t="n">
        <v>10</v>
      </c>
      <c r="G66" t="n">
        <v>139</v>
      </c>
      <c r="H66" t="n">
        <v>28</v>
      </c>
      <c r="K66">
        <f>SUM(B66:J66)</f>
        <v/>
      </c>
    </row>
    <row r="67">
      <c r="A67" s="794" t="n">
        <v>45173</v>
      </c>
      <c r="B67" t="n">
        <v>285</v>
      </c>
      <c r="C67" t="n">
        <v>263</v>
      </c>
      <c r="D67" t="n">
        <v>9</v>
      </c>
      <c r="E67" t="n">
        <v>88</v>
      </c>
      <c r="F67" t="n">
        <v>49</v>
      </c>
      <c r="G67" t="n">
        <v>79</v>
      </c>
      <c r="H67" t="n">
        <v>9</v>
      </c>
      <c r="I67" t="n">
        <v>19</v>
      </c>
      <c r="J67" t="n">
        <v>19</v>
      </c>
      <c r="K67">
        <f>SUM(B67:J67)</f>
        <v/>
      </c>
    </row>
    <row r="68">
      <c r="A68" s="794" t="n">
        <v>45174</v>
      </c>
      <c r="B68" t="n">
        <v>341</v>
      </c>
      <c r="C68" t="n">
        <v>281</v>
      </c>
      <c r="D68" t="n">
        <v>10</v>
      </c>
      <c r="E68" t="n">
        <v>59</v>
      </c>
      <c r="F68" t="n">
        <v>54</v>
      </c>
      <c r="G68" t="n">
        <v>19</v>
      </c>
      <c r="H68" t="n">
        <v>9</v>
      </c>
      <c r="I68" t="n">
        <v>59</v>
      </c>
      <c r="J68" t="n">
        <v>9</v>
      </c>
      <c r="K68">
        <f>SUM(B68:J68)</f>
        <v/>
      </c>
    </row>
    <row r="69">
      <c r="A69" s="794" t="n">
        <v>45175</v>
      </c>
      <c r="B69" t="n">
        <v>320</v>
      </c>
      <c r="C69" t="n">
        <v>605</v>
      </c>
      <c r="D69" t="n">
        <v>4</v>
      </c>
      <c r="E69" t="n">
        <v>29</v>
      </c>
      <c r="F69" t="n">
        <v>29</v>
      </c>
      <c r="G69" t="n">
        <v>59</v>
      </c>
      <c r="H69" t="n">
        <v>9</v>
      </c>
      <c r="I69" t="n">
        <v>39</v>
      </c>
      <c r="J69" t="n">
        <v>11</v>
      </c>
      <c r="K69">
        <f>SUM(B69:J69)</f>
        <v/>
      </c>
    </row>
    <row r="70">
      <c r="A70" s="794" t="n">
        <v>45176</v>
      </c>
      <c r="B70" t="n">
        <v>377.6</v>
      </c>
      <c r="C70" t="n">
        <v>786.4</v>
      </c>
      <c r="D70" t="n">
        <v>4.4</v>
      </c>
      <c r="E70" t="n">
        <v>114.4</v>
      </c>
      <c r="F70" t="n">
        <v>104.4</v>
      </c>
      <c r="G70" t="n">
        <v>154.4</v>
      </c>
      <c r="H70" t="n">
        <v>10</v>
      </c>
      <c r="I70" t="n">
        <v>14.4</v>
      </c>
      <c r="J70" t="n">
        <v>13</v>
      </c>
      <c r="K70">
        <f>SUM(B70:J70)</f>
        <v/>
      </c>
    </row>
    <row r="71">
      <c r="A71" s="794" t="n">
        <v>45177</v>
      </c>
      <c r="K71">
        <f>SUM(B71:J71)</f>
        <v/>
      </c>
    </row>
    <row r="72">
      <c r="A72" s="794" t="n">
        <v>45178</v>
      </c>
      <c r="B72" t="n">
        <v>1152</v>
      </c>
      <c r="C72" t="n">
        <v>672</v>
      </c>
      <c r="D72" t="n">
        <v>44.4</v>
      </c>
      <c r="E72" t="n">
        <v>74.40000000000001</v>
      </c>
      <c r="F72" t="n">
        <v>64.40000000000001</v>
      </c>
      <c r="G72" t="n">
        <v>14.4</v>
      </c>
      <c r="H72" t="n">
        <v>44.4</v>
      </c>
      <c r="I72" t="n">
        <v>29.4</v>
      </c>
      <c r="J72" t="n">
        <v>14.4</v>
      </c>
      <c r="K72">
        <f>SUM(B72:J72)</f>
        <v/>
      </c>
    </row>
    <row r="73">
      <c r="A73" s="794" t="n">
        <v>45179</v>
      </c>
      <c r="B73" t="n">
        <v>695</v>
      </c>
      <c r="C73" t="n">
        <v>348.6</v>
      </c>
      <c r="D73" t="n">
        <v>13.4</v>
      </c>
      <c r="E73" t="n">
        <v>27.4</v>
      </c>
      <c r="F73" t="n">
        <v>15.4</v>
      </c>
      <c r="G73" t="n">
        <v>213.4</v>
      </c>
      <c r="H73" t="n">
        <v>5.4</v>
      </c>
      <c r="I73" t="n">
        <v>23.4</v>
      </c>
      <c r="J73" t="n">
        <v>10.4</v>
      </c>
      <c r="K73">
        <f>SUM(B73:J73)</f>
        <v/>
      </c>
    </row>
    <row r="74">
      <c r="A74" s="794" t="n">
        <v>45180</v>
      </c>
      <c r="B74" t="n">
        <v>326.3</v>
      </c>
      <c r="C74" t="n">
        <v>273.2</v>
      </c>
      <c r="D74" t="n">
        <v>11.8</v>
      </c>
      <c r="F74" t="n">
        <v>30.7</v>
      </c>
      <c r="H74" t="n">
        <v>15</v>
      </c>
      <c r="I74" t="n">
        <v>24.7</v>
      </c>
      <c r="J74" t="n">
        <v>6.1</v>
      </c>
      <c r="K74">
        <f>SUM(B74:J74)</f>
        <v/>
      </c>
    </row>
    <row r="75">
      <c r="A75" s="794" t="n">
        <v>45181</v>
      </c>
      <c r="B75" t="n">
        <v>486.1</v>
      </c>
      <c r="C75" t="n">
        <v>627</v>
      </c>
      <c r="D75" t="n">
        <v>14.2</v>
      </c>
      <c r="E75" t="n">
        <v>125.8</v>
      </c>
      <c r="F75" t="n">
        <v>1.1</v>
      </c>
      <c r="G75" t="n">
        <v>152.8</v>
      </c>
      <c r="H75" t="n">
        <v>26.8</v>
      </c>
      <c r="I75" t="n">
        <v>16.3</v>
      </c>
      <c r="J75" t="n">
        <v>0.9</v>
      </c>
      <c r="K75">
        <f>SUM(B75:J75)</f>
        <v/>
      </c>
    </row>
    <row r="76">
      <c r="A76" s="794" t="n">
        <v>45182</v>
      </c>
      <c r="B76" t="n">
        <v>461.6</v>
      </c>
      <c r="C76" t="n">
        <v>746.4</v>
      </c>
      <c r="E76" t="n">
        <v>125.6</v>
      </c>
      <c r="F76" t="n">
        <v>19.3</v>
      </c>
      <c r="G76" t="n">
        <v>131.9</v>
      </c>
      <c r="H76" t="n">
        <v>39.4</v>
      </c>
      <c r="K76">
        <f>SUM(B76:J76)</f>
        <v/>
      </c>
    </row>
    <row r="77">
      <c r="A77" s="794" t="n">
        <v>45183</v>
      </c>
      <c r="B77" t="n">
        <v>539.6</v>
      </c>
      <c r="C77" t="n">
        <v>559.5</v>
      </c>
      <c r="E77" t="n">
        <v>119.3</v>
      </c>
      <c r="F77" t="n">
        <v>26.8</v>
      </c>
      <c r="G77" t="n">
        <v>118.4</v>
      </c>
      <c r="H77" t="n">
        <v>23.6</v>
      </c>
      <c r="K77">
        <f>SUM(B77:J77)</f>
        <v/>
      </c>
    </row>
    <row r="78">
      <c r="A78" s="794" t="n">
        <v>45184</v>
      </c>
      <c r="B78" t="n">
        <v>489.7</v>
      </c>
      <c r="C78" t="n">
        <v>605.7</v>
      </c>
      <c r="E78" t="n">
        <v>106.9</v>
      </c>
      <c r="F78" t="n">
        <v>6.2</v>
      </c>
      <c r="G78" t="n">
        <v>116.3</v>
      </c>
      <c r="H78" t="n">
        <v>25.3</v>
      </c>
      <c r="I78" t="n">
        <v>24.5</v>
      </c>
      <c r="J78" t="n">
        <v>9.4</v>
      </c>
      <c r="K78">
        <f>SUM(B78:J78)</f>
        <v/>
      </c>
    </row>
    <row r="79">
      <c r="A79" s="794" t="n">
        <v>45185</v>
      </c>
      <c r="B79" t="n">
        <v>449.1</v>
      </c>
      <c r="C79" t="n">
        <v>494.5</v>
      </c>
      <c r="E79" t="n">
        <v>128.1</v>
      </c>
      <c r="F79" t="n">
        <v>9.6</v>
      </c>
      <c r="G79" t="n">
        <v>115.9</v>
      </c>
      <c r="H79" t="n">
        <v>18.1</v>
      </c>
      <c r="I79" t="n">
        <v>26.6</v>
      </c>
      <c r="K79">
        <f>SUM(B79:J79)</f>
        <v/>
      </c>
    </row>
    <row r="80">
      <c r="A80" s="794" t="n">
        <v>45186</v>
      </c>
      <c r="B80" t="n">
        <v>442.1</v>
      </c>
      <c r="C80" t="n">
        <v>359.5</v>
      </c>
      <c r="D80" t="n">
        <v>36.6</v>
      </c>
      <c r="E80" t="n">
        <v>24.3</v>
      </c>
      <c r="F80" t="n">
        <v>36.2</v>
      </c>
      <c r="G80" t="n">
        <v>131.2</v>
      </c>
      <c r="I80" t="n">
        <v>15.5</v>
      </c>
      <c r="J80" t="n">
        <v>5.5</v>
      </c>
      <c r="K80">
        <f>SUM(B80:J80)</f>
        <v/>
      </c>
    </row>
    <row r="81">
      <c r="A81" s="794" t="n">
        <v>45187</v>
      </c>
      <c r="B81" t="n">
        <v>401.1</v>
      </c>
      <c r="C81" t="n">
        <v>275.3</v>
      </c>
      <c r="D81" t="n">
        <v>12.4</v>
      </c>
      <c r="F81" t="n">
        <v>27.3</v>
      </c>
      <c r="H81" t="n">
        <v>25.5</v>
      </c>
      <c r="I81" t="n">
        <v>48.5</v>
      </c>
      <c r="K81">
        <f>SUM(B81:J81)</f>
        <v/>
      </c>
    </row>
    <row r="82">
      <c r="A82" s="794" t="n">
        <v>45188</v>
      </c>
      <c r="B82" t="n">
        <v>375</v>
      </c>
      <c r="C82" t="n">
        <v>464.2</v>
      </c>
      <c r="D82" t="n">
        <v>29.8</v>
      </c>
      <c r="E82" t="n">
        <v>121.5</v>
      </c>
      <c r="F82" t="n">
        <v>24.8</v>
      </c>
      <c r="G82" t="n">
        <v>163.7</v>
      </c>
      <c r="H82" t="n">
        <v>30.6</v>
      </c>
      <c r="K82">
        <f>SUM(B82:J82)</f>
        <v/>
      </c>
    </row>
    <row r="83">
      <c r="A83" s="794" t="n">
        <v>45189</v>
      </c>
      <c r="B83" t="n">
        <v>172.6</v>
      </c>
      <c r="C83" t="n">
        <v>242.1</v>
      </c>
      <c r="D83" t="n">
        <v>68.09999999999999</v>
      </c>
      <c r="E83" t="n">
        <v>123.2</v>
      </c>
      <c r="G83" t="n">
        <v>162</v>
      </c>
      <c r="H83" t="n">
        <v>32.8</v>
      </c>
      <c r="J83" t="n">
        <v>15</v>
      </c>
      <c r="K83">
        <f>SUM(B83:J83)</f>
        <v/>
      </c>
    </row>
    <row r="84">
      <c r="A84" s="794" t="n">
        <v>45190</v>
      </c>
      <c r="B84" t="n">
        <v>261.6</v>
      </c>
      <c r="C84" t="n">
        <v>603.1</v>
      </c>
      <c r="D84" t="n">
        <v>29.2</v>
      </c>
      <c r="E84" t="n">
        <v>132.7</v>
      </c>
      <c r="G84" t="n">
        <v>160</v>
      </c>
      <c r="H84" t="n">
        <v>25.7</v>
      </c>
      <c r="I84" t="n">
        <v>29.9</v>
      </c>
      <c r="K84">
        <f>SUM(B84:J84)</f>
        <v/>
      </c>
    </row>
    <row r="85">
      <c r="A85" s="794" t="n">
        <v>45191</v>
      </c>
      <c r="B85" t="n">
        <v>200.8</v>
      </c>
      <c r="C85" t="n">
        <v>145.7</v>
      </c>
      <c r="D85" t="n">
        <v>23</v>
      </c>
      <c r="E85" t="n">
        <v>124</v>
      </c>
      <c r="G85" t="n">
        <v>127.5</v>
      </c>
      <c r="H85" t="n">
        <v>22.1</v>
      </c>
      <c r="I85" t="n">
        <v>28.6</v>
      </c>
      <c r="K85">
        <f>SUM(B85:J85)</f>
        <v/>
      </c>
    </row>
    <row r="86">
      <c r="A86" s="794" t="n">
        <v>45192</v>
      </c>
      <c r="B86" t="n">
        <v>257.6</v>
      </c>
      <c r="C86" t="n">
        <v>305.6</v>
      </c>
      <c r="D86" t="n">
        <v>26.4</v>
      </c>
      <c r="E86" t="n">
        <v>59.4</v>
      </c>
      <c r="F86" t="n">
        <v>49.4</v>
      </c>
      <c r="G86" t="n">
        <v>74.40000000000001</v>
      </c>
      <c r="H86" t="n">
        <v>4.4</v>
      </c>
      <c r="I86" t="n">
        <v>4.4</v>
      </c>
      <c r="K86">
        <f>SUM(B86:J86)</f>
        <v/>
      </c>
    </row>
    <row r="87">
      <c r="A87" s="794" t="n">
        <v>45193</v>
      </c>
      <c r="B87" t="n">
        <v>352</v>
      </c>
      <c r="C87" t="n">
        <v>434</v>
      </c>
      <c r="D87" t="n">
        <v>29.4</v>
      </c>
      <c r="E87" t="n">
        <v>31.4</v>
      </c>
      <c r="F87" t="n">
        <v>2.4</v>
      </c>
      <c r="G87" t="n">
        <v>97.40000000000001</v>
      </c>
      <c r="I87" t="n">
        <v>19.4</v>
      </c>
      <c r="J87" t="n">
        <v>15.4</v>
      </c>
      <c r="K87">
        <f>SUM(B87:J87)</f>
        <v/>
      </c>
    </row>
    <row r="88">
      <c r="A88" s="794" t="n">
        <v>45194</v>
      </c>
      <c r="B88" t="n">
        <v>178.2</v>
      </c>
      <c r="C88" t="n">
        <v>133.2</v>
      </c>
      <c r="D88" t="n">
        <v>14.4</v>
      </c>
      <c r="F88" t="n">
        <v>4.4</v>
      </c>
      <c r="H88" t="n">
        <v>14.4</v>
      </c>
      <c r="I88" t="n">
        <v>14.4</v>
      </c>
      <c r="J88" t="n">
        <v>15</v>
      </c>
      <c r="K88">
        <f>SUM(B88:J88)</f>
        <v/>
      </c>
    </row>
    <row r="89">
      <c r="A89" s="794" t="n">
        <v>45195</v>
      </c>
      <c r="B89" t="n">
        <v>239.6</v>
      </c>
      <c r="C89" t="n">
        <v>321.4</v>
      </c>
      <c r="D89" t="n">
        <v>14.4</v>
      </c>
      <c r="E89" t="n">
        <v>55.4</v>
      </c>
      <c r="F89" t="n">
        <v>29.4</v>
      </c>
      <c r="G89" t="n">
        <v>64.40000000000001</v>
      </c>
      <c r="H89" t="n">
        <v>19.4</v>
      </c>
      <c r="I89" t="n">
        <v>15</v>
      </c>
      <c r="K89">
        <f>SUM(B89:J89)</f>
        <v/>
      </c>
    </row>
    <row r="90">
      <c r="A90" s="794" t="n">
        <v>45196</v>
      </c>
      <c r="B90" t="n">
        <v>218.6</v>
      </c>
      <c r="C90" t="n">
        <v>285</v>
      </c>
      <c r="D90" t="n">
        <v>15</v>
      </c>
      <c r="E90" t="n">
        <v>59.4</v>
      </c>
      <c r="F90" t="n">
        <v>10</v>
      </c>
      <c r="G90" t="n">
        <v>64.40000000000001</v>
      </c>
      <c r="H90" t="n">
        <v>14.4</v>
      </c>
      <c r="I90" t="n">
        <v>34.4</v>
      </c>
      <c r="K90">
        <f>SUM(B90:J90)</f>
        <v/>
      </c>
    </row>
    <row r="91">
      <c r="A91" s="794" t="n">
        <v>45197</v>
      </c>
      <c r="B91" t="n">
        <v>198.6</v>
      </c>
      <c r="C91" t="n">
        <v>193</v>
      </c>
      <c r="D91" t="n">
        <v>15</v>
      </c>
      <c r="E91" t="n">
        <v>44.4</v>
      </c>
      <c r="F91" t="n">
        <v>14.4</v>
      </c>
      <c r="G91" t="n">
        <v>34.4</v>
      </c>
      <c r="H91" t="n">
        <v>9.4</v>
      </c>
      <c r="I91" t="n">
        <v>4.4</v>
      </c>
      <c r="K91">
        <f>SUM(B91:J91)</f>
        <v/>
      </c>
    </row>
    <row r="92">
      <c r="A92" s="794" t="n">
        <v>45198</v>
      </c>
      <c r="B92" t="n">
        <v>233.6</v>
      </c>
      <c r="C92" t="n">
        <v>247.4</v>
      </c>
      <c r="E92" t="n">
        <v>49.4</v>
      </c>
      <c r="F92" t="n">
        <v>9.4</v>
      </c>
      <c r="G92" t="n">
        <v>44.4</v>
      </c>
      <c r="H92" t="n">
        <v>9.4</v>
      </c>
      <c r="I92" t="n">
        <v>5.4</v>
      </c>
      <c r="K92">
        <f>SUM(B92:J92)</f>
        <v/>
      </c>
    </row>
    <row r="93">
      <c r="A93" s="794" t="n">
        <v>45199</v>
      </c>
      <c r="B93" t="n">
        <v>168.6</v>
      </c>
      <c r="C93" t="n">
        <v>259.4</v>
      </c>
      <c r="D93" t="n">
        <v>15</v>
      </c>
      <c r="E93" t="n">
        <v>49.4</v>
      </c>
      <c r="F93" t="n">
        <v>0.4</v>
      </c>
      <c r="G93" t="n">
        <v>1.4</v>
      </c>
      <c r="H93" t="n">
        <v>15</v>
      </c>
      <c r="I93" t="n">
        <v>34.4</v>
      </c>
      <c r="J93" t="n">
        <v>0.4</v>
      </c>
      <c r="K93">
        <f>SUM(B93:J93)</f>
        <v/>
      </c>
    </row>
    <row r="94">
      <c r="A94" s="794" t="n">
        <v>45200</v>
      </c>
      <c r="B94" t="n">
        <v>382.6</v>
      </c>
      <c r="C94" t="n">
        <v>253.6</v>
      </c>
      <c r="D94" t="n">
        <v>63.4</v>
      </c>
      <c r="F94" t="n">
        <v>19.4</v>
      </c>
      <c r="H94" t="n">
        <v>19.4</v>
      </c>
      <c r="J94" t="n">
        <v>29.4</v>
      </c>
      <c r="K94">
        <f>SUM(B94:J94)</f>
        <v/>
      </c>
    </row>
    <row r="95">
      <c r="A95" s="794" t="n">
        <v>45201</v>
      </c>
      <c r="B95" t="n">
        <v>125.2</v>
      </c>
      <c r="C95" t="n">
        <v>33.8</v>
      </c>
      <c r="D95" t="n">
        <v>4.4</v>
      </c>
      <c r="F95" t="n">
        <v>1.4</v>
      </c>
      <c r="I95" t="n">
        <v>14.4</v>
      </c>
      <c r="K95">
        <f>SUM(B95:J95)</f>
        <v/>
      </c>
    </row>
    <row r="96">
      <c r="A96" s="794" t="n">
        <v>45202</v>
      </c>
      <c r="B96" t="n">
        <v>107.6</v>
      </c>
      <c r="C96" t="n">
        <v>213.6</v>
      </c>
      <c r="D96" t="n">
        <v>9.4</v>
      </c>
      <c r="F96" t="n">
        <v>2.4</v>
      </c>
      <c r="H96" t="n">
        <v>4.4</v>
      </c>
      <c r="K96">
        <f>SUM(B96:J96)</f>
        <v/>
      </c>
    </row>
    <row r="97">
      <c r="A97" s="794" t="n">
        <v>45203</v>
      </c>
      <c r="B97" t="n">
        <v>125.6</v>
      </c>
      <c r="C97" t="n">
        <v>228.4</v>
      </c>
      <c r="D97" t="n">
        <v>9.4</v>
      </c>
      <c r="E97" t="n">
        <v>24.4</v>
      </c>
      <c r="F97" t="n">
        <v>4.4</v>
      </c>
      <c r="G97" t="n">
        <v>44.4</v>
      </c>
      <c r="K97">
        <f>SUM(B97:J97)</f>
        <v/>
      </c>
    </row>
    <row r="98">
      <c r="A98" s="794" t="n">
        <v>45204</v>
      </c>
      <c r="B98" t="n">
        <v>126.2</v>
      </c>
      <c r="C98" t="n">
        <v>213</v>
      </c>
      <c r="D98" t="n">
        <v>2.4</v>
      </c>
      <c r="E98" t="n">
        <v>24.4</v>
      </c>
      <c r="F98" t="n">
        <v>4.4</v>
      </c>
      <c r="G98" t="n">
        <v>34.4</v>
      </c>
      <c r="H98" t="n">
        <v>2.4</v>
      </c>
      <c r="I98" t="n">
        <v>4.4</v>
      </c>
      <c r="J98" t="n">
        <v>3.4</v>
      </c>
      <c r="K98">
        <f>SUM(B98:J98)</f>
        <v/>
      </c>
    </row>
    <row r="99">
      <c r="A99" s="794" t="n">
        <v>45205</v>
      </c>
      <c r="B99" t="n">
        <v>116.6</v>
      </c>
      <c r="C99" t="n">
        <v>105</v>
      </c>
      <c r="D99" t="n">
        <v>5.4</v>
      </c>
      <c r="E99" t="n">
        <v>35.4</v>
      </c>
      <c r="F99" t="n">
        <v>2.4</v>
      </c>
      <c r="G99" t="n">
        <v>34.4</v>
      </c>
      <c r="H99" t="n">
        <v>2.4</v>
      </c>
      <c r="I99" t="n">
        <v>4.4</v>
      </c>
      <c r="K99">
        <f>SUM(B99:J99)</f>
        <v/>
      </c>
    </row>
    <row r="100">
      <c r="A100" s="794" t="n">
        <v>45206</v>
      </c>
      <c r="B100" t="n">
        <v>160.6</v>
      </c>
      <c r="C100" t="n">
        <v>147</v>
      </c>
      <c r="D100" t="n">
        <v>5.4</v>
      </c>
      <c r="E100" t="n">
        <v>2.4</v>
      </c>
      <c r="G100" t="n">
        <v>14.4</v>
      </c>
      <c r="H100" t="n">
        <v>4.4</v>
      </c>
      <c r="I100" t="n">
        <v>0.4</v>
      </c>
      <c r="K100">
        <f>SUM(B100:J100)</f>
        <v/>
      </c>
    </row>
    <row r="101">
      <c r="A101" s="794" t="n">
        <v>45207</v>
      </c>
      <c r="B101" t="n">
        <v>359.2</v>
      </c>
      <c r="C101" t="n">
        <v>504.4</v>
      </c>
      <c r="D101" t="n">
        <v>52.4</v>
      </c>
      <c r="E101" t="n">
        <v>70.40000000000001</v>
      </c>
      <c r="F101" t="n">
        <v>30.4</v>
      </c>
      <c r="G101" t="n">
        <v>103.4</v>
      </c>
      <c r="I101" t="n">
        <v>27.4</v>
      </c>
      <c r="J101" t="n">
        <v>41.4</v>
      </c>
      <c r="K101">
        <f>SUM(B101:J101)</f>
        <v/>
      </c>
    </row>
    <row r="102">
      <c r="A102" s="794" t="n">
        <v>45208</v>
      </c>
      <c r="K102">
        <f>SUM(B102:J102)</f>
        <v/>
      </c>
    </row>
    <row r="103">
      <c r="A103" s="794" t="n">
        <v>45209</v>
      </c>
      <c r="B103" t="n">
        <v>162.6</v>
      </c>
      <c r="C103" t="n">
        <v>131.8</v>
      </c>
      <c r="E103" t="n">
        <v>4.4</v>
      </c>
      <c r="F103" t="n">
        <v>3.4</v>
      </c>
      <c r="H103" t="n">
        <v>4.4</v>
      </c>
      <c r="I103" t="n">
        <v>2.4</v>
      </c>
      <c r="K103">
        <f>SUM(B103:J103)</f>
        <v/>
      </c>
    </row>
    <row r="104">
      <c r="A104" s="794" t="n">
        <v>45210</v>
      </c>
      <c r="B104" t="n">
        <v>600.6</v>
      </c>
      <c r="C104" t="n">
        <v>615.4</v>
      </c>
      <c r="D104" t="n">
        <v>45.2</v>
      </c>
      <c r="E104" t="n">
        <v>140.2</v>
      </c>
      <c r="F104" t="n">
        <v>25</v>
      </c>
      <c r="G104" t="n">
        <v>192.6</v>
      </c>
      <c r="H104" t="n">
        <v>30.7</v>
      </c>
      <c r="K104">
        <f>SUM(B104:J104)</f>
        <v/>
      </c>
    </row>
    <row r="105">
      <c r="A105" s="794" t="n">
        <v>45211</v>
      </c>
      <c r="B105" t="n">
        <v>134.6</v>
      </c>
      <c r="C105" t="n">
        <v>265.8</v>
      </c>
      <c r="E105" t="n">
        <v>35.4</v>
      </c>
      <c r="G105" t="n">
        <v>29.4</v>
      </c>
      <c r="H105" t="n">
        <v>5.4</v>
      </c>
      <c r="K105">
        <f>SUM(B105:J105)</f>
        <v/>
      </c>
    </row>
    <row r="106">
      <c r="A106" s="794" t="n">
        <v>45212</v>
      </c>
      <c r="B106" t="n">
        <v>133.2</v>
      </c>
      <c r="C106" t="n">
        <v>186.6</v>
      </c>
      <c r="D106" t="n">
        <v>3.4</v>
      </c>
      <c r="E106" t="n">
        <v>24.4</v>
      </c>
      <c r="F106" t="n">
        <v>18.4</v>
      </c>
      <c r="G106" t="n">
        <v>34.4</v>
      </c>
      <c r="H106" t="n">
        <v>10.4</v>
      </c>
      <c r="K106">
        <f>SUM(B106:J106)</f>
        <v/>
      </c>
    </row>
    <row r="107">
      <c r="A107" s="794" t="n">
        <v>45213</v>
      </c>
      <c r="B107" t="n">
        <v>118.2</v>
      </c>
      <c r="C107" t="n">
        <v>200</v>
      </c>
      <c r="E107" t="n">
        <v>26.4</v>
      </c>
      <c r="F107" t="n">
        <v>34.4</v>
      </c>
      <c r="G107" t="n">
        <v>24.4</v>
      </c>
      <c r="H107" t="n">
        <v>7.4</v>
      </c>
      <c r="K107">
        <f>SUM(B107:J107)</f>
        <v/>
      </c>
    </row>
    <row r="108">
      <c r="A108" s="794" t="n">
        <v>45214</v>
      </c>
      <c r="B108" t="n">
        <v>680</v>
      </c>
      <c r="C108" t="n">
        <v>981.4</v>
      </c>
      <c r="D108" t="n">
        <v>49.4</v>
      </c>
      <c r="E108" t="n">
        <v>152.4</v>
      </c>
      <c r="F108" t="n">
        <v>30.4</v>
      </c>
      <c r="G108" t="n">
        <v>39.4</v>
      </c>
      <c r="I108" t="n">
        <v>159.4</v>
      </c>
      <c r="K108">
        <f>SUM(B108:J108)</f>
        <v/>
      </c>
    </row>
    <row r="109">
      <c r="A109" s="794" t="n">
        <v>45215</v>
      </c>
      <c r="B109" t="n">
        <v>161.6</v>
      </c>
      <c r="C109" t="n">
        <v>103.8</v>
      </c>
      <c r="D109" t="n">
        <v>19.4</v>
      </c>
      <c r="E109" t="n">
        <v>19.4</v>
      </c>
      <c r="H109" t="n">
        <v>42.4</v>
      </c>
      <c r="K109">
        <f>SUM(B109:J109)</f>
        <v/>
      </c>
    </row>
    <row r="110">
      <c r="A110" s="794" t="n">
        <v>45216</v>
      </c>
      <c r="B110" t="n">
        <v>142.6</v>
      </c>
      <c r="C110" t="n">
        <v>227</v>
      </c>
      <c r="F110" t="n">
        <v>54.4</v>
      </c>
      <c r="G110" t="n">
        <v>44.4</v>
      </c>
      <c r="H110" t="n">
        <v>4.4</v>
      </c>
      <c r="I110" t="n">
        <v>44.4</v>
      </c>
      <c r="K110">
        <f>SUM(B110:J110)</f>
        <v/>
      </c>
    </row>
    <row r="111">
      <c r="A111" s="794" t="n">
        <v>45217</v>
      </c>
      <c r="B111" t="n">
        <v>740.2</v>
      </c>
      <c r="C111" t="n">
        <v>778.5</v>
      </c>
      <c r="D111" t="n">
        <v>34</v>
      </c>
      <c r="E111" t="n">
        <v>164.2</v>
      </c>
      <c r="G111" t="n">
        <v>177.2</v>
      </c>
      <c r="I111" t="n">
        <v>14.8</v>
      </c>
      <c r="J111" t="n">
        <v>12.3</v>
      </c>
      <c r="K111">
        <f>SUM(B111:J111)</f>
        <v/>
      </c>
    </row>
    <row r="112">
      <c r="A112" s="794" t="n">
        <v>45218</v>
      </c>
      <c r="B112" t="n">
        <v>285.9</v>
      </c>
      <c r="C112" t="n">
        <v>390.8</v>
      </c>
      <c r="E112" t="n">
        <v>122.4</v>
      </c>
      <c r="F112" t="n">
        <v>19.8</v>
      </c>
      <c r="G112" t="n">
        <v>52.2</v>
      </c>
      <c r="H112" t="n">
        <v>35.3</v>
      </c>
      <c r="K112">
        <f>SUM(B112:J112)</f>
        <v/>
      </c>
    </row>
    <row r="113">
      <c r="A113" s="794" t="n">
        <v>45219</v>
      </c>
      <c r="B113" t="n">
        <v>587.8</v>
      </c>
      <c r="C113" t="n">
        <v>679.5</v>
      </c>
      <c r="E113" t="n">
        <v>118.7</v>
      </c>
      <c r="G113" t="n">
        <v>144.8</v>
      </c>
      <c r="H113" t="n">
        <v>29.6</v>
      </c>
      <c r="K113">
        <f>SUM(B113:J113)</f>
        <v/>
      </c>
    </row>
    <row r="114">
      <c r="A114" s="794" t="n">
        <v>45220</v>
      </c>
      <c r="B114" t="n">
        <v>477.6</v>
      </c>
      <c r="C114" t="n">
        <v>688.1</v>
      </c>
      <c r="D114" t="n">
        <v>27.7</v>
      </c>
      <c r="E114" t="n">
        <v>91.7</v>
      </c>
      <c r="F114" t="n">
        <v>15.5</v>
      </c>
      <c r="G114" t="n">
        <v>121.1</v>
      </c>
      <c r="H114" t="n">
        <v>26.5</v>
      </c>
      <c r="I114" t="n">
        <v>27.7</v>
      </c>
      <c r="J114" t="n">
        <v>5.3</v>
      </c>
      <c r="K114">
        <f>SUM(B114:J114)</f>
        <v/>
      </c>
    </row>
    <row r="115">
      <c r="A115" s="794" t="n">
        <v>45221</v>
      </c>
      <c r="B115" t="n">
        <v>474.2</v>
      </c>
      <c r="D115" t="n">
        <v>343.3</v>
      </c>
      <c r="E115" t="n">
        <v>34.5</v>
      </c>
      <c r="F115" t="n">
        <v>16.5</v>
      </c>
      <c r="G115" t="n">
        <v>112.1</v>
      </c>
      <c r="H115" t="n">
        <v>0.5</v>
      </c>
      <c r="I115" t="n">
        <v>23.1</v>
      </c>
      <c r="J115" t="n">
        <v>1.4</v>
      </c>
      <c r="K115">
        <f>SUM(B115:J115)</f>
        <v/>
      </c>
    </row>
    <row r="116">
      <c r="A116" s="794" t="n">
        <v>45222</v>
      </c>
      <c r="B116" t="n">
        <v>334.1</v>
      </c>
      <c r="C116" t="n">
        <v>7.8</v>
      </c>
      <c r="D116" t="n">
        <v>359.8</v>
      </c>
      <c r="G116" t="n">
        <v>0.8</v>
      </c>
      <c r="H116" t="n">
        <v>17.4</v>
      </c>
      <c r="I116" t="n">
        <v>43.7</v>
      </c>
      <c r="J116" t="n">
        <v>3</v>
      </c>
      <c r="K116">
        <f>SUM(B116:J116)</f>
        <v/>
      </c>
    </row>
    <row r="117">
      <c r="A117" s="794" t="n">
        <v>45223</v>
      </c>
      <c r="B117" t="n">
        <v>375.9</v>
      </c>
      <c r="D117" t="n">
        <v>258</v>
      </c>
      <c r="F117" t="n">
        <v>15.5</v>
      </c>
      <c r="H117" t="n">
        <v>21.6</v>
      </c>
      <c r="I117" t="n">
        <v>32.1</v>
      </c>
      <c r="J117" t="n">
        <v>6.6</v>
      </c>
      <c r="K117">
        <f>SUM(B117:J117)</f>
        <v/>
      </c>
    </row>
    <row r="118">
      <c r="A118" s="794" t="n">
        <v>45224</v>
      </c>
      <c r="B118" t="n">
        <v>583.5</v>
      </c>
      <c r="C118" t="n">
        <v>747.2</v>
      </c>
      <c r="D118" t="n">
        <v>32.8</v>
      </c>
      <c r="E118" t="n">
        <v>131.7</v>
      </c>
      <c r="F118" t="n">
        <v>21.4</v>
      </c>
      <c r="G118" t="n">
        <v>159.2</v>
      </c>
      <c r="H118" t="n">
        <v>32.2</v>
      </c>
      <c r="I118" t="n">
        <v>15.5</v>
      </c>
      <c r="J118" t="n">
        <v>10.4</v>
      </c>
      <c r="K118">
        <f>SUM(B118:J118)</f>
        <v/>
      </c>
    </row>
    <row r="119">
      <c r="A119" s="794" t="n">
        <v>45225</v>
      </c>
      <c r="B119" t="n">
        <v>604.8</v>
      </c>
      <c r="C119" t="n">
        <v>646.9</v>
      </c>
      <c r="D119" t="n">
        <v>18.2</v>
      </c>
      <c r="E119" t="n">
        <v>125.6</v>
      </c>
      <c r="F119" t="n">
        <v>5.2</v>
      </c>
      <c r="G119" t="n">
        <v>132.9</v>
      </c>
      <c r="H119" t="n">
        <v>29.9</v>
      </c>
      <c r="I119" t="n">
        <v>29.2</v>
      </c>
      <c r="J119" t="n">
        <v>10.3</v>
      </c>
      <c r="K119">
        <f>SUM(B119:J119)</f>
        <v/>
      </c>
    </row>
    <row r="120">
      <c r="A120" s="794" t="n">
        <v>45226</v>
      </c>
      <c r="B120" t="n">
        <v>552.8</v>
      </c>
      <c r="C120" t="n">
        <v>626.8</v>
      </c>
      <c r="D120" t="n">
        <v>12.8</v>
      </c>
      <c r="E120" t="n">
        <v>98.5</v>
      </c>
      <c r="F120" t="n">
        <v>9.800000000000001</v>
      </c>
      <c r="G120" t="n">
        <v>153.8</v>
      </c>
      <c r="H120" t="n">
        <v>29.9</v>
      </c>
      <c r="I120" t="n">
        <v>16.2</v>
      </c>
      <c r="J120" t="n">
        <v>2.8</v>
      </c>
      <c r="K120">
        <f>SUM(B120:J120)</f>
        <v/>
      </c>
    </row>
    <row r="121">
      <c r="A121" s="794" t="n">
        <v>45227</v>
      </c>
      <c r="B121" t="n">
        <v>443.8</v>
      </c>
      <c r="C121" t="n">
        <v>518.4</v>
      </c>
      <c r="D121" t="n">
        <v>65.40000000000001</v>
      </c>
      <c r="E121" t="n">
        <v>86.40000000000001</v>
      </c>
      <c r="F121" t="n">
        <v>24.8</v>
      </c>
      <c r="G121" t="n">
        <v>126.4</v>
      </c>
      <c r="H121" t="n">
        <v>16.7</v>
      </c>
      <c r="I121" t="n">
        <v>33.8</v>
      </c>
      <c r="J121" t="n">
        <v>8.699999999999999</v>
      </c>
      <c r="K121">
        <f>SUM(B121:J121)</f>
        <v/>
      </c>
    </row>
    <row r="122">
      <c r="A122" s="794" t="n">
        <v>45228</v>
      </c>
      <c r="B122" t="n">
        <v>415.9</v>
      </c>
      <c r="C122" t="n">
        <v>443.3</v>
      </c>
      <c r="D122" t="n">
        <v>46.3</v>
      </c>
      <c r="E122" t="n">
        <v>34.9</v>
      </c>
      <c r="F122" t="n">
        <v>22.3</v>
      </c>
      <c r="G122" t="n">
        <v>103.8</v>
      </c>
      <c r="H122" t="n">
        <v>0.4</v>
      </c>
      <c r="I122" t="n">
        <v>25.6</v>
      </c>
      <c r="J122" t="n">
        <v>4.4</v>
      </c>
      <c r="K122">
        <f>SUM(B122:J122)</f>
        <v/>
      </c>
    </row>
    <row r="123">
      <c r="A123" s="794" t="n">
        <v>45229</v>
      </c>
      <c r="B123" t="n">
        <v>329.8</v>
      </c>
      <c r="C123" t="n">
        <v>206.4</v>
      </c>
      <c r="D123" t="n">
        <v>29.9</v>
      </c>
      <c r="F123" t="n">
        <v>13.3</v>
      </c>
      <c r="H123" t="n">
        <v>21</v>
      </c>
      <c r="I123" t="n">
        <v>32.3</v>
      </c>
      <c r="J123" t="n">
        <v>14</v>
      </c>
      <c r="K123">
        <f>SUM(B123:J123)</f>
        <v/>
      </c>
    </row>
    <row r="124">
      <c r="A124" s="794" t="n">
        <v>45230</v>
      </c>
      <c r="B124" t="n">
        <v>481.3</v>
      </c>
      <c r="C124" t="n">
        <v>650.5</v>
      </c>
      <c r="D124" t="n">
        <v>25.2</v>
      </c>
      <c r="E124" t="n">
        <v>80.7</v>
      </c>
      <c r="F124" t="n">
        <v>16</v>
      </c>
      <c r="G124" t="n">
        <v>135</v>
      </c>
      <c r="H124" t="n">
        <v>36.3</v>
      </c>
      <c r="I124" t="n">
        <v>12.8</v>
      </c>
      <c r="J124" t="n">
        <v>3.6</v>
      </c>
      <c r="K124">
        <f>SUM(B124:J124)</f>
        <v/>
      </c>
    </row>
    <row r="125">
      <c r="A125" s="794" t="n">
        <v>45231</v>
      </c>
      <c r="B125" t="n">
        <v>482.5</v>
      </c>
      <c r="C125" t="n">
        <v>656.3</v>
      </c>
      <c r="D125" t="n">
        <v>44.1</v>
      </c>
      <c r="E125" t="n">
        <v>133.2</v>
      </c>
      <c r="F125" t="n">
        <v>29.7</v>
      </c>
      <c r="G125" t="n">
        <v>144.3</v>
      </c>
      <c r="H125" t="n">
        <v>27.4</v>
      </c>
      <c r="I125" t="n">
        <v>54.1</v>
      </c>
      <c r="J125" t="n">
        <v>4.8</v>
      </c>
      <c r="K125">
        <f>SUM(B125:J125)</f>
        <v/>
      </c>
    </row>
    <row r="126">
      <c r="A126" s="794" t="n">
        <v>45232</v>
      </c>
      <c r="B126" t="n">
        <v>461</v>
      </c>
      <c r="C126" t="n">
        <v>624</v>
      </c>
      <c r="D126" t="n">
        <v>66.3</v>
      </c>
      <c r="E126" t="n">
        <v>117.8</v>
      </c>
      <c r="F126" t="n">
        <v>6.3</v>
      </c>
      <c r="G126" t="n">
        <v>155.6</v>
      </c>
      <c r="H126" t="n">
        <v>33.7</v>
      </c>
      <c r="I126" t="n">
        <v>8.199999999999999</v>
      </c>
      <c r="J126" t="n">
        <v>6</v>
      </c>
      <c r="K126">
        <f>SUM(B126:J126)</f>
        <v/>
      </c>
    </row>
    <row r="127">
      <c r="A127" s="794" t="n">
        <v>45233</v>
      </c>
      <c r="B127" t="n">
        <v>451.4</v>
      </c>
      <c r="C127" t="n">
        <v>683.4</v>
      </c>
      <c r="D127" t="n">
        <v>35.6</v>
      </c>
      <c r="E127" t="n">
        <v>104.6</v>
      </c>
      <c r="F127" t="n">
        <v>26.1</v>
      </c>
      <c r="G127" t="n">
        <v>147.9</v>
      </c>
      <c r="H127" t="n">
        <v>30.8</v>
      </c>
      <c r="I127" t="n">
        <v>34.7</v>
      </c>
      <c r="J127" t="n">
        <v>9.9</v>
      </c>
      <c r="K127">
        <f>SUM(B127:J127)</f>
        <v/>
      </c>
    </row>
    <row r="128">
      <c r="A128" s="794" t="n">
        <v>45234</v>
      </c>
      <c r="B128" t="n">
        <v>429.8</v>
      </c>
      <c r="C128" t="n">
        <v>688.1</v>
      </c>
      <c r="D128" t="n">
        <v>20.3</v>
      </c>
      <c r="E128" t="n">
        <v>106.8</v>
      </c>
      <c r="F128" t="n">
        <v>15.6</v>
      </c>
      <c r="G128" t="n">
        <v>139.6</v>
      </c>
      <c r="H128" t="n">
        <v>21.3</v>
      </c>
      <c r="I128" t="n">
        <v>19.2</v>
      </c>
      <c r="K128">
        <f>SUM(B128:J128)</f>
        <v/>
      </c>
    </row>
    <row r="129">
      <c r="A129" s="794" t="n">
        <v>45235</v>
      </c>
      <c r="B129" t="n">
        <v>415.7</v>
      </c>
      <c r="C129" t="n">
        <v>419.2</v>
      </c>
      <c r="D129" t="n">
        <v>36.5</v>
      </c>
      <c r="E129" t="n">
        <v>24.6</v>
      </c>
      <c r="F129" t="n">
        <v>12.2</v>
      </c>
      <c r="G129" t="n">
        <v>105.1</v>
      </c>
      <c r="H129" t="n">
        <v>0.5</v>
      </c>
      <c r="I129" t="n">
        <v>43.1</v>
      </c>
      <c r="J129" t="n">
        <v>4.1</v>
      </c>
      <c r="K129">
        <f>SUM(B129:J129)</f>
        <v/>
      </c>
    </row>
    <row r="130">
      <c r="A130" s="794" t="n">
        <v>45236</v>
      </c>
      <c r="B130" t="n">
        <v>438.4</v>
      </c>
      <c r="C130" t="n">
        <v>273.8</v>
      </c>
      <c r="D130" t="n">
        <v>44.3</v>
      </c>
      <c r="F130" t="n">
        <v>7.3</v>
      </c>
      <c r="G130" t="n">
        <v>2.4</v>
      </c>
      <c r="H130" t="n">
        <v>22.7</v>
      </c>
      <c r="I130" t="n">
        <v>45.6</v>
      </c>
      <c r="J130" t="n">
        <v>9.9</v>
      </c>
      <c r="K130">
        <f>SUM(B130:J130)</f>
        <v/>
      </c>
    </row>
    <row r="131">
      <c r="A131" s="794" t="n">
        <v>45237</v>
      </c>
      <c r="B131" t="n">
        <v>583.9</v>
      </c>
      <c r="C131" t="n">
        <v>691.4</v>
      </c>
      <c r="D131" t="n">
        <v>27.6</v>
      </c>
      <c r="E131" t="n">
        <v>118.3</v>
      </c>
      <c r="F131" t="n">
        <v>9.800000000000001</v>
      </c>
      <c r="G131" t="n">
        <v>138.6</v>
      </c>
      <c r="H131" t="n">
        <v>30.9</v>
      </c>
      <c r="I131" t="n">
        <v>21.2</v>
      </c>
      <c r="K131">
        <f>SUM(B131:J131)</f>
        <v/>
      </c>
    </row>
    <row r="132">
      <c r="A132" s="794" t="n">
        <v>45238</v>
      </c>
      <c r="B132" t="n">
        <v>576.5</v>
      </c>
      <c r="C132" t="n">
        <v>646.8</v>
      </c>
      <c r="D132" t="n">
        <v>24.7</v>
      </c>
      <c r="E132" t="n">
        <v>111.6</v>
      </c>
      <c r="F132" t="n">
        <v>13</v>
      </c>
      <c r="G132" t="n">
        <v>146.6</v>
      </c>
      <c r="H132" t="n">
        <v>33</v>
      </c>
      <c r="I132" t="n">
        <v>17.6</v>
      </c>
      <c r="J132" t="n">
        <v>9.4</v>
      </c>
      <c r="K132">
        <f>SUM(B132:J132)</f>
        <v/>
      </c>
    </row>
    <row r="133">
      <c r="A133" s="794" t="n">
        <v>45239</v>
      </c>
      <c r="B133" t="n">
        <v>547.3</v>
      </c>
      <c r="C133" t="n">
        <v>668.2</v>
      </c>
      <c r="D133" t="n">
        <v>31.7</v>
      </c>
      <c r="E133" t="n">
        <v>97.5</v>
      </c>
      <c r="F133" t="n">
        <v>31.3</v>
      </c>
      <c r="G133" t="n">
        <v>144.4</v>
      </c>
      <c r="H133" t="n">
        <v>32.3</v>
      </c>
      <c r="I133" t="n">
        <v>20.2</v>
      </c>
      <c r="J133" t="n">
        <v>7.9</v>
      </c>
      <c r="K133">
        <f>SUM(B133:J133)</f>
        <v/>
      </c>
    </row>
    <row r="134">
      <c r="A134" s="794" t="n">
        <v>45240</v>
      </c>
      <c r="B134" t="n">
        <v>498.1</v>
      </c>
      <c r="C134" t="n">
        <v>820.5</v>
      </c>
      <c r="D134" t="n">
        <v>17.5</v>
      </c>
      <c r="E134" t="n">
        <v>80.40000000000001</v>
      </c>
      <c r="F134" t="n">
        <v>8.9</v>
      </c>
      <c r="G134" t="n">
        <v>140.8</v>
      </c>
      <c r="H134" t="n">
        <v>30.9</v>
      </c>
      <c r="I134" t="n">
        <v>11.7</v>
      </c>
      <c r="J134" t="n">
        <v>7.4</v>
      </c>
      <c r="K134">
        <f>SUM(B134:J134)</f>
        <v/>
      </c>
    </row>
    <row r="135">
      <c r="A135" s="794" t="n">
        <v>45241</v>
      </c>
      <c r="B135" t="n">
        <v>470.3</v>
      </c>
      <c r="C135" t="n">
        <v>567.4</v>
      </c>
      <c r="D135" t="n">
        <v>39.6</v>
      </c>
      <c r="E135" t="n">
        <v>92.40000000000001</v>
      </c>
      <c r="F135" t="n">
        <v>24.3</v>
      </c>
      <c r="G135" t="n">
        <v>140.9</v>
      </c>
      <c r="H135" t="n">
        <v>22.5</v>
      </c>
      <c r="I135" t="n">
        <v>21.9</v>
      </c>
      <c r="K135">
        <f>SUM(B135:J135)</f>
        <v/>
      </c>
    </row>
    <row r="136">
      <c r="A136" s="794" t="n">
        <v>45242</v>
      </c>
      <c r="B136" t="n">
        <v>449.4</v>
      </c>
      <c r="C136" t="n">
        <v>409.3</v>
      </c>
      <c r="D136" t="n">
        <v>37.8</v>
      </c>
      <c r="E136" t="n">
        <v>17.1</v>
      </c>
      <c r="F136" t="n">
        <v>11.7</v>
      </c>
      <c r="G136" t="n">
        <v>105.1</v>
      </c>
      <c r="H136" t="n">
        <v>3</v>
      </c>
      <c r="I136" t="n">
        <v>7.3</v>
      </c>
      <c r="K136">
        <f>SUM(B136:J136)</f>
        <v/>
      </c>
    </row>
    <row r="137">
      <c r="A137" s="794" t="n">
        <v>45243</v>
      </c>
      <c r="B137" t="n">
        <v>350.1</v>
      </c>
      <c r="C137" t="n">
        <v>292</v>
      </c>
      <c r="D137" t="n">
        <v>14.2</v>
      </c>
      <c r="F137" t="n">
        <v>12.3</v>
      </c>
      <c r="H137" t="n">
        <v>22.5</v>
      </c>
      <c r="I137" t="n">
        <v>22</v>
      </c>
      <c r="J137" t="n">
        <v>5.5</v>
      </c>
      <c r="K137">
        <f>SUM(B137:J137)</f>
        <v/>
      </c>
    </row>
    <row r="138">
      <c r="A138" s="794" t="n">
        <v>45244</v>
      </c>
      <c r="B138" t="n">
        <v>505.3</v>
      </c>
      <c r="C138" t="n">
        <v>713.2</v>
      </c>
      <c r="D138" t="n">
        <v>18.5</v>
      </c>
      <c r="E138" t="n">
        <v>90.7</v>
      </c>
      <c r="F138" t="n">
        <v>24.3</v>
      </c>
      <c r="G138" t="n">
        <v>163.1</v>
      </c>
      <c r="H138" t="n">
        <v>21</v>
      </c>
      <c r="I138" t="n">
        <v>44</v>
      </c>
      <c r="J138" t="n">
        <v>11.8</v>
      </c>
      <c r="K138">
        <f>SUM(B138:J138)</f>
        <v/>
      </c>
    </row>
    <row r="139">
      <c r="A139" s="794" t="n">
        <v>45245</v>
      </c>
      <c r="B139" t="n">
        <v>511.6</v>
      </c>
      <c r="C139" t="n">
        <v>605.1</v>
      </c>
      <c r="D139" t="n">
        <v>7.6</v>
      </c>
      <c r="E139" t="n">
        <v>96.5</v>
      </c>
      <c r="F139" t="n">
        <v>14</v>
      </c>
      <c r="G139" t="n">
        <v>154.1</v>
      </c>
      <c r="H139" t="n">
        <v>32.8</v>
      </c>
      <c r="I139" t="n">
        <v>11.4</v>
      </c>
      <c r="K139">
        <f>SUM(B139:J139)</f>
        <v/>
      </c>
    </row>
    <row r="140">
      <c r="A140" s="794" t="n">
        <v>45246</v>
      </c>
      <c r="B140" t="n">
        <v>533.7</v>
      </c>
      <c r="C140" t="n">
        <v>658.1</v>
      </c>
      <c r="D140" t="n">
        <v>45.6</v>
      </c>
      <c r="E140" t="n">
        <v>107.1</v>
      </c>
      <c r="F140" t="n">
        <v>8.800000000000001</v>
      </c>
      <c r="G140" t="n">
        <v>139.7</v>
      </c>
      <c r="H140" t="n">
        <v>33</v>
      </c>
      <c r="I140" t="n">
        <v>6.2</v>
      </c>
      <c r="K140">
        <f>SUM(B140:J140)</f>
        <v/>
      </c>
    </row>
    <row r="141">
      <c r="A141" s="794" t="n">
        <v>45247</v>
      </c>
      <c r="B141" t="n">
        <v>466</v>
      </c>
      <c r="C141" t="n">
        <v>692.6</v>
      </c>
      <c r="D141" t="n">
        <v>28.3</v>
      </c>
      <c r="E141" t="n">
        <v>88.59999999999999</v>
      </c>
      <c r="F141" t="n">
        <v>7.9</v>
      </c>
      <c r="G141" t="n">
        <v>143.3</v>
      </c>
      <c r="H141" t="n">
        <v>30.1</v>
      </c>
      <c r="I141" t="n">
        <v>30.6</v>
      </c>
      <c r="J141" t="n">
        <v>1.2</v>
      </c>
      <c r="K141">
        <f>SUM(B141:J141)</f>
        <v/>
      </c>
    </row>
    <row r="142">
      <c r="A142" s="794" t="n">
        <v>45248</v>
      </c>
      <c r="B142" t="n">
        <v>442</v>
      </c>
      <c r="C142" t="n">
        <v>557</v>
      </c>
      <c r="D142" t="n">
        <v>8.5</v>
      </c>
      <c r="E142" t="n">
        <v>111.6</v>
      </c>
      <c r="F142" t="n">
        <v>22.7</v>
      </c>
      <c r="G142" t="n">
        <v>133.7</v>
      </c>
      <c r="H142" t="n">
        <v>22.5</v>
      </c>
      <c r="I142" t="n">
        <v>6</v>
      </c>
      <c r="J142" t="n">
        <v>6</v>
      </c>
      <c r="K142">
        <f>SUM(B142:J142)</f>
        <v/>
      </c>
    </row>
    <row r="143">
      <c r="A143" s="794" t="n">
        <v>45249</v>
      </c>
      <c r="B143" t="n">
        <v>390.5</v>
      </c>
      <c r="C143" t="n">
        <v>304.6</v>
      </c>
      <c r="D143" t="n">
        <v>13.6</v>
      </c>
      <c r="E143" t="n">
        <v>38.5</v>
      </c>
      <c r="F143" t="n">
        <v>17.7</v>
      </c>
      <c r="G143" t="n">
        <v>107.6</v>
      </c>
      <c r="H143" t="n">
        <v>2.1</v>
      </c>
      <c r="I143" t="n">
        <v>26.9</v>
      </c>
      <c r="K143">
        <f>SUM(B143:J143)</f>
        <v/>
      </c>
    </row>
    <row r="144">
      <c r="A144" s="794" t="n">
        <v>45250</v>
      </c>
      <c r="B144" t="n">
        <v>287.9</v>
      </c>
      <c r="C144" t="n">
        <v>249.7</v>
      </c>
      <c r="D144" t="n">
        <v>27.2</v>
      </c>
      <c r="F144" t="n">
        <v>21</v>
      </c>
      <c r="H144" t="n">
        <v>19.1</v>
      </c>
      <c r="I144" t="n">
        <v>47.1</v>
      </c>
      <c r="J144" t="n">
        <v>8</v>
      </c>
      <c r="K144">
        <f>SUM(B144:J144)</f>
        <v/>
      </c>
    </row>
    <row r="145">
      <c r="A145" s="794" t="n">
        <v>45251</v>
      </c>
      <c r="B145" t="n">
        <v>469.7</v>
      </c>
      <c r="C145" t="n">
        <v>616.7</v>
      </c>
      <c r="D145" t="n">
        <v>12.9</v>
      </c>
      <c r="E145" t="n">
        <v>128.8</v>
      </c>
      <c r="F145" t="n">
        <v>29.6</v>
      </c>
      <c r="G145" t="n">
        <v>141.7</v>
      </c>
      <c r="H145" t="n">
        <v>34.3</v>
      </c>
      <c r="I145" t="n">
        <v>16.2</v>
      </c>
      <c r="K145">
        <f>SUM(B145:J145)</f>
        <v/>
      </c>
    </row>
    <row r="146">
      <c r="A146" s="794" t="n">
        <v>45252</v>
      </c>
      <c r="B146" t="n">
        <v>494.1</v>
      </c>
      <c r="C146" t="n">
        <v>807.6</v>
      </c>
      <c r="D146" t="n">
        <v>6.6</v>
      </c>
      <c r="E146" t="n">
        <v>82.90000000000001</v>
      </c>
      <c r="F146" t="n">
        <v>15.3</v>
      </c>
      <c r="G146" t="n">
        <v>169.1</v>
      </c>
      <c r="H146" t="n">
        <v>32.1</v>
      </c>
      <c r="I146" t="n">
        <v>21.2</v>
      </c>
      <c r="J146" t="n">
        <v>5.2</v>
      </c>
      <c r="K146">
        <f>SUM(B146:J146)</f>
        <v/>
      </c>
    </row>
    <row r="147">
      <c r="A147" s="794" t="n">
        <v>45253</v>
      </c>
      <c r="B147" t="n">
        <v>477.5</v>
      </c>
      <c r="C147" t="n">
        <v>661.8</v>
      </c>
      <c r="D147" t="n">
        <v>3.9</v>
      </c>
      <c r="E147" t="n">
        <v>106.9</v>
      </c>
      <c r="F147" t="n">
        <v>19</v>
      </c>
      <c r="G147" t="n">
        <v>139.3</v>
      </c>
      <c r="H147" t="n">
        <v>38.6</v>
      </c>
      <c r="I147" t="n">
        <v>42.2</v>
      </c>
      <c r="J147" t="n">
        <v>7.1</v>
      </c>
      <c r="K147">
        <f>SUM(B147:J147)</f>
        <v/>
      </c>
    </row>
    <row r="148">
      <c r="A148" s="794" t="n">
        <v>45254</v>
      </c>
      <c r="B148" t="n">
        <v>539.4</v>
      </c>
      <c r="C148" t="n">
        <v>603.4</v>
      </c>
      <c r="D148" t="n">
        <v>12.6</v>
      </c>
      <c r="E148" t="n">
        <v>100.2</v>
      </c>
      <c r="F148" t="n">
        <v>26.4</v>
      </c>
      <c r="G148" t="n">
        <v>149.2</v>
      </c>
      <c r="H148" t="n">
        <v>32.5</v>
      </c>
      <c r="I148" t="n">
        <v>10.1</v>
      </c>
      <c r="J148" t="n">
        <v>6.9</v>
      </c>
      <c r="K148">
        <f>SUM(B148:J148)</f>
        <v/>
      </c>
    </row>
    <row r="149">
      <c r="A149" s="794" t="n">
        <v>45255</v>
      </c>
      <c r="B149" t="n">
        <v>544.9</v>
      </c>
      <c r="C149" t="n">
        <v>571.1</v>
      </c>
      <c r="D149" t="n">
        <v>17.5</v>
      </c>
      <c r="E149" t="n">
        <v>112.8</v>
      </c>
      <c r="F149" t="n">
        <v>27.4</v>
      </c>
      <c r="G149" t="n">
        <v>143.3</v>
      </c>
      <c r="H149" t="n">
        <v>25</v>
      </c>
      <c r="I149" t="n">
        <v>8</v>
      </c>
      <c r="K149">
        <f>SUM(B149:J149)</f>
        <v/>
      </c>
    </row>
    <row r="150">
      <c r="A150" s="794" t="n">
        <v>45256</v>
      </c>
      <c r="B150" t="n">
        <v>546.4</v>
      </c>
      <c r="C150" t="n">
        <v>459.7</v>
      </c>
      <c r="D150" t="n">
        <v>11.9</v>
      </c>
      <c r="E150" t="n">
        <v>12.6</v>
      </c>
      <c r="F150" t="n">
        <v>37.2</v>
      </c>
      <c r="G150" t="n">
        <v>143.7</v>
      </c>
      <c r="H150" t="n">
        <v>1.5</v>
      </c>
      <c r="I150" t="n">
        <v>6</v>
      </c>
      <c r="J150" t="n">
        <v>5.8</v>
      </c>
      <c r="K150">
        <f>SUM(B150:J150)</f>
        <v/>
      </c>
    </row>
    <row r="151">
      <c r="A151" s="794" t="n">
        <v>45257</v>
      </c>
      <c r="B151" t="n">
        <v>401.8</v>
      </c>
      <c r="C151" t="n">
        <v>244.2</v>
      </c>
      <c r="D151" t="n">
        <v>3.6</v>
      </c>
      <c r="E151" t="n">
        <v>38.6</v>
      </c>
      <c r="F151" t="n">
        <v>21.1</v>
      </c>
      <c r="H151" t="n">
        <v>22.2</v>
      </c>
      <c r="I151" t="n">
        <v>17.9</v>
      </c>
      <c r="J151" t="n">
        <v>11.9</v>
      </c>
      <c r="K151">
        <f>SUM(B151:J151)</f>
        <v/>
      </c>
    </row>
    <row r="152">
      <c r="A152" s="794" t="n">
        <v>45258</v>
      </c>
      <c r="B152" t="n">
        <v>509.3</v>
      </c>
      <c r="C152" t="n">
        <v>583.8</v>
      </c>
      <c r="D152" t="n">
        <v>15.7</v>
      </c>
      <c r="E152" t="n">
        <v>110.9</v>
      </c>
      <c r="F152" t="n">
        <v>20.5</v>
      </c>
      <c r="G152" t="n">
        <v>152.8</v>
      </c>
      <c r="H152" t="n">
        <v>38.1</v>
      </c>
      <c r="I152" t="n">
        <v>11.8</v>
      </c>
      <c r="K152">
        <f>SUM(B152:J152)</f>
        <v/>
      </c>
    </row>
    <row r="153">
      <c r="A153" s="794" t="n">
        <v>45259</v>
      </c>
      <c r="B153" t="n">
        <v>532.5</v>
      </c>
      <c r="C153" t="n">
        <v>605.9</v>
      </c>
      <c r="D153" t="n">
        <v>107.3</v>
      </c>
      <c r="E153" t="n">
        <v>86.3</v>
      </c>
      <c r="F153" t="n">
        <v>10.9</v>
      </c>
      <c r="G153" t="n">
        <v>161.8</v>
      </c>
      <c r="H153" t="n">
        <v>36.2</v>
      </c>
      <c r="I153" t="n">
        <v>13.4</v>
      </c>
      <c r="K153">
        <f>SUM(B153:J153)</f>
        <v/>
      </c>
    </row>
    <row r="154">
      <c r="A154" s="794" t="n">
        <v>45260</v>
      </c>
      <c r="B154" t="n">
        <v>582.8</v>
      </c>
      <c r="C154" t="n">
        <v>684.4</v>
      </c>
      <c r="D154" t="n">
        <v>16</v>
      </c>
      <c r="E154" t="n">
        <v>104.7</v>
      </c>
      <c r="F154" t="n">
        <v>13.5</v>
      </c>
      <c r="G154" t="n">
        <v>150.2</v>
      </c>
      <c r="H154" t="n">
        <v>38</v>
      </c>
      <c r="I154" t="n">
        <v>4.8</v>
      </c>
      <c r="K154">
        <f>SUM(B154:J154)</f>
        <v/>
      </c>
    </row>
    <row r="155">
      <c r="A155" s="794" t="n">
        <v>45261</v>
      </c>
      <c r="B155" t="n">
        <v>517.7</v>
      </c>
      <c r="C155" t="n">
        <v>660.1</v>
      </c>
      <c r="D155" t="n">
        <v>16.7</v>
      </c>
      <c r="E155" t="n">
        <v>105.6</v>
      </c>
      <c r="F155" t="n">
        <v>10.5</v>
      </c>
      <c r="G155" t="n">
        <v>135.1</v>
      </c>
      <c r="H155" t="n">
        <v>27.8</v>
      </c>
      <c r="I155" t="n">
        <v>36</v>
      </c>
      <c r="K155">
        <f>SUM(B155:J155)</f>
        <v/>
      </c>
    </row>
    <row r="156">
      <c r="A156" s="794" t="n">
        <v>45262</v>
      </c>
      <c r="B156" t="n">
        <v>417.8</v>
      </c>
      <c r="C156" t="n">
        <v>507.3</v>
      </c>
      <c r="D156" t="n">
        <v>16.8</v>
      </c>
      <c r="E156" t="n">
        <v>76.2</v>
      </c>
      <c r="F156" t="n">
        <v>14.5</v>
      </c>
      <c r="G156" t="n">
        <v>133.2</v>
      </c>
      <c r="H156" t="n">
        <v>13.1</v>
      </c>
      <c r="I156" t="n">
        <v>21.3</v>
      </c>
      <c r="K156">
        <f>SUM(B156:J156)</f>
        <v/>
      </c>
    </row>
    <row r="157">
      <c r="A157" s="794" t="n">
        <v>45263</v>
      </c>
      <c r="B157" t="n">
        <v>506.9</v>
      </c>
      <c r="C157" t="n">
        <v>367</v>
      </c>
      <c r="D157" t="n">
        <v>25.4</v>
      </c>
      <c r="E157" t="n">
        <v>61.4</v>
      </c>
      <c r="F157" t="n">
        <v>19.1</v>
      </c>
      <c r="G157" t="n">
        <v>129.6</v>
      </c>
      <c r="H157" t="n">
        <v>4.4</v>
      </c>
      <c r="I157" t="n">
        <v>27</v>
      </c>
      <c r="K157">
        <f>SUM(B157:J157)</f>
        <v/>
      </c>
    </row>
    <row r="158">
      <c r="A158" s="794" t="n">
        <v>45264</v>
      </c>
      <c r="B158" t="n">
        <v>443.5</v>
      </c>
      <c r="C158" t="n">
        <v>297.7</v>
      </c>
      <c r="D158" t="n">
        <v>23.5</v>
      </c>
      <c r="E158" t="n">
        <v>59.2</v>
      </c>
      <c r="F158" t="n">
        <v>24.4</v>
      </c>
      <c r="H158" t="n">
        <v>18.3</v>
      </c>
      <c r="I158" t="n">
        <v>26.6</v>
      </c>
      <c r="J158" t="n">
        <v>14.3</v>
      </c>
      <c r="K158">
        <f>SUM(B158:J158)</f>
        <v/>
      </c>
    </row>
    <row r="159">
      <c r="A159" s="794" t="n">
        <v>45265</v>
      </c>
      <c r="B159" t="n">
        <v>522.6</v>
      </c>
      <c r="C159" t="n">
        <v>504.9</v>
      </c>
      <c r="D159" t="n">
        <v>20.5</v>
      </c>
      <c r="E159" t="n">
        <v>76.2</v>
      </c>
      <c r="F159" t="n">
        <v>30.7</v>
      </c>
      <c r="G159" t="n">
        <v>131.7</v>
      </c>
      <c r="H159" t="n">
        <v>30.8</v>
      </c>
      <c r="I159" t="n">
        <v>13.1</v>
      </c>
      <c r="K159">
        <f>SUM(B159:J159)</f>
        <v/>
      </c>
    </row>
    <row r="160">
      <c r="A160" s="794" t="n">
        <v>45266</v>
      </c>
      <c r="B160" t="n">
        <v>484.8</v>
      </c>
      <c r="C160" t="n">
        <v>599.3</v>
      </c>
      <c r="D160" t="n">
        <v>21.7</v>
      </c>
      <c r="E160" t="n">
        <v>65.8</v>
      </c>
      <c r="F160" t="n">
        <v>10.6</v>
      </c>
      <c r="G160" t="n">
        <v>133.3</v>
      </c>
      <c r="H160" t="n">
        <v>22.3</v>
      </c>
      <c r="I160" t="n">
        <v>16.8</v>
      </c>
      <c r="K160">
        <f>SUM(B160:J160)</f>
        <v/>
      </c>
    </row>
    <row r="161">
      <c r="A161" s="794" t="n">
        <v>45267</v>
      </c>
      <c r="B161" t="n">
        <v>492</v>
      </c>
      <c r="C161" t="n">
        <v>548.9</v>
      </c>
      <c r="D161" t="n">
        <v>25.3</v>
      </c>
      <c r="E161" t="n">
        <v>95.3</v>
      </c>
      <c r="F161" t="n">
        <v>13.2</v>
      </c>
      <c r="G161" t="n">
        <v>117.5</v>
      </c>
      <c r="H161" t="n">
        <v>31.4</v>
      </c>
      <c r="I161" t="n">
        <v>37.2</v>
      </c>
      <c r="K161">
        <f>SUM(B161:J161)</f>
        <v/>
      </c>
    </row>
    <row r="162">
      <c r="A162" s="794" t="n">
        <v>45268</v>
      </c>
      <c r="B162" t="n">
        <v>467.1</v>
      </c>
      <c r="C162" t="n">
        <v>646</v>
      </c>
      <c r="D162" t="n">
        <v>23</v>
      </c>
      <c r="E162" t="n">
        <v>64</v>
      </c>
      <c r="F162" t="n">
        <v>16</v>
      </c>
      <c r="G162" t="n">
        <v>125.6</v>
      </c>
      <c r="H162" t="n">
        <v>28.3</v>
      </c>
      <c r="I162" t="n">
        <v>2</v>
      </c>
      <c r="K162">
        <f>SUM(B162:J162)</f>
        <v/>
      </c>
    </row>
    <row r="163">
      <c r="A163" s="794" t="n">
        <v>45269</v>
      </c>
      <c r="B163" t="n">
        <v>471.2</v>
      </c>
      <c r="C163" t="n">
        <v>507</v>
      </c>
      <c r="D163" t="n">
        <v>23</v>
      </c>
      <c r="E163" t="n">
        <v>78.90000000000001</v>
      </c>
      <c r="F163" t="n">
        <v>21.8</v>
      </c>
      <c r="G163" t="n">
        <v>147.3</v>
      </c>
      <c r="H163" t="n">
        <v>23.5</v>
      </c>
      <c r="I163" t="n">
        <v>43.6</v>
      </c>
      <c r="J163" t="n">
        <v>5.8</v>
      </c>
      <c r="K163">
        <f>SUM(B163:J163)</f>
        <v/>
      </c>
    </row>
    <row r="164">
      <c r="A164" s="794" t="n">
        <v>45270</v>
      </c>
      <c r="B164" t="n">
        <v>452.3</v>
      </c>
      <c r="C164" t="n">
        <v>355</v>
      </c>
      <c r="D164" t="n">
        <v>7.2</v>
      </c>
      <c r="E164" t="n">
        <v>30.2</v>
      </c>
      <c r="F164" t="n">
        <v>29.1</v>
      </c>
      <c r="G164" t="n">
        <v>122.5</v>
      </c>
      <c r="H164" t="n">
        <v>4.5</v>
      </c>
      <c r="I164" t="n">
        <v>32.4</v>
      </c>
      <c r="K164">
        <f>SUM(B164:J164)</f>
        <v/>
      </c>
    </row>
    <row r="165">
      <c r="A165" s="794" t="n">
        <v>45271</v>
      </c>
      <c r="B165" t="n">
        <v>403.2</v>
      </c>
      <c r="C165" t="n">
        <v>288.3</v>
      </c>
      <c r="D165" t="n">
        <v>14.7</v>
      </c>
      <c r="F165" t="n">
        <v>12.5</v>
      </c>
      <c r="H165" t="n">
        <v>22.9</v>
      </c>
      <c r="I165" t="n">
        <v>47.8</v>
      </c>
      <c r="K165">
        <f>SUM(B165:J165)</f>
        <v/>
      </c>
    </row>
    <row r="166">
      <c r="A166" s="794" t="n">
        <v>45272</v>
      </c>
      <c r="B166" t="n">
        <v>601.2</v>
      </c>
      <c r="C166" t="n">
        <v>478</v>
      </c>
      <c r="D166" t="n">
        <v>9</v>
      </c>
      <c r="E166" t="n">
        <v>75.3</v>
      </c>
      <c r="F166" t="n">
        <v>35.4</v>
      </c>
      <c r="G166" t="n">
        <v>120.9</v>
      </c>
      <c r="H166" t="n">
        <v>29.9</v>
      </c>
      <c r="I166" t="n">
        <v>44.5</v>
      </c>
      <c r="K166">
        <f>SUM(B166:J166)</f>
        <v/>
      </c>
    </row>
    <row r="167">
      <c r="A167" s="794" t="n">
        <v>45273</v>
      </c>
      <c r="B167" t="n">
        <v>562.7</v>
      </c>
      <c r="C167" t="n">
        <v>641.7</v>
      </c>
      <c r="D167" t="n">
        <v>7.5</v>
      </c>
      <c r="E167" t="n">
        <v>61</v>
      </c>
      <c r="F167" t="n">
        <v>43.8</v>
      </c>
      <c r="G167" t="n">
        <v>132.2</v>
      </c>
      <c r="H167" t="n">
        <v>30.3</v>
      </c>
      <c r="I167" t="n">
        <v>40.7</v>
      </c>
      <c r="K167">
        <f>SUM(B167:J167)</f>
        <v/>
      </c>
    </row>
    <row r="168">
      <c r="A168" s="794" t="n">
        <v>45274</v>
      </c>
      <c r="B168" t="n">
        <v>575</v>
      </c>
      <c r="C168" t="n">
        <v>576.2</v>
      </c>
      <c r="D168" t="n">
        <v>15</v>
      </c>
      <c r="E168" t="n">
        <v>79.2</v>
      </c>
      <c r="F168" t="n">
        <v>12.6</v>
      </c>
      <c r="G168" t="n">
        <v>119.1</v>
      </c>
      <c r="H168" t="n">
        <v>28.2</v>
      </c>
      <c r="I168" t="n">
        <v>49.3</v>
      </c>
      <c r="J168" t="n">
        <v>8.9</v>
      </c>
      <c r="K168">
        <f>SUM(B168:J168)</f>
        <v/>
      </c>
    </row>
    <row r="169">
      <c r="A169" s="794" t="n">
        <v>45275</v>
      </c>
      <c r="B169" t="n">
        <v>578</v>
      </c>
      <c r="C169" t="n">
        <v>650.4</v>
      </c>
      <c r="D169" t="n">
        <v>24.7</v>
      </c>
      <c r="E169" t="n">
        <v>76.90000000000001</v>
      </c>
      <c r="F169" t="n">
        <v>49.2</v>
      </c>
      <c r="G169" t="n">
        <v>123.4</v>
      </c>
      <c r="H169" t="n">
        <v>29.6</v>
      </c>
      <c r="I169" t="n">
        <v>34.1</v>
      </c>
      <c r="J169" t="n">
        <v>7.7</v>
      </c>
      <c r="K169">
        <f>SUM(B169:J169)</f>
        <v/>
      </c>
    </row>
    <row r="170">
      <c r="A170" s="794" t="n">
        <v>45276</v>
      </c>
      <c r="B170" t="n">
        <v>445.9</v>
      </c>
      <c r="C170" t="n">
        <v>563.4</v>
      </c>
      <c r="D170" t="n">
        <v>12.8</v>
      </c>
      <c r="E170" t="n">
        <v>80.59999999999999</v>
      </c>
      <c r="F170" t="n">
        <v>30.8</v>
      </c>
      <c r="G170" t="n">
        <v>129.3</v>
      </c>
      <c r="H170" t="n">
        <v>23.7</v>
      </c>
      <c r="I170" t="n">
        <v>40.6</v>
      </c>
      <c r="J170" t="n">
        <v>6</v>
      </c>
      <c r="K170">
        <f>SUM(B170:J170)</f>
        <v/>
      </c>
    </row>
    <row r="171">
      <c r="A171" s="794" t="n">
        <v>45277</v>
      </c>
      <c r="B171" t="n">
        <v>440.3</v>
      </c>
      <c r="C171" t="n">
        <v>305.1</v>
      </c>
      <c r="D171" t="n">
        <v>24.2</v>
      </c>
      <c r="E171" t="n">
        <v>34.9</v>
      </c>
      <c r="F171" t="n">
        <v>35.9</v>
      </c>
      <c r="G171" t="n">
        <v>107.1</v>
      </c>
      <c r="I171" t="n">
        <v>7.2</v>
      </c>
      <c r="J171" t="n">
        <v>11.2</v>
      </c>
      <c r="K171">
        <f>SUM(B171:J171)</f>
        <v/>
      </c>
    </row>
    <row r="172">
      <c r="A172" s="794" t="n">
        <v>45278</v>
      </c>
      <c r="B172" t="n">
        <v>411.3</v>
      </c>
      <c r="C172" t="n">
        <v>242.6</v>
      </c>
      <c r="D172" t="n">
        <v>20.2</v>
      </c>
      <c r="F172" t="n">
        <v>22.9</v>
      </c>
      <c r="G172" t="n">
        <v>5.3</v>
      </c>
      <c r="H172" t="n">
        <v>16.4</v>
      </c>
      <c r="I172" t="n">
        <v>30</v>
      </c>
      <c r="J172" t="n">
        <v>8.9</v>
      </c>
      <c r="K172">
        <f>SUM(B172:J172)</f>
        <v/>
      </c>
    </row>
    <row r="173">
      <c r="A173" s="794" t="n">
        <v>45279</v>
      </c>
      <c r="B173" t="n">
        <v>476.5</v>
      </c>
      <c r="C173" t="n">
        <v>460.4</v>
      </c>
      <c r="D173" t="n">
        <v>31.5</v>
      </c>
      <c r="E173" t="n">
        <v>67</v>
      </c>
      <c r="F173" t="n">
        <v>26</v>
      </c>
      <c r="G173" t="n">
        <v>133.1</v>
      </c>
      <c r="H173" t="n">
        <v>22.2</v>
      </c>
      <c r="I173" t="n">
        <v>12</v>
      </c>
      <c r="J173" t="n">
        <v>8.5</v>
      </c>
      <c r="K173">
        <f>SUM(B173:J173)</f>
        <v/>
      </c>
    </row>
    <row r="174">
      <c r="A174" s="794" t="n">
        <v>45280</v>
      </c>
      <c r="B174" t="n">
        <v>351</v>
      </c>
      <c r="C174" t="n">
        <v>536.5</v>
      </c>
      <c r="D174" t="n">
        <v>19.7</v>
      </c>
      <c r="E174" t="n">
        <v>38</v>
      </c>
      <c r="F174" t="n">
        <v>25.4</v>
      </c>
      <c r="G174" t="n">
        <v>127.6</v>
      </c>
      <c r="H174" t="n">
        <v>15</v>
      </c>
      <c r="I174" t="n">
        <v>30.3</v>
      </c>
      <c r="J174" t="n">
        <v>9.1</v>
      </c>
      <c r="K174">
        <f>SUM(B174:J174)</f>
        <v/>
      </c>
    </row>
    <row r="175">
      <c r="A175" s="794" t="n">
        <v>45281</v>
      </c>
      <c r="B175" t="n">
        <v>487.7</v>
      </c>
      <c r="C175" t="n">
        <v>519.1</v>
      </c>
      <c r="D175" t="n">
        <v>19.9</v>
      </c>
      <c r="E175" t="n">
        <v>65.8</v>
      </c>
      <c r="F175" t="n">
        <v>24.1</v>
      </c>
      <c r="G175" t="n">
        <v>98.5</v>
      </c>
      <c r="H175" t="n">
        <v>13.6</v>
      </c>
      <c r="I175" t="n">
        <v>35.6</v>
      </c>
      <c r="J175" t="n">
        <v>7.3</v>
      </c>
      <c r="K175">
        <f>SUM(B175:J175)</f>
        <v/>
      </c>
    </row>
    <row r="176">
      <c r="A176" s="794" t="n">
        <v>45282</v>
      </c>
      <c r="B176" t="n">
        <v>384.1</v>
      </c>
      <c r="C176" t="n">
        <v>433.2</v>
      </c>
      <c r="D176" t="n">
        <v>28.1</v>
      </c>
      <c r="E176" t="n">
        <v>88.7</v>
      </c>
      <c r="F176" t="n">
        <v>35.7</v>
      </c>
      <c r="G176" t="n">
        <v>106.5</v>
      </c>
      <c r="H176" t="n">
        <v>12.8</v>
      </c>
      <c r="I176" t="n">
        <v>40.6</v>
      </c>
      <c r="J176" t="n">
        <v>8.5</v>
      </c>
      <c r="K176">
        <f>SUM(B176:J176)</f>
        <v/>
      </c>
    </row>
    <row r="177">
      <c r="A177" s="794" t="n">
        <v>45283</v>
      </c>
      <c r="B177" t="n">
        <v>324.7</v>
      </c>
      <c r="C177" t="n">
        <v>533.1</v>
      </c>
      <c r="D177" t="n">
        <v>29.6</v>
      </c>
      <c r="E177" t="n">
        <v>30</v>
      </c>
      <c r="F177" t="n">
        <v>41.4</v>
      </c>
      <c r="G177" t="n">
        <v>97</v>
      </c>
      <c r="H177" t="n">
        <v>4.5</v>
      </c>
      <c r="I177" t="n">
        <v>7.9</v>
      </c>
      <c r="J177" t="n">
        <v>7.6</v>
      </c>
      <c r="K177">
        <f>SUM(B177:J177)</f>
        <v/>
      </c>
    </row>
    <row r="178">
      <c r="A178" s="794" t="n">
        <v>45284</v>
      </c>
      <c r="B178" t="n">
        <v>341.5</v>
      </c>
      <c r="C178" t="n">
        <v>95.90000000000001</v>
      </c>
      <c r="D178" t="n">
        <v>37</v>
      </c>
      <c r="E178" t="n">
        <v>60</v>
      </c>
      <c r="F178" t="n">
        <v>46.1</v>
      </c>
      <c r="G178" t="n">
        <v>96.5</v>
      </c>
      <c r="I178" t="n">
        <v>14.4</v>
      </c>
      <c r="J178" t="n">
        <v>7.4</v>
      </c>
      <c r="K178">
        <f>SUM(B178:J178)</f>
        <v/>
      </c>
    </row>
    <row r="179">
      <c r="A179" s="794" t="n">
        <v>45285</v>
      </c>
      <c r="B179" t="n">
        <v>253.9</v>
      </c>
      <c r="C179" t="n">
        <v>162.8</v>
      </c>
      <c r="D179" t="n">
        <v>44.4</v>
      </c>
      <c r="F179" t="n">
        <v>13.2</v>
      </c>
      <c r="I179" t="n">
        <v>16.1</v>
      </c>
      <c r="J179" t="n">
        <v>12</v>
      </c>
      <c r="K179">
        <f>SUM(B179:J179)</f>
        <v/>
      </c>
    </row>
    <row r="180">
      <c r="A180" s="794" t="n">
        <v>45286</v>
      </c>
      <c r="B180" t="n">
        <v>263</v>
      </c>
      <c r="D180" t="n">
        <v>40.4</v>
      </c>
      <c r="F180" t="n">
        <v>6.1</v>
      </c>
      <c r="I180" t="n">
        <v>9.199999999999999</v>
      </c>
      <c r="J180" t="n">
        <v>10</v>
      </c>
      <c r="K180">
        <f>SUM(B180:J180)</f>
        <v/>
      </c>
    </row>
    <row r="181">
      <c r="A181" s="794" t="n">
        <v>45287</v>
      </c>
      <c r="B181" t="n">
        <v>281</v>
      </c>
      <c r="D181" t="n">
        <v>37.8</v>
      </c>
      <c r="F181" t="n">
        <v>19</v>
      </c>
      <c r="H181" t="n">
        <v>11</v>
      </c>
      <c r="I181" t="n">
        <v>21.7</v>
      </c>
      <c r="J181" t="n">
        <v>13.6</v>
      </c>
      <c r="K181">
        <f>SUM(B181:J181)</f>
        <v/>
      </c>
    </row>
    <row r="182">
      <c r="A182" s="794" t="n">
        <v>45288</v>
      </c>
      <c r="B182" t="n">
        <v>384.1</v>
      </c>
      <c r="C182" t="n">
        <v>271.3</v>
      </c>
      <c r="D182" t="n">
        <v>43.5</v>
      </c>
      <c r="E182" t="n">
        <v>89.09999999999999</v>
      </c>
      <c r="F182" t="n">
        <v>22</v>
      </c>
      <c r="G182" t="n">
        <v>128</v>
      </c>
      <c r="H182" t="n">
        <v>9.699999999999999</v>
      </c>
      <c r="I182" t="n">
        <v>8.1</v>
      </c>
      <c r="J182" t="n">
        <v>15.2</v>
      </c>
      <c r="K182">
        <f>SUM(B182:J182)</f>
        <v/>
      </c>
    </row>
    <row r="183">
      <c r="A183" s="794" t="n">
        <v>45289</v>
      </c>
      <c r="B183" t="n">
        <v>301.5</v>
      </c>
      <c r="C183" t="n">
        <v>390.8</v>
      </c>
      <c r="D183" t="n">
        <v>15.4</v>
      </c>
      <c r="E183" t="n">
        <v>74.3</v>
      </c>
      <c r="F183" t="n">
        <v>30.3</v>
      </c>
      <c r="G183" t="n">
        <v>97.09999999999999</v>
      </c>
      <c r="H183" t="n">
        <v>8.4</v>
      </c>
      <c r="I183" t="n">
        <v>27.1</v>
      </c>
      <c r="K183">
        <f>SUM(B183:J183)</f>
        <v/>
      </c>
    </row>
    <row r="184">
      <c r="A184" s="794" t="n">
        <v>45290</v>
      </c>
      <c r="B184" t="n">
        <v>245.5</v>
      </c>
      <c r="C184" t="n">
        <v>331.8</v>
      </c>
      <c r="D184" t="n">
        <v>16.2</v>
      </c>
      <c r="E184" t="n">
        <v>84</v>
      </c>
      <c r="F184" t="n">
        <v>18.1</v>
      </c>
      <c r="G184" t="n">
        <v>78.09999999999999</v>
      </c>
      <c r="H184" t="n">
        <v>7.5</v>
      </c>
      <c r="I184" t="n">
        <v>14.9</v>
      </c>
      <c r="J184" t="n">
        <v>6.9</v>
      </c>
      <c r="K184">
        <f>SUM(B184:J184)</f>
        <v/>
      </c>
    </row>
    <row r="185">
      <c r="A185" s="794" t="n">
        <v>45291</v>
      </c>
      <c r="B185" t="n">
        <v>251.5</v>
      </c>
      <c r="C185" t="n">
        <v>348.5</v>
      </c>
      <c r="D185" t="n">
        <v>19.8</v>
      </c>
      <c r="E185" t="n">
        <v>38.5</v>
      </c>
      <c r="F185" t="n">
        <v>6</v>
      </c>
      <c r="G185" t="n">
        <v>111.9</v>
      </c>
      <c r="I185" t="n">
        <v>8.699999999999999</v>
      </c>
      <c r="J185" t="n">
        <v>1.4</v>
      </c>
      <c r="K185">
        <f>SUM(B185:J185)</f>
        <v/>
      </c>
    </row>
    <row r="186">
      <c r="A186" s="794" t="n">
        <v>45292</v>
      </c>
      <c r="B186" t="n">
        <v>274.6</v>
      </c>
      <c r="C186" t="n">
        <v>166.6</v>
      </c>
      <c r="D186" t="n">
        <v>26.1</v>
      </c>
      <c r="F186" t="n">
        <v>9.4</v>
      </c>
      <c r="I186" t="n">
        <v>12</v>
      </c>
      <c r="J186" t="n">
        <v>6.1</v>
      </c>
      <c r="K186">
        <f>SUM(B186:J186)</f>
        <v/>
      </c>
    </row>
    <row r="187">
      <c r="A187" s="794" t="n">
        <v>45293</v>
      </c>
      <c r="B187" t="n">
        <v>235</v>
      </c>
      <c r="C187" t="n">
        <v>214.8</v>
      </c>
      <c r="D187" t="n">
        <v>36.2</v>
      </c>
      <c r="F187" t="n">
        <v>1.4</v>
      </c>
      <c r="I187" t="n">
        <v>4.3</v>
      </c>
      <c r="J187" t="n">
        <v>13.8</v>
      </c>
      <c r="K187">
        <f>SUM(B187:J187)</f>
        <v/>
      </c>
    </row>
    <row r="188">
      <c r="A188" s="794" t="n">
        <v>45294</v>
      </c>
      <c r="B188" t="n">
        <v>335.8</v>
      </c>
      <c r="C188" t="n">
        <v>388.1</v>
      </c>
      <c r="D188" t="n">
        <v>15.5</v>
      </c>
      <c r="E188" t="n">
        <v>67.5</v>
      </c>
      <c r="F188" t="n">
        <v>10.1</v>
      </c>
      <c r="G188" t="n">
        <v>97.09999999999999</v>
      </c>
      <c r="H188" t="n">
        <v>10.7</v>
      </c>
      <c r="I188" t="n">
        <v>21.8</v>
      </c>
      <c r="J188" t="n">
        <v>10.3</v>
      </c>
      <c r="K188">
        <f>SUM(B188:J188)</f>
        <v/>
      </c>
    </row>
    <row r="189">
      <c r="A189" s="794" t="n">
        <v>45295</v>
      </c>
      <c r="B189" t="n">
        <v>326.5</v>
      </c>
      <c r="C189" t="n">
        <v>442.3</v>
      </c>
      <c r="D189" t="n">
        <v>22.8</v>
      </c>
      <c r="E189" t="n">
        <v>57.8</v>
      </c>
      <c r="F189" t="n">
        <v>10.2</v>
      </c>
      <c r="G189" t="n">
        <v>92.40000000000001</v>
      </c>
      <c r="H189" t="n">
        <v>10.7</v>
      </c>
      <c r="I189" t="n">
        <v>104.8</v>
      </c>
      <c r="J189" t="n">
        <v>6.1</v>
      </c>
      <c r="K189">
        <f>SUM(B189:J189)</f>
        <v/>
      </c>
    </row>
    <row r="190">
      <c r="A190" s="794" t="n">
        <v>45296</v>
      </c>
      <c r="B190" t="n">
        <v>297.7</v>
      </c>
      <c r="C190" t="n">
        <v>404.3</v>
      </c>
      <c r="D190" t="n">
        <v>12.4</v>
      </c>
      <c r="E190" t="n">
        <v>57.9</v>
      </c>
      <c r="F190" t="n">
        <v>6.7</v>
      </c>
      <c r="G190" t="n">
        <v>115.9</v>
      </c>
      <c r="H190" t="n">
        <v>8.800000000000001</v>
      </c>
      <c r="I190" t="n">
        <v>15.3</v>
      </c>
      <c r="J190" t="n">
        <v>6.2</v>
      </c>
      <c r="K190">
        <f>SUM(B190:J190)</f>
        <v/>
      </c>
    </row>
    <row r="191">
      <c r="A191" s="794" t="n">
        <v>45297</v>
      </c>
      <c r="B191" t="n">
        <v>348</v>
      </c>
      <c r="C191" t="n">
        <v>309.1</v>
      </c>
      <c r="D191" t="n">
        <v>27.1</v>
      </c>
      <c r="E191" t="n">
        <v>77.5</v>
      </c>
      <c r="F191" t="n">
        <v>7</v>
      </c>
      <c r="G191" t="n">
        <v>92.5</v>
      </c>
      <c r="H191" t="n">
        <v>7.8</v>
      </c>
      <c r="I191" t="n">
        <v>43.9</v>
      </c>
      <c r="J191" t="n">
        <v>3.7</v>
      </c>
      <c r="K191">
        <f>SUM(B191:J191)</f>
        <v/>
      </c>
    </row>
    <row r="192">
      <c r="A192" s="794" t="n">
        <v>45298</v>
      </c>
      <c r="B192" t="n">
        <v>419.9</v>
      </c>
      <c r="C192" t="n">
        <v>252.6</v>
      </c>
      <c r="D192" t="n">
        <v>16.7</v>
      </c>
      <c r="E192" t="n">
        <v>30</v>
      </c>
      <c r="F192" t="n">
        <v>28.5</v>
      </c>
      <c r="G192" t="n">
        <v>88.3</v>
      </c>
      <c r="H192" t="n">
        <v>1.4</v>
      </c>
      <c r="I192" t="n">
        <v>28.5</v>
      </c>
      <c r="J192" t="n">
        <v>8.4</v>
      </c>
      <c r="K192">
        <f>SUM(B192:J192)</f>
        <v/>
      </c>
    </row>
    <row r="193">
      <c r="A193" s="794" t="n">
        <v>45299</v>
      </c>
      <c r="B193" t="n">
        <v>270</v>
      </c>
      <c r="C193" t="n">
        <v>206.9</v>
      </c>
      <c r="D193" t="n">
        <v>14.4</v>
      </c>
      <c r="F193" t="n">
        <v>17.8</v>
      </c>
      <c r="I193" t="n">
        <v>19.3</v>
      </c>
      <c r="J193" t="n">
        <v>12</v>
      </c>
      <c r="K193">
        <f>SUM(B193:J193)</f>
        <v/>
      </c>
    </row>
    <row r="194">
      <c r="A194" s="794" t="n">
        <v>45300</v>
      </c>
      <c r="B194" t="n">
        <v>342.8</v>
      </c>
      <c r="C194" t="n">
        <v>380.8</v>
      </c>
      <c r="D194" t="n">
        <v>22</v>
      </c>
      <c r="E194" t="n">
        <v>60.1</v>
      </c>
      <c r="F194" t="n">
        <v>17.5</v>
      </c>
      <c r="G194" t="n">
        <v>97.59999999999999</v>
      </c>
      <c r="H194" t="n">
        <v>9.4</v>
      </c>
      <c r="I194" t="n">
        <v>23.5</v>
      </c>
      <c r="J194" t="n">
        <v>8.300000000000001</v>
      </c>
      <c r="K194">
        <f>SUM(B194:J194)</f>
        <v/>
      </c>
    </row>
    <row r="195">
      <c r="A195" s="794" t="n">
        <v>45301</v>
      </c>
      <c r="B195" t="n">
        <v>358.3</v>
      </c>
      <c r="C195" t="n">
        <v>358.5</v>
      </c>
      <c r="D195" t="n">
        <v>17.4</v>
      </c>
      <c r="E195" t="n">
        <v>63.5</v>
      </c>
      <c r="F195" t="n">
        <v>31</v>
      </c>
      <c r="G195" t="n">
        <v>97.8</v>
      </c>
      <c r="H195" t="n">
        <v>10.2</v>
      </c>
      <c r="I195" t="n">
        <v>38.6</v>
      </c>
      <c r="J195" t="n">
        <v>8.300000000000001</v>
      </c>
      <c r="K195">
        <f>SUM(B195:J195)</f>
        <v/>
      </c>
    </row>
    <row r="196">
      <c r="A196" s="794" t="n">
        <v>45302</v>
      </c>
      <c r="B196" t="n">
        <v>339.7</v>
      </c>
      <c r="C196" t="n">
        <v>408.8</v>
      </c>
      <c r="D196" t="n">
        <v>19.5</v>
      </c>
      <c r="E196" t="n">
        <v>59.7</v>
      </c>
      <c r="F196" t="n">
        <v>5.6</v>
      </c>
      <c r="G196" t="n">
        <v>99.3</v>
      </c>
      <c r="H196" t="n">
        <v>12</v>
      </c>
      <c r="J196" t="n">
        <v>6.6</v>
      </c>
      <c r="K196">
        <f>SUM(B196:J196)</f>
        <v/>
      </c>
    </row>
    <row r="197">
      <c r="A197" s="794" t="n">
        <v>45303</v>
      </c>
      <c r="B197" t="n">
        <v>384.3</v>
      </c>
      <c r="C197" t="n">
        <v>373.7</v>
      </c>
      <c r="D197" t="n">
        <v>29.7</v>
      </c>
      <c r="E197" t="n">
        <v>59.5</v>
      </c>
      <c r="F197" t="n">
        <v>3.8</v>
      </c>
      <c r="G197" t="n">
        <v>97.3</v>
      </c>
      <c r="H197" t="n">
        <v>7.7</v>
      </c>
      <c r="I197" t="n">
        <v>29.9</v>
      </c>
      <c r="J197" t="n">
        <v>5.8</v>
      </c>
      <c r="K197">
        <f>SUM(B197:J197)</f>
        <v/>
      </c>
    </row>
    <row r="198">
      <c r="A198" s="794" t="n">
        <v>45304</v>
      </c>
      <c r="B198" t="n">
        <v>342.4</v>
      </c>
      <c r="C198" t="n">
        <v>350.7</v>
      </c>
      <c r="D198" t="n">
        <v>23.9</v>
      </c>
      <c r="E198" t="n">
        <v>69.8</v>
      </c>
      <c r="F198" t="n">
        <v>6.8</v>
      </c>
      <c r="G198" t="n">
        <v>100.1</v>
      </c>
      <c r="H198" t="n">
        <v>6.6</v>
      </c>
      <c r="I198" t="n">
        <v>27.9</v>
      </c>
      <c r="J198" t="n">
        <v>5.8</v>
      </c>
      <c r="K198">
        <f>SUM(B198:J198)</f>
        <v/>
      </c>
    </row>
    <row r="199">
      <c r="A199" s="794" t="n">
        <v>45305</v>
      </c>
      <c r="B199" t="n">
        <v>370.4</v>
      </c>
      <c r="C199" t="n">
        <v>269.2</v>
      </c>
      <c r="D199" t="n">
        <v>20.3</v>
      </c>
      <c r="E199" t="n">
        <v>28.8</v>
      </c>
      <c r="F199" t="n">
        <v>15.8</v>
      </c>
      <c r="G199" t="n">
        <v>71.59999999999999</v>
      </c>
      <c r="I199" t="n">
        <v>28.3</v>
      </c>
      <c r="J199" t="n">
        <v>4.3</v>
      </c>
      <c r="K199">
        <f>SUM(B199:J199)</f>
        <v/>
      </c>
    </row>
    <row r="200">
      <c r="A200" s="794" t="n">
        <v>45306</v>
      </c>
      <c r="B200" t="n">
        <v>272.6</v>
      </c>
      <c r="C200" t="n">
        <v>211</v>
      </c>
      <c r="D200" t="n">
        <v>16.5</v>
      </c>
      <c r="F200" t="n">
        <v>17</v>
      </c>
      <c r="I200" t="n">
        <v>14.1</v>
      </c>
      <c r="J200" t="n">
        <v>7.1</v>
      </c>
      <c r="K200">
        <f>SUM(B200:J200)</f>
        <v/>
      </c>
    </row>
    <row r="201">
      <c r="A201" s="794" t="n">
        <v>45307</v>
      </c>
      <c r="B201" t="n">
        <v>358.5</v>
      </c>
      <c r="C201" t="n">
        <v>391</v>
      </c>
      <c r="D201" t="n">
        <v>14.6</v>
      </c>
      <c r="E201" t="n">
        <v>48.3</v>
      </c>
      <c r="F201" t="n">
        <v>15.4</v>
      </c>
      <c r="G201" t="n">
        <v>99.40000000000001</v>
      </c>
      <c r="H201" t="n">
        <v>10.1</v>
      </c>
      <c r="I201" t="n">
        <v>42.5</v>
      </c>
      <c r="J201" t="n">
        <v>9.800000000000001</v>
      </c>
      <c r="K201">
        <f>SUM(B201:J201)</f>
        <v/>
      </c>
    </row>
    <row r="202">
      <c r="A202" s="794" t="n">
        <v>45308</v>
      </c>
      <c r="B202" t="n">
        <v>325.6</v>
      </c>
      <c r="C202" t="n">
        <v>218.1</v>
      </c>
      <c r="D202" t="n">
        <v>22.8</v>
      </c>
      <c r="E202" t="n">
        <v>43.3</v>
      </c>
      <c r="F202" t="n">
        <v>7.3</v>
      </c>
      <c r="G202" t="n">
        <v>101.4</v>
      </c>
      <c r="H202" t="n">
        <v>7.6</v>
      </c>
      <c r="I202" t="n">
        <v>12.6</v>
      </c>
      <c r="J202" t="n">
        <v>11</v>
      </c>
      <c r="K202">
        <f>SUM(B202:J202)</f>
        <v/>
      </c>
    </row>
    <row r="203">
      <c r="A203" s="794" t="n">
        <v>45309</v>
      </c>
      <c r="B203" t="n">
        <v>339.4</v>
      </c>
      <c r="C203" t="n">
        <v>680.5</v>
      </c>
      <c r="D203" t="n">
        <v>12.9</v>
      </c>
      <c r="E203" t="n">
        <v>55.6</v>
      </c>
      <c r="F203" t="n">
        <v>16.1</v>
      </c>
      <c r="G203" t="n">
        <v>108</v>
      </c>
      <c r="H203" t="n">
        <v>8.1</v>
      </c>
      <c r="I203" t="n">
        <v>17.5</v>
      </c>
      <c r="J203" t="n">
        <v>9.4</v>
      </c>
      <c r="K203">
        <f>SUM(B203:J203)</f>
        <v/>
      </c>
    </row>
    <row r="204">
      <c r="A204" s="794" t="n">
        <v>45310</v>
      </c>
      <c r="B204" t="n">
        <v>247.6</v>
      </c>
      <c r="C204" t="n">
        <v>375.9</v>
      </c>
      <c r="D204" t="n">
        <v>31.3</v>
      </c>
      <c r="E204" t="n">
        <v>82.09999999999999</v>
      </c>
      <c r="F204" t="n">
        <v>14.6</v>
      </c>
      <c r="G204" t="n">
        <v>100.6</v>
      </c>
      <c r="H204" t="n">
        <v>11.5</v>
      </c>
      <c r="I204" t="n">
        <v>12.2</v>
      </c>
      <c r="J204" t="n">
        <v>8.199999999999999</v>
      </c>
      <c r="K204">
        <f>SUM(B204:J204)</f>
        <v/>
      </c>
    </row>
    <row r="205">
      <c r="A205" s="794" t="n">
        <v>45311</v>
      </c>
      <c r="B205" t="n">
        <v>378.1</v>
      </c>
      <c r="C205" t="n">
        <v>388.9</v>
      </c>
      <c r="D205" t="n">
        <v>10.1</v>
      </c>
      <c r="E205" t="n">
        <v>79.7</v>
      </c>
      <c r="F205" t="n">
        <v>28.4</v>
      </c>
      <c r="G205" t="n">
        <v>93.7</v>
      </c>
      <c r="H205" t="n">
        <v>7.4</v>
      </c>
      <c r="I205" t="n">
        <v>32.3</v>
      </c>
      <c r="J205" t="n">
        <v>6.2</v>
      </c>
      <c r="K205">
        <f>SUM(B205:J205)</f>
        <v/>
      </c>
    </row>
    <row r="206">
      <c r="A206" s="794" t="n">
        <v>45312</v>
      </c>
      <c r="B206" t="n">
        <v>349.7</v>
      </c>
      <c r="C206" t="n">
        <v>267.7</v>
      </c>
      <c r="D206" t="n">
        <v>25.3</v>
      </c>
      <c r="E206" t="n">
        <v>39.4</v>
      </c>
      <c r="F206" t="n">
        <v>20.6</v>
      </c>
      <c r="G206" t="n">
        <v>107.4</v>
      </c>
      <c r="H206" t="n">
        <v>2.6</v>
      </c>
      <c r="I206" t="n">
        <v>35.3</v>
      </c>
      <c r="J206" t="n">
        <v>1.6</v>
      </c>
      <c r="K206">
        <f>SUM(B206:J206)</f>
        <v/>
      </c>
    </row>
    <row r="207">
      <c r="A207" s="794" t="n">
        <v>45313</v>
      </c>
      <c r="B207" t="n">
        <v>288.6</v>
      </c>
      <c r="C207" t="n">
        <v>202.9</v>
      </c>
      <c r="D207" t="n">
        <v>10.5</v>
      </c>
      <c r="F207" t="n">
        <v>10.5</v>
      </c>
      <c r="H207" t="n">
        <v>1.7</v>
      </c>
      <c r="I207" t="n">
        <v>24.8</v>
      </c>
      <c r="J207" t="n">
        <v>10.2</v>
      </c>
      <c r="K207">
        <f>SUM(B207:J207)</f>
        <v/>
      </c>
    </row>
    <row r="208">
      <c r="A208" s="794" t="n">
        <v>45314</v>
      </c>
      <c r="B208" t="n">
        <v>419.9</v>
      </c>
      <c r="C208" t="n">
        <v>385.8</v>
      </c>
      <c r="D208" t="n">
        <v>9.300000000000001</v>
      </c>
      <c r="E208" t="n">
        <v>49.5</v>
      </c>
      <c r="F208" t="n">
        <v>6.4</v>
      </c>
      <c r="G208" t="n">
        <v>115.6</v>
      </c>
      <c r="H208" t="n">
        <v>11.8</v>
      </c>
      <c r="I208" t="n">
        <v>43.3</v>
      </c>
      <c r="J208" t="n">
        <v>9.699999999999999</v>
      </c>
      <c r="K208">
        <f>SUM(B208:J208)</f>
        <v/>
      </c>
    </row>
    <row r="209">
      <c r="A209" s="794" t="n">
        <v>45315</v>
      </c>
      <c r="B209" t="n">
        <v>398.8</v>
      </c>
      <c r="C209" t="n">
        <v>360.2</v>
      </c>
      <c r="D209" t="n">
        <v>7.5</v>
      </c>
      <c r="E209" t="n">
        <v>71.59999999999999</v>
      </c>
      <c r="F209" t="n">
        <v>16.6</v>
      </c>
      <c r="G209" t="n">
        <v>118.4</v>
      </c>
      <c r="H209" t="n">
        <v>6.9</v>
      </c>
      <c r="I209" t="n">
        <v>30</v>
      </c>
      <c r="J209" t="n">
        <v>2.4</v>
      </c>
      <c r="K209">
        <f>SUM(B209:J209)</f>
        <v/>
      </c>
    </row>
    <row r="210">
      <c r="A210" s="794" t="n">
        <v>45316</v>
      </c>
      <c r="B210" t="n">
        <v>355.6</v>
      </c>
      <c r="C210" t="n">
        <v>436.9</v>
      </c>
      <c r="D210" t="n">
        <v>10.8</v>
      </c>
      <c r="E210" t="n">
        <v>61.7</v>
      </c>
      <c r="F210" t="n">
        <v>10.1</v>
      </c>
      <c r="G210" t="n">
        <v>103.3</v>
      </c>
      <c r="H210" t="n">
        <v>8</v>
      </c>
      <c r="I210" t="n">
        <v>35.3</v>
      </c>
      <c r="J210" t="n">
        <v>9.199999999999999</v>
      </c>
      <c r="K210">
        <f>SUM(B210:J210)</f>
        <v/>
      </c>
    </row>
    <row r="211">
      <c r="A211" s="794" t="n">
        <v>45317</v>
      </c>
      <c r="B211" t="n">
        <v>309.5</v>
      </c>
      <c r="C211" t="n">
        <v>480.7</v>
      </c>
      <c r="D211" t="n">
        <v>16.4</v>
      </c>
      <c r="E211" t="n">
        <v>42.6</v>
      </c>
      <c r="F211" t="n">
        <v>9.6</v>
      </c>
      <c r="G211" t="n">
        <v>118.4</v>
      </c>
      <c r="H211" t="n">
        <v>9.5</v>
      </c>
      <c r="I211" t="n">
        <v>18</v>
      </c>
      <c r="J211" t="n">
        <v>4.2</v>
      </c>
      <c r="K211">
        <f>SUM(B211:J211)</f>
        <v/>
      </c>
    </row>
    <row r="212">
      <c r="A212" s="794" t="n">
        <v>45318</v>
      </c>
      <c r="B212" t="n">
        <v>330.7</v>
      </c>
      <c r="C212" t="n">
        <v>314.8</v>
      </c>
      <c r="D212" t="n">
        <v>18.3</v>
      </c>
      <c r="E212" t="n">
        <v>58.6</v>
      </c>
      <c r="F212" t="n">
        <v>5</v>
      </c>
      <c r="G212" t="n">
        <v>97.59999999999999</v>
      </c>
      <c r="H212" t="n">
        <v>14.1</v>
      </c>
      <c r="I212" t="n">
        <v>29.6</v>
      </c>
      <c r="J212" t="n">
        <v>5.2</v>
      </c>
      <c r="K212">
        <f>SUM(B212:J212)</f>
        <v/>
      </c>
    </row>
    <row r="213">
      <c r="A213" s="794" t="n">
        <v>45319</v>
      </c>
      <c r="B213" t="n">
        <v>350.6</v>
      </c>
      <c r="C213" t="n">
        <v>263.8</v>
      </c>
      <c r="D213" t="n">
        <v>5.6</v>
      </c>
      <c r="E213" t="n">
        <v>20.9</v>
      </c>
      <c r="F213" t="n">
        <v>17.5</v>
      </c>
      <c r="G213" t="n">
        <v>92.5</v>
      </c>
      <c r="I213" t="n">
        <v>7.3</v>
      </c>
      <c r="J213" t="n">
        <v>3.8</v>
      </c>
      <c r="K213">
        <f>SUM(B213:J213)</f>
        <v/>
      </c>
    </row>
    <row r="214">
      <c r="A214" s="794" t="n">
        <v>45320</v>
      </c>
      <c r="B214" t="n">
        <v>277.6</v>
      </c>
      <c r="C214" t="n">
        <v>174.3</v>
      </c>
      <c r="D214" t="n">
        <v>14</v>
      </c>
      <c r="F214" t="n">
        <v>29.2</v>
      </c>
      <c r="G214" t="n">
        <v>10.8</v>
      </c>
      <c r="I214" t="n">
        <v>24.2</v>
      </c>
      <c r="J214" t="n">
        <v>8.9</v>
      </c>
      <c r="K214">
        <f>SUM(B214:J214)</f>
        <v/>
      </c>
    </row>
    <row r="215">
      <c r="A215" s="794" t="n">
        <v>45321</v>
      </c>
      <c r="B215" t="n">
        <v>386.9</v>
      </c>
      <c r="C215" t="n">
        <v>421.3</v>
      </c>
      <c r="D215" t="n">
        <v>11</v>
      </c>
      <c r="E215" t="n">
        <v>55.7</v>
      </c>
      <c r="F215" t="n">
        <v>10.9</v>
      </c>
      <c r="G215" t="n">
        <v>106.3</v>
      </c>
      <c r="H215" t="n">
        <v>14.9</v>
      </c>
      <c r="I215" t="n">
        <v>64.59999999999999</v>
      </c>
      <c r="J215" t="n">
        <v>6.3</v>
      </c>
      <c r="K215">
        <f>SUM(B215:J215)</f>
        <v/>
      </c>
    </row>
    <row r="216">
      <c r="A216" s="794" t="n">
        <v>45322</v>
      </c>
      <c r="B216" t="n">
        <v>405.1</v>
      </c>
      <c r="C216" t="n">
        <v>418.5</v>
      </c>
      <c r="D216" t="n">
        <v>9</v>
      </c>
      <c r="E216" t="n">
        <v>61.3</v>
      </c>
      <c r="F216" t="n">
        <v>6.7</v>
      </c>
      <c r="G216" t="n">
        <v>117.1</v>
      </c>
      <c r="H216" t="n">
        <v>22.3</v>
      </c>
      <c r="I216" t="n">
        <v>28.4</v>
      </c>
      <c r="J216" t="n">
        <v>5</v>
      </c>
      <c r="K216">
        <f>SUM(B216:J216)</f>
        <v/>
      </c>
    </row>
    <row r="217">
      <c r="A217" s="794" t="n">
        <v>45323</v>
      </c>
      <c r="B217" t="n">
        <v>579.5</v>
      </c>
      <c r="C217" t="n">
        <v>589.3</v>
      </c>
      <c r="D217" t="n">
        <v>8.4</v>
      </c>
      <c r="E217" t="n">
        <v>146.3</v>
      </c>
      <c r="F217" t="n">
        <v>9.5</v>
      </c>
      <c r="G217" t="n">
        <v>142.3</v>
      </c>
      <c r="H217" t="n">
        <v>24.6</v>
      </c>
      <c r="I217" t="n">
        <v>10.2</v>
      </c>
      <c r="J217" t="n">
        <v>5.7</v>
      </c>
      <c r="K217">
        <f>SUM(B217:J217)</f>
        <v/>
      </c>
    </row>
    <row r="218">
      <c r="A218" s="794" t="n">
        <v>45324</v>
      </c>
      <c r="B218" t="n">
        <v>538.8</v>
      </c>
      <c r="C218" t="n">
        <v>619</v>
      </c>
      <c r="D218" t="n">
        <v>8.199999999999999</v>
      </c>
      <c r="E218" t="n">
        <v>111.2</v>
      </c>
      <c r="F218" t="n">
        <v>8.199999999999999</v>
      </c>
      <c r="G218" t="n">
        <v>131</v>
      </c>
      <c r="H218" t="n">
        <v>23.6</v>
      </c>
      <c r="I218" t="n">
        <v>35.4</v>
      </c>
      <c r="J218" t="n">
        <v>8.300000000000001</v>
      </c>
      <c r="K218">
        <f>SUM(B218:J218)</f>
        <v/>
      </c>
    </row>
    <row r="219">
      <c r="A219" s="794" t="n">
        <v>45325</v>
      </c>
      <c r="B219" t="n">
        <v>536.6</v>
      </c>
      <c r="C219" t="n">
        <v>471.7</v>
      </c>
      <c r="D219" t="n">
        <v>28.8</v>
      </c>
      <c r="E219" t="n">
        <v>109.8</v>
      </c>
      <c r="F219" t="n">
        <v>43</v>
      </c>
      <c r="G219" t="n">
        <v>122.1</v>
      </c>
      <c r="H219" t="n">
        <v>16.8</v>
      </c>
      <c r="I219" t="n">
        <v>28.4</v>
      </c>
      <c r="J219" t="n">
        <v>7.2</v>
      </c>
      <c r="K219">
        <f>SUM(B219:J219)</f>
        <v/>
      </c>
    </row>
    <row r="220">
      <c r="A220" s="794" t="n">
        <v>45326</v>
      </c>
      <c r="B220" t="n">
        <v>457.7</v>
      </c>
      <c r="C220" t="n">
        <v>362.7</v>
      </c>
      <c r="D220" t="n">
        <v>21.2</v>
      </c>
      <c r="E220" t="n">
        <v>29.4</v>
      </c>
      <c r="F220" t="n">
        <v>6.6</v>
      </c>
      <c r="G220" t="n">
        <v>116</v>
      </c>
      <c r="H220" t="n">
        <v>3.8</v>
      </c>
      <c r="I220" t="n">
        <v>34.7</v>
      </c>
      <c r="J220" t="n">
        <v>5.8</v>
      </c>
      <c r="K220">
        <f>SUM(B220:J220)</f>
        <v/>
      </c>
    </row>
    <row r="221">
      <c r="A221" s="794" t="n">
        <v>45327</v>
      </c>
      <c r="B221" t="n">
        <v>345.8</v>
      </c>
      <c r="C221" t="n">
        <v>264.5</v>
      </c>
      <c r="D221" t="n">
        <v>15.4</v>
      </c>
      <c r="F221" t="n">
        <v>12.7</v>
      </c>
      <c r="H221" t="n">
        <v>19</v>
      </c>
      <c r="I221" t="n">
        <v>10.6</v>
      </c>
      <c r="J221" t="n">
        <v>12.4</v>
      </c>
      <c r="K221">
        <f>SUM(B221:J221)</f>
        <v/>
      </c>
    </row>
    <row r="222">
      <c r="A222" s="794" t="n">
        <v>45328</v>
      </c>
      <c r="B222" t="n">
        <v>536.6</v>
      </c>
      <c r="C222" t="n">
        <v>537</v>
      </c>
      <c r="D222" t="n">
        <v>7.3</v>
      </c>
      <c r="E222" t="n">
        <v>106.2</v>
      </c>
      <c r="F222" t="n">
        <v>8.1</v>
      </c>
      <c r="G222" t="n">
        <v>131.7</v>
      </c>
      <c r="H222" t="n">
        <v>34.1</v>
      </c>
      <c r="I222" t="n">
        <v>24.8</v>
      </c>
      <c r="J222" t="n">
        <v>7.2</v>
      </c>
      <c r="K222">
        <f>SUM(B222:J222)</f>
        <v/>
      </c>
    </row>
    <row r="223">
      <c r="A223" s="794" t="n">
        <v>45329</v>
      </c>
      <c r="B223" t="n">
        <v>533.8</v>
      </c>
      <c r="C223" t="n">
        <v>511.3</v>
      </c>
      <c r="D223" t="n">
        <v>4</v>
      </c>
      <c r="E223" t="n">
        <v>147.1</v>
      </c>
      <c r="F223" t="n">
        <v>22</v>
      </c>
      <c r="G223" t="n">
        <v>142.7</v>
      </c>
      <c r="H223" t="n">
        <v>27.8</v>
      </c>
      <c r="I223" t="n">
        <v>26.6</v>
      </c>
      <c r="J223" t="n">
        <v>9.1</v>
      </c>
      <c r="K223">
        <f>SUM(B223:J223)</f>
        <v/>
      </c>
    </row>
    <row r="224">
      <c r="A224" s="794" t="n">
        <v>45330</v>
      </c>
      <c r="B224" t="n">
        <v>568.8</v>
      </c>
      <c r="C224" t="n">
        <v>440</v>
      </c>
      <c r="D224" t="n">
        <v>6.4</v>
      </c>
      <c r="E224" t="n">
        <v>99</v>
      </c>
      <c r="F224" t="n">
        <v>28.9</v>
      </c>
      <c r="G224" t="n">
        <v>111</v>
      </c>
      <c r="H224" t="n">
        <v>19.3</v>
      </c>
      <c r="I224" t="n">
        <v>28.3</v>
      </c>
      <c r="J224" t="n">
        <v>8.6</v>
      </c>
      <c r="K224">
        <f>SUM(B224:J224)</f>
        <v/>
      </c>
    </row>
    <row r="225">
      <c r="A225" s="794" t="n">
        <v>45331</v>
      </c>
      <c r="B225" t="n">
        <v>381.3</v>
      </c>
      <c r="C225" t="n">
        <v>426.6</v>
      </c>
      <c r="D225" t="n">
        <v>13.8</v>
      </c>
      <c r="E225" t="n">
        <v>83.90000000000001</v>
      </c>
      <c r="F225" t="n">
        <v>15.6</v>
      </c>
      <c r="G225" t="n">
        <v>105.9</v>
      </c>
      <c r="H225" t="n">
        <v>21.4</v>
      </c>
      <c r="I225" t="n">
        <v>10.6</v>
      </c>
      <c r="J225" t="n">
        <v>7.4</v>
      </c>
      <c r="K225">
        <f>SUM(B225:J225)</f>
        <v/>
      </c>
    </row>
    <row r="226">
      <c r="A226" s="794" t="n">
        <v>45332</v>
      </c>
      <c r="B226" t="n">
        <v>298.5</v>
      </c>
      <c r="C226" t="n">
        <v>214.8</v>
      </c>
      <c r="D226" t="n">
        <v>12</v>
      </c>
      <c r="E226" t="n">
        <v>119.2</v>
      </c>
      <c r="F226" t="n">
        <v>10.6</v>
      </c>
      <c r="G226" t="n">
        <v>77.8</v>
      </c>
      <c r="I226" t="n">
        <v>19.6</v>
      </c>
      <c r="J226" t="n">
        <v>11.7</v>
      </c>
      <c r="K226">
        <f>SUM(B226:J226)</f>
        <v/>
      </c>
    </row>
    <row r="227">
      <c r="A227" s="794" t="n">
        <v>45333</v>
      </c>
      <c r="B227" t="n">
        <v>147.7</v>
      </c>
      <c r="F227" t="n">
        <v>7</v>
      </c>
      <c r="I227" t="n">
        <v>25.3</v>
      </c>
      <c r="J227" t="n">
        <v>6.3</v>
      </c>
      <c r="K227">
        <f>SUM(B227:J227)</f>
        <v/>
      </c>
    </row>
    <row r="228">
      <c r="A228" s="794" t="n">
        <v>45334</v>
      </c>
      <c r="B228" t="n">
        <v>212.6</v>
      </c>
      <c r="F228" t="n">
        <v>5.6</v>
      </c>
      <c r="I228" t="n">
        <v>26.9</v>
      </c>
      <c r="J228" t="n">
        <v>11.2</v>
      </c>
      <c r="K228">
        <f>SUM(B228:J228)</f>
        <v/>
      </c>
    </row>
    <row r="229">
      <c r="A229" s="794" t="n">
        <v>45335</v>
      </c>
      <c r="B229" t="n">
        <v>217.8</v>
      </c>
      <c r="D229" t="n">
        <v>26.2</v>
      </c>
      <c r="F229" t="n">
        <v>8.4</v>
      </c>
      <c r="H229" t="n">
        <v>2.6</v>
      </c>
      <c r="I229" t="n">
        <v>11.2</v>
      </c>
      <c r="J229" t="n">
        <v>7.5</v>
      </c>
      <c r="K229">
        <f>SUM(B229:J229)</f>
        <v/>
      </c>
    </row>
    <row r="230">
      <c r="A230" s="794" t="n">
        <v>45336</v>
      </c>
      <c r="B230" t="n">
        <v>276.9</v>
      </c>
      <c r="C230" t="n">
        <v>58</v>
      </c>
      <c r="D230" t="n">
        <v>18.8</v>
      </c>
      <c r="E230" t="n">
        <v>31.4</v>
      </c>
      <c r="F230" t="n">
        <v>10.4</v>
      </c>
      <c r="G230" t="n">
        <v>5.9</v>
      </c>
      <c r="H230" t="n">
        <v>18.7</v>
      </c>
      <c r="I230" t="n">
        <v>16.9</v>
      </c>
      <c r="J230" t="n">
        <v>5.4</v>
      </c>
      <c r="K230">
        <f>SUM(B230:J230)</f>
        <v/>
      </c>
    </row>
    <row r="231">
      <c r="A231" s="794" t="n">
        <v>45337</v>
      </c>
      <c r="B231" t="n">
        <v>441.1</v>
      </c>
      <c r="C231" t="n">
        <v>473.1</v>
      </c>
      <c r="D231" t="n">
        <v>17.7</v>
      </c>
      <c r="E231" t="n">
        <v>112.5</v>
      </c>
      <c r="F231" t="n">
        <v>8.5</v>
      </c>
      <c r="G231" t="n">
        <v>99.3</v>
      </c>
      <c r="H231" t="n">
        <v>20.2</v>
      </c>
      <c r="I231" t="n">
        <v>12.4</v>
      </c>
      <c r="J231" t="n">
        <v>7.7</v>
      </c>
      <c r="K231">
        <f>SUM(B231:J231)</f>
        <v/>
      </c>
    </row>
    <row r="232">
      <c r="A232" s="794" t="n">
        <v>45338</v>
      </c>
      <c r="B232" t="n">
        <v>502.5</v>
      </c>
      <c r="C232" t="n">
        <v>423.3</v>
      </c>
      <c r="D232" t="n">
        <v>4.3</v>
      </c>
      <c r="E232" t="n">
        <v>96.3</v>
      </c>
      <c r="F232" t="n">
        <v>14.2</v>
      </c>
      <c r="G232" t="n">
        <v>100.1</v>
      </c>
      <c r="H232" t="n">
        <v>33.5</v>
      </c>
      <c r="I232" t="n">
        <v>39.2</v>
      </c>
      <c r="J232" t="n">
        <v>7.7</v>
      </c>
      <c r="K232">
        <f>SUM(B232:J232)</f>
        <v/>
      </c>
    </row>
    <row r="233">
      <c r="A233" s="794" t="n">
        <v>45339</v>
      </c>
      <c r="B233" t="n">
        <v>502.6</v>
      </c>
      <c r="C233" t="n">
        <v>554</v>
      </c>
      <c r="D233" t="n">
        <v>22.1</v>
      </c>
      <c r="E233" t="n">
        <v>96</v>
      </c>
      <c r="F233" t="n">
        <v>20</v>
      </c>
      <c r="G233" t="n">
        <v>109.3</v>
      </c>
      <c r="H233" t="n">
        <v>22.9</v>
      </c>
      <c r="I233" t="n">
        <v>30.6</v>
      </c>
      <c r="J233" t="n">
        <v>14.1</v>
      </c>
      <c r="K233">
        <f>SUM(B233:J233)</f>
        <v/>
      </c>
    </row>
    <row r="234">
      <c r="A234" s="794" t="n">
        <v>45340</v>
      </c>
      <c r="B234" t="n">
        <v>378</v>
      </c>
      <c r="C234" t="n">
        <v>284.4</v>
      </c>
      <c r="D234" t="n">
        <v>24.7</v>
      </c>
      <c r="E234" t="n">
        <v>27.2</v>
      </c>
      <c r="F234" t="n">
        <v>8.9</v>
      </c>
      <c r="G234" t="n">
        <v>92.90000000000001</v>
      </c>
      <c r="H234" t="n">
        <v>8.300000000000001</v>
      </c>
      <c r="I234" t="n">
        <v>16</v>
      </c>
      <c r="J234" t="n">
        <v>6.4</v>
      </c>
      <c r="K234">
        <f>SUM(B234:J234)</f>
        <v/>
      </c>
    </row>
    <row r="235">
      <c r="A235" s="794" t="n">
        <v>45341</v>
      </c>
      <c r="B235" t="n">
        <v>342.3</v>
      </c>
      <c r="C235" t="n">
        <v>239.7</v>
      </c>
      <c r="D235" t="n">
        <v>12.3</v>
      </c>
      <c r="F235" t="n">
        <v>13.6</v>
      </c>
      <c r="H235" t="n">
        <v>23.3</v>
      </c>
      <c r="I235" t="n">
        <v>42.5</v>
      </c>
      <c r="J235" t="n">
        <v>5.1</v>
      </c>
      <c r="K235">
        <f>SUM(B235:J235)</f>
        <v/>
      </c>
    </row>
    <row r="236">
      <c r="A236" s="794" t="n">
        <v>45342</v>
      </c>
      <c r="B236" t="n">
        <v>678.5</v>
      </c>
      <c r="C236" t="n">
        <v>556.9</v>
      </c>
      <c r="D236" t="n">
        <v>4</v>
      </c>
      <c r="E236" t="n">
        <v>109.7</v>
      </c>
      <c r="F236" t="n">
        <v>16.9</v>
      </c>
      <c r="G236" t="n">
        <v>136.6</v>
      </c>
      <c r="H236" t="n">
        <v>31.8</v>
      </c>
      <c r="I236" t="n">
        <v>54.2</v>
      </c>
      <c r="J236" t="n">
        <v>9</v>
      </c>
      <c r="K236">
        <f>SUM(B236:J236)</f>
        <v/>
      </c>
    </row>
    <row r="237">
      <c r="A237" s="794" t="n">
        <v>45343</v>
      </c>
      <c r="B237" t="n">
        <v>590.8</v>
      </c>
      <c r="C237" t="n">
        <v>592.2</v>
      </c>
      <c r="D237" t="n">
        <v>6.9</v>
      </c>
      <c r="E237" t="n">
        <v>113.8</v>
      </c>
      <c r="F237" t="n">
        <v>23.3</v>
      </c>
      <c r="G237" t="n">
        <v>175.3</v>
      </c>
      <c r="H237" t="n">
        <v>33.4</v>
      </c>
      <c r="I237" t="n">
        <v>8.9</v>
      </c>
      <c r="J237" t="n">
        <v>8.5</v>
      </c>
      <c r="K237">
        <f>SUM(B237:J237)</f>
        <v/>
      </c>
    </row>
    <row r="238">
      <c r="A238" s="794" t="n">
        <v>45344</v>
      </c>
      <c r="B238" t="n">
        <v>625.7</v>
      </c>
      <c r="C238" t="n">
        <v>653.7</v>
      </c>
      <c r="D238" t="n">
        <v>8.1</v>
      </c>
      <c r="E238" t="n">
        <v>117.2</v>
      </c>
      <c r="F238" t="n">
        <v>18</v>
      </c>
      <c r="G238" t="n">
        <v>163.8</v>
      </c>
      <c r="H238" t="n">
        <v>34.9</v>
      </c>
      <c r="I238" t="n">
        <v>55.7</v>
      </c>
      <c r="J238" t="n">
        <v>6.3</v>
      </c>
      <c r="K238">
        <f>SUM(B238:J238)</f>
        <v/>
      </c>
    </row>
    <row r="239">
      <c r="A239" s="794" t="n">
        <v>45345</v>
      </c>
      <c r="B239" t="n">
        <v>597.3</v>
      </c>
      <c r="C239" t="n">
        <v>692.6</v>
      </c>
      <c r="D239" t="n">
        <v>6.7</v>
      </c>
      <c r="E239" t="n">
        <v>101.8</v>
      </c>
      <c r="F239" t="n">
        <v>14</v>
      </c>
      <c r="G239" t="n">
        <v>155.4</v>
      </c>
      <c r="H239" t="n">
        <v>37.6</v>
      </c>
      <c r="I239" t="n">
        <v>21.8</v>
      </c>
      <c r="J239" t="n">
        <v>6.3</v>
      </c>
      <c r="K239">
        <f>SUM(B239:J239)</f>
        <v/>
      </c>
    </row>
    <row r="240">
      <c r="A240" s="794" t="n">
        <v>45346</v>
      </c>
      <c r="B240" t="n">
        <v>525.8</v>
      </c>
      <c r="C240" t="n">
        <v>474.9</v>
      </c>
      <c r="D240" t="n">
        <v>24.6</v>
      </c>
      <c r="E240" t="n">
        <v>104.2</v>
      </c>
      <c r="F240" t="n">
        <v>26.2</v>
      </c>
      <c r="G240" t="n">
        <v>131.6</v>
      </c>
      <c r="H240" t="n">
        <v>22.4</v>
      </c>
      <c r="I240" t="n">
        <v>46.1</v>
      </c>
      <c r="J240" t="n">
        <v>5.5</v>
      </c>
      <c r="K240">
        <f>SUM(B240:J240)</f>
        <v/>
      </c>
    </row>
    <row r="241">
      <c r="A241" s="794" t="n">
        <v>45347</v>
      </c>
      <c r="B241" t="n">
        <v>386.5</v>
      </c>
      <c r="C241" t="n">
        <v>356.7</v>
      </c>
      <c r="D241" t="n">
        <v>14.4</v>
      </c>
      <c r="E241" t="n">
        <v>32.1</v>
      </c>
      <c r="F241" t="n">
        <v>7.3</v>
      </c>
      <c r="G241" t="n">
        <v>143.1</v>
      </c>
      <c r="H241" t="n">
        <v>5.1</v>
      </c>
      <c r="I241" t="n">
        <v>29.2</v>
      </c>
      <c r="J241" t="n">
        <v>5</v>
      </c>
      <c r="K241">
        <f>SUM(B241:J241)</f>
        <v/>
      </c>
    </row>
    <row r="242">
      <c r="A242" s="794" t="n">
        <v>45348</v>
      </c>
      <c r="B242" t="n">
        <v>365.7</v>
      </c>
      <c r="C242" t="n">
        <v>316.2</v>
      </c>
      <c r="D242" t="n">
        <v>19.3</v>
      </c>
      <c r="F242" t="n">
        <v>27.8</v>
      </c>
      <c r="H242" t="n">
        <v>21.7</v>
      </c>
      <c r="I242" t="n">
        <v>14.9</v>
      </c>
      <c r="J242" t="n">
        <v>4.2</v>
      </c>
      <c r="K242">
        <f>SUM(B242:J242)</f>
        <v/>
      </c>
    </row>
    <row r="243">
      <c r="A243" s="794" t="n">
        <v>45349</v>
      </c>
      <c r="B243" t="n">
        <v>616.3</v>
      </c>
      <c r="C243" t="n">
        <v>806.7</v>
      </c>
      <c r="D243" t="n">
        <v>7.8</v>
      </c>
      <c r="E243" t="n">
        <v>110.7</v>
      </c>
      <c r="F243" t="n">
        <v>10.4</v>
      </c>
      <c r="G243" t="n">
        <v>147.6</v>
      </c>
      <c r="H243" t="n">
        <v>34</v>
      </c>
      <c r="I243" t="n">
        <v>60.1</v>
      </c>
      <c r="J243" t="n">
        <v>9.300000000000001</v>
      </c>
      <c r="K243">
        <f>SUM(B243:J243)</f>
        <v/>
      </c>
    </row>
    <row r="244">
      <c r="A244" s="794" t="n">
        <v>45350</v>
      </c>
      <c r="B244" t="n">
        <v>527.3</v>
      </c>
      <c r="C244" t="n">
        <v>622.4</v>
      </c>
      <c r="D244" t="n">
        <v>14.3</v>
      </c>
      <c r="E244" t="n">
        <v>142.7</v>
      </c>
      <c r="F244" t="n">
        <v>9.1</v>
      </c>
      <c r="G244" t="n">
        <v>159.9</v>
      </c>
      <c r="H244" t="n">
        <v>35.6</v>
      </c>
      <c r="I244" t="n">
        <v>11.4</v>
      </c>
      <c r="J244" t="n">
        <v>7.3</v>
      </c>
      <c r="K244">
        <f>SUM(B244:J244)</f>
        <v/>
      </c>
    </row>
    <row r="245">
      <c r="A245" s="794" t="n">
        <v>45351</v>
      </c>
      <c r="B245" t="n">
        <v>630.2</v>
      </c>
      <c r="C245" t="n">
        <v>729.8</v>
      </c>
      <c r="D245" t="n">
        <v>14.8</v>
      </c>
      <c r="E245" t="n">
        <v>153.7</v>
      </c>
      <c r="F245" t="n">
        <v>23.4</v>
      </c>
      <c r="G245" t="n">
        <v>147.1</v>
      </c>
      <c r="H245" t="n">
        <v>35.6</v>
      </c>
      <c r="I245" t="n">
        <v>37.7</v>
      </c>
      <c r="J245" t="n">
        <v>3.7</v>
      </c>
      <c r="K245">
        <f>SUM(B245:J245)</f>
        <v/>
      </c>
    </row>
    <row r="246">
      <c r="A246" s="794" t="n">
        <v>45352</v>
      </c>
      <c r="B246" t="n">
        <v>655</v>
      </c>
      <c r="C246" t="n">
        <v>611.7</v>
      </c>
      <c r="D246" t="n">
        <v>3.7</v>
      </c>
      <c r="E246" t="n">
        <v>110.9</v>
      </c>
      <c r="F246" t="n">
        <v>13.8</v>
      </c>
      <c r="G246" t="n">
        <v>156.1</v>
      </c>
      <c r="H246" t="n">
        <v>29.8</v>
      </c>
      <c r="I246" t="n">
        <v>18.2</v>
      </c>
      <c r="J246" t="n">
        <v>4.8</v>
      </c>
      <c r="K246">
        <f>SUM(B246:J246)</f>
        <v/>
      </c>
    </row>
    <row r="247">
      <c r="A247" s="794" t="n">
        <v>45353</v>
      </c>
      <c r="B247" t="n">
        <v>687.2</v>
      </c>
      <c r="C247" t="n">
        <v>646.2</v>
      </c>
      <c r="D247" t="n">
        <v>3.5</v>
      </c>
      <c r="E247" t="n">
        <v>116.9</v>
      </c>
      <c r="F247" t="n">
        <v>13.7</v>
      </c>
      <c r="G247" t="n">
        <v>147</v>
      </c>
      <c r="H247" t="n">
        <v>23</v>
      </c>
      <c r="I247" t="n">
        <v>56.8</v>
      </c>
      <c r="J247" t="n">
        <v>3.7</v>
      </c>
      <c r="K247">
        <f>SUM(B247:J247)</f>
        <v/>
      </c>
    </row>
    <row r="248">
      <c r="A248" s="794" t="n">
        <v>45354</v>
      </c>
      <c r="B248" t="n">
        <v>472.5</v>
      </c>
      <c r="C248" t="n">
        <v>354.2</v>
      </c>
      <c r="D248" t="n">
        <v>12</v>
      </c>
      <c r="E248" t="n">
        <v>29.1</v>
      </c>
      <c r="F248" t="n">
        <v>7</v>
      </c>
      <c r="G248" t="n">
        <v>114.1</v>
      </c>
      <c r="H248" t="n">
        <v>4.9</v>
      </c>
      <c r="I248" t="n">
        <v>30.9</v>
      </c>
      <c r="J248" t="n">
        <v>6.6</v>
      </c>
      <c r="K248">
        <f>SUM(B248:J248)</f>
        <v/>
      </c>
    </row>
    <row r="249">
      <c r="A249" s="794" t="n">
        <v>45355</v>
      </c>
      <c r="B249" t="n">
        <v>337.7</v>
      </c>
      <c r="C249" t="n">
        <v>223.7</v>
      </c>
      <c r="D249" t="n">
        <v>5.9</v>
      </c>
      <c r="F249" t="n">
        <v>12.4</v>
      </c>
      <c r="H249" t="n">
        <v>18.2</v>
      </c>
      <c r="I249" t="n">
        <v>29.8</v>
      </c>
      <c r="J249" t="n">
        <v>9.699999999999999</v>
      </c>
      <c r="K249">
        <f>SUM(B249:J249)</f>
        <v/>
      </c>
    </row>
    <row r="250">
      <c r="A250" s="794" t="n">
        <v>45356</v>
      </c>
      <c r="B250" t="n">
        <v>601.6</v>
      </c>
      <c r="C250" t="n">
        <v>537.3</v>
      </c>
      <c r="D250" t="n">
        <v>9.800000000000001</v>
      </c>
      <c r="E250" t="n">
        <v>100.3</v>
      </c>
      <c r="F250" t="n">
        <v>33.8</v>
      </c>
      <c r="G250" t="n">
        <v>125.7</v>
      </c>
      <c r="H250" t="n">
        <v>37.2</v>
      </c>
      <c r="I250" t="n">
        <v>13.7</v>
      </c>
      <c r="J250" t="n">
        <v>8.800000000000001</v>
      </c>
      <c r="K250">
        <f>SUM(B250:J250)</f>
        <v/>
      </c>
    </row>
    <row r="251">
      <c r="A251" s="794" t="n">
        <v>45357</v>
      </c>
      <c r="B251" t="n">
        <v>560</v>
      </c>
      <c r="C251" t="n">
        <v>669.2</v>
      </c>
      <c r="D251" t="n">
        <v>4.1</v>
      </c>
      <c r="E251" t="n">
        <v>150.3</v>
      </c>
      <c r="F251" t="n">
        <v>33.2</v>
      </c>
      <c r="G251" t="n">
        <v>145.7</v>
      </c>
      <c r="H251" t="n">
        <v>28.2</v>
      </c>
      <c r="I251" t="n">
        <v>36.8</v>
      </c>
      <c r="J251" t="n">
        <v>5.1</v>
      </c>
      <c r="K251">
        <f>SUM(B251:J251)</f>
        <v/>
      </c>
    </row>
    <row r="252">
      <c r="A252" s="794" t="n">
        <v>45358</v>
      </c>
      <c r="B252" t="n">
        <v>588.8</v>
      </c>
      <c r="C252" t="n">
        <v>708.1</v>
      </c>
      <c r="D252" t="n">
        <v>6</v>
      </c>
      <c r="E252" t="n">
        <v>129.6</v>
      </c>
      <c r="F252" t="n">
        <v>21.1</v>
      </c>
      <c r="G252" t="n">
        <v>137.5</v>
      </c>
      <c r="H252" t="n">
        <v>30</v>
      </c>
      <c r="I252" t="n">
        <v>23.6</v>
      </c>
      <c r="J252" t="n">
        <v>7.3</v>
      </c>
      <c r="K252">
        <f>SUM(B252:J252)</f>
        <v/>
      </c>
    </row>
    <row r="253">
      <c r="A253" s="794" t="n">
        <v>45359</v>
      </c>
      <c r="B253" t="n">
        <v>578.2</v>
      </c>
      <c r="C253" t="n">
        <v>730.9</v>
      </c>
      <c r="D253" t="n">
        <v>13</v>
      </c>
      <c r="E253" t="n">
        <v>110.9</v>
      </c>
      <c r="F253" t="n">
        <v>18.4</v>
      </c>
      <c r="G253" t="n">
        <v>139.3</v>
      </c>
      <c r="H253" t="n">
        <v>27.6</v>
      </c>
      <c r="I253" t="n">
        <v>14.9</v>
      </c>
      <c r="J253" t="n">
        <v>5.5</v>
      </c>
      <c r="K253">
        <f>SUM(B253:J253)</f>
        <v/>
      </c>
    </row>
    <row r="254">
      <c r="A254" s="794" t="n">
        <v>45360</v>
      </c>
      <c r="B254" t="n">
        <v>470.9</v>
      </c>
      <c r="C254" t="n">
        <v>528.4</v>
      </c>
      <c r="D254" t="n">
        <v>10.6</v>
      </c>
      <c r="E254" t="n">
        <v>119.8</v>
      </c>
      <c r="F254" t="n">
        <v>8.6</v>
      </c>
      <c r="G254" t="n">
        <v>144.2</v>
      </c>
      <c r="H254" t="n">
        <v>16.7</v>
      </c>
      <c r="I254" t="n">
        <v>98.59999999999999</v>
      </c>
      <c r="J254" t="n">
        <v>5.3</v>
      </c>
      <c r="K254">
        <f>SUM(B254:J254)</f>
        <v/>
      </c>
    </row>
    <row r="255">
      <c r="A255" s="794" t="n">
        <v>45361</v>
      </c>
      <c r="B255" t="n">
        <v>416.1</v>
      </c>
      <c r="C255" t="n">
        <v>418.6</v>
      </c>
      <c r="D255" t="n">
        <v>13.7</v>
      </c>
      <c r="E255" t="n">
        <v>42.1</v>
      </c>
      <c r="F255" t="n">
        <v>8.4</v>
      </c>
      <c r="G255" t="n">
        <v>116</v>
      </c>
      <c r="H255" t="n">
        <v>5.3</v>
      </c>
      <c r="I255" t="n">
        <v>25.5</v>
      </c>
      <c r="J255" t="n">
        <v>6.4</v>
      </c>
      <c r="K255">
        <f>SUM(B255:J255)</f>
        <v/>
      </c>
    </row>
    <row r="256">
      <c r="A256" s="794" t="n">
        <v>45362</v>
      </c>
      <c r="B256" t="n">
        <v>406.5</v>
      </c>
      <c r="C256" t="n">
        <v>233</v>
      </c>
      <c r="D256" t="n">
        <v>17.4</v>
      </c>
      <c r="F256" t="n">
        <v>24.4</v>
      </c>
      <c r="H256" t="n">
        <v>23.6</v>
      </c>
      <c r="I256" t="n">
        <v>50.3</v>
      </c>
      <c r="J256" t="n">
        <v>6.3</v>
      </c>
      <c r="K256">
        <f>SUM(B256:J256)</f>
        <v/>
      </c>
    </row>
    <row r="257">
      <c r="A257" s="794" t="n">
        <v>45363</v>
      </c>
      <c r="B257" t="n">
        <v>603.7</v>
      </c>
      <c r="C257" t="n">
        <v>584.2</v>
      </c>
      <c r="D257" t="n">
        <v>9.1</v>
      </c>
      <c r="E257" t="n">
        <v>147.5</v>
      </c>
      <c r="F257" t="n">
        <v>8.9</v>
      </c>
      <c r="G257" t="n">
        <v>136.8</v>
      </c>
      <c r="H257" t="n">
        <v>32.4</v>
      </c>
      <c r="I257" t="n">
        <v>34.1</v>
      </c>
      <c r="J257" t="n">
        <v>11.4</v>
      </c>
      <c r="K257">
        <f>SUM(B257:J257)</f>
        <v/>
      </c>
    </row>
    <row r="258">
      <c r="A258" s="794" t="n">
        <v>45364</v>
      </c>
      <c r="B258" t="n">
        <v>577.7</v>
      </c>
      <c r="C258" t="n">
        <v>688.8</v>
      </c>
      <c r="D258" t="n">
        <v>16.3</v>
      </c>
      <c r="E258" t="n">
        <v>142.8</v>
      </c>
      <c r="F258" t="n">
        <v>9.1</v>
      </c>
      <c r="G258" t="n">
        <v>151.7</v>
      </c>
      <c r="H258" t="n">
        <v>36.3</v>
      </c>
      <c r="I258" t="n">
        <v>12.2</v>
      </c>
      <c r="J258" t="n">
        <v>3.3</v>
      </c>
      <c r="K258">
        <f>SUM(B258:J258)</f>
        <v/>
      </c>
    </row>
    <row r="259">
      <c r="A259" s="794" t="n">
        <v>45365</v>
      </c>
      <c r="B259" t="n">
        <v>585.6</v>
      </c>
      <c r="C259" t="n">
        <v>615.2</v>
      </c>
      <c r="D259" t="n">
        <v>4.5</v>
      </c>
      <c r="E259" t="n">
        <v>106.7</v>
      </c>
      <c r="F259" t="n">
        <v>15</v>
      </c>
      <c r="G259" t="n">
        <v>148.2</v>
      </c>
      <c r="H259" t="n">
        <v>33.6</v>
      </c>
      <c r="I259" t="n">
        <v>25.8</v>
      </c>
      <c r="J259" t="n">
        <v>11.5</v>
      </c>
      <c r="K259">
        <f>SUM(B259:J259)</f>
        <v/>
      </c>
    </row>
    <row r="260">
      <c r="A260" s="794" t="n">
        <v>45366</v>
      </c>
      <c r="B260" t="n">
        <v>536.1</v>
      </c>
      <c r="C260" t="n">
        <v>630</v>
      </c>
      <c r="D260" t="n">
        <v>11.9</v>
      </c>
      <c r="E260" t="n">
        <v>116.2</v>
      </c>
      <c r="F260" t="n">
        <v>19.1</v>
      </c>
      <c r="G260" t="n">
        <v>161.9</v>
      </c>
      <c r="H260" t="n">
        <v>32</v>
      </c>
      <c r="I260" t="n">
        <v>17.8</v>
      </c>
      <c r="J260" t="n">
        <v>3</v>
      </c>
      <c r="K260">
        <f>SUM(B260:J260)</f>
        <v/>
      </c>
    </row>
    <row r="261">
      <c r="A261" s="794" t="n">
        <v>45367</v>
      </c>
      <c r="B261" t="n">
        <v>619.3</v>
      </c>
      <c r="C261" t="n">
        <v>511.4</v>
      </c>
      <c r="D261" t="n">
        <v>12.3</v>
      </c>
      <c r="E261" t="n">
        <v>112.1</v>
      </c>
      <c r="F261" t="n">
        <v>28.7</v>
      </c>
      <c r="G261" t="n">
        <v>134.1</v>
      </c>
      <c r="H261" t="n">
        <v>20.9</v>
      </c>
      <c r="I261" t="n">
        <v>30.5</v>
      </c>
      <c r="J261" t="n">
        <v>7</v>
      </c>
      <c r="K261">
        <f>SUM(B261:J261)</f>
        <v/>
      </c>
    </row>
    <row r="262">
      <c r="A262" s="794" t="n">
        <v>45368</v>
      </c>
      <c r="B262" t="n">
        <v>405</v>
      </c>
      <c r="C262" t="n">
        <v>353.2</v>
      </c>
      <c r="D262" t="n">
        <v>15.3</v>
      </c>
      <c r="E262" t="n">
        <v>24.4</v>
      </c>
      <c r="F262" t="n">
        <v>20.1</v>
      </c>
      <c r="G262" t="n">
        <v>109.7</v>
      </c>
      <c r="H262" t="n">
        <v>3.1</v>
      </c>
      <c r="I262" t="n">
        <v>40.9</v>
      </c>
      <c r="J262" t="n">
        <v>3.3</v>
      </c>
      <c r="K262">
        <f>SUM(B262:J262)</f>
        <v/>
      </c>
    </row>
    <row r="263">
      <c r="A263" s="794" t="n">
        <v>45369</v>
      </c>
      <c r="B263" t="n">
        <v>372.6</v>
      </c>
      <c r="C263" t="n">
        <v>271</v>
      </c>
      <c r="D263" t="n">
        <v>18.4</v>
      </c>
      <c r="F263" t="n">
        <v>10.6</v>
      </c>
      <c r="H263" t="n">
        <v>27</v>
      </c>
      <c r="I263" t="n">
        <v>37.2</v>
      </c>
      <c r="J263" t="n">
        <v>6.4</v>
      </c>
      <c r="K263">
        <f>SUM(B263:J263)</f>
        <v/>
      </c>
    </row>
    <row r="264">
      <c r="A264" s="794" t="n">
        <v>45370</v>
      </c>
      <c r="B264" t="n">
        <v>552.9</v>
      </c>
      <c r="C264" t="n">
        <v>572.4</v>
      </c>
      <c r="D264" t="n">
        <v>7.6</v>
      </c>
      <c r="E264" t="n">
        <v>121.3</v>
      </c>
      <c r="F264" t="n">
        <v>19</v>
      </c>
      <c r="G264" t="n">
        <v>171.9</v>
      </c>
      <c r="H264" t="n">
        <v>34.3</v>
      </c>
      <c r="I264" t="n">
        <v>15.4</v>
      </c>
      <c r="J264" t="n">
        <v>5.3</v>
      </c>
      <c r="K264">
        <f>SUM(B264:J264)</f>
        <v/>
      </c>
    </row>
    <row r="265">
      <c r="A265" s="794" t="n">
        <v>45371</v>
      </c>
      <c r="B265" t="n">
        <v>600.6</v>
      </c>
      <c r="C265" t="n">
        <v>615.1</v>
      </c>
      <c r="D265" t="n">
        <v>8.9</v>
      </c>
      <c r="E265" t="n">
        <v>117.8</v>
      </c>
      <c r="F265" t="n">
        <v>15.8</v>
      </c>
      <c r="G265" t="n">
        <v>147.6</v>
      </c>
      <c r="H265" t="n">
        <v>33</v>
      </c>
      <c r="I265" t="n">
        <v>31.2</v>
      </c>
      <c r="J265" t="n">
        <v>3.4</v>
      </c>
      <c r="K265">
        <f>SUM(B265:J265)</f>
        <v/>
      </c>
    </row>
    <row r="266">
      <c r="A266" s="794" t="n">
        <v>45372</v>
      </c>
      <c r="B266" t="n">
        <v>556.4</v>
      </c>
      <c r="C266" t="n">
        <v>675.9</v>
      </c>
      <c r="D266" t="n">
        <v>32.9</v>
      </c>
      <c r="E266" t="n">
        <v>109.4</v>
      </c>
      <c r="F266" t="n">
        <v>27.6</v>
      </c>
      <c r="G266" t="n">
        <v>144.1</v>
      </c>
      <c r="H266" t="n">
        <v>35.8</v>
      </c>
      <c r="I266" t="n">
        <v>32.1</v>
      </c>
      <c r="J266" t="n">
        <v>5.5</v>
      </c>
      <c r="K266">
        <f>SUM(B266:J266)</f>
        <v/>
      </c>
    </row>
    <row r="267">
      <c r="A267" s="794" t="n">
        <v>45373</v>
      </c>
      <c r="B267" t="n">
        <v>516.7</v>
      </c>
      <c r="C267" t="n">
        <v>601.6</v>
      </c>
      <c r="D267" t="n">
        <v>7</v>
      </c>
      <c r="E267" t="n">
        <v>116.2</v>
      </c>
      <c r="F267" t="n">
        <v>15.5</v>
      </c>
      <c r="G267" t="n">
        <v>162.5</v>
      </c>
      <c r="H267" t="n">
        <v>40.7</v>
      </c>
      <c r="I267" t="n">
        <v>38.7</v>
      </c>
      <c r="J267" t="n">
        <v>4.2</v>
      </c>
      <c r="K267">
        <f>SUM(B267:J267)</f>
        <v/>
      </c>
    </row>
    <row r="268">
      <c r="A268" s="794" t="n">
        <v>45374</v>
      </c>
      <c r="B268" t="n">
        <v>539.5</v>
      </c>
      <c r="C268" t="n">
        <v>489.1</v>
      </c>
      <c r="D268" t="n">
        <v>9.6</v>
      </c>
      <c r="E268" t="n">
        <v>98.5</v>
      </c>
      <c r="F268" t="n">
        <v>13.3</v>
      </c>
      <c r="G268" t="n">
        <v>133.1</v>
      </c>
      <c r="H268" t="n">
        <v>19</v>
      </c>
      <c r="I268" t="n">
        <v>26.5</v>
      </c>
      <c r="J268" t="n">
        <v>9.9</v>
      </c>
      <c r="K268">
        <f>SUM(B268:J268)</f>
        <v/>
      </c>
    </row>
    <row r="269">
      <c r="A269" s="794" t="n">
        <v>45375</v>
      </c>
      <c r="B269" t="n">
        <v>501.9</v>
      </c>
      <c r="C269" t="n">
        <v>425</v>
      </c>
      <c r="D269" t="n">
        <v>5</v>
      </c>
      <c r="E269" t="n">
        <v>20.4</v>
      </c>
      <c r="F269" t="n">
        <v>17.3</v>
      </c>
      <c r="G269" t="n">
        <v>115.6</v>
      </c>
      <c r="H269" t="n">
        <v>5.7</v>
      </c>
      <c r="I269" t="n">
        <v>30.7</v>
      </c>
      <c r="J269" t="n">
        <v>7.2</v>
      </c>
      <c r="K269">
        <f>SUM(B269:J269)</f>
        <v/>
      </c>
    </row>
    <row r="270">
      <c r="A270" s="794" t="n">
        <v>45376</v>
      </c>
      <c r="B270" t="n">
        <v>368.9</v>
      </c>
      <c r="C270" t="n">
        <v>222.1</v>
      </c>
      <c r="D270" t="n">
        <v>9.199999999999999</v>
      </c>
      <c r="F270" t="n">
        <v>15.2</v>
      </c>
      <c r="H270" t="n">
        <v>24</v>
      </c>
      <c r="I270" t="n">
        <v>32</v>
      </c>
      <c r="J270" t="n">
        <v>7.4</v>
      </c>
      <c r="K270">
        <f>SUM(B270:J270)</f>
        <v/>
      </c>
    </row>
    <row r="271">
      <c r="A271" s="794" t="n">
        <v>45377</v>
      </c>
      <c r="B271" t="n">
        <v>710.1</v>
      </c>
      <c r="C271" t="n">
        <v>538.9</v>
      </c>
      <c r="D271" t="n">
        <v>7.5</v>
      </c>
      <c r="E271" t="n">
        <v>129.9</v>
      </c>
      <c r="F271" t="n">
        <v>13.6</v>
      </c>
      <c r="G271" t="n">
        <v>122.1</v>
      </c>
      <c r="H271" t="n">
        <v>37.7</v>
      </c>
      <c r="I271" t="n">
        <v>53.5</v>
      </c>
      <c r="J271" t="n">
        <v>10.7</v>
      </c>
      <c r="K271">
        <f>SUM(B271:J271)</f>
        <v/>
      </c>
    </row>
    <row r="272">
      <c r="A272" s="794" t="n">
        <v>45378</v>
      </c>
      <c r="B272" t="n">
        <v>568.2</v>
      </c>
      <c r="C272" t="n">
        <v>540.5</v>
      </c>
      <c r="D272" t="n">
        <v>16.7</v>
      </c>
      <c r="E272" t="n">
        <v>133.1</v>
      </c>
      <c r="F272" t="n">
        <v>13.6</v>
      </c>
      <c r="G272" t="n">
        <v>153.3</v>
      </c>
      <c r="H272" t="n">
        <v>28.6</v>
      </c>
      <c r="I272" t="n">
        <v>26.2</v>
      </c>
      <c r="J272" t="n">
        <v>6.3</v>
      </c>
      <c r="K272">
        <f>SUM(B272:J272)</f>
        <v/>
      </c>
    </row>
    <row r="273">
      <c r="A273" s="794" t="n">
        <v>45379</v>
      </c>
      <c r="B273" t="n">
        <v>580.3</v>
      </c>
      <c r="C273" t="n">
        <v>557.2</v>
      </c>
      <c r="D273" t="n">
        <v>11.2</v>
      </c>
      <c r="E273" t="n">
        <v>116.6</v>
      </c>
      <c r="F273" t="n">
        <v>14.4</v>
      </c>
      <c r="G273" t="n">
        <v>134.2</v>
      </c>
      <c r="H273" t="n">
        <v>23.8</v>
      </c>
      <c r="I273" t="n">
        <v>26.7</v>
      </c>
      <c r="J273" t="n">
        <v>3.4</v>
      </c>
      <c r="K273">
        <f>SUM(B273:J273)</f>
        <v/>
      </c>
    </row>
    <row r="274">
      <c r="A274" s="794" t="n">
        <v>45380</v>
      </c>
      <c r="B274" t="n">
        <v>471.6</v>
      </c>
      <c r="C274" t="n">
        <v>463.7</v>
      </c>
      <c r="D274" t="n">
        <v>35.7</v>
      </c>
      <c r="E274" t="n">
        <v>122.3</v>
      </c>
      <c r="F274" t="n">
        <v>13</v>
      </c>
      <c r="G274" t="n">
        <v>138.5</v>
      </c>
      <c r="H274" t="n">
        <v>13.9</v>
      </c>
      <c r="I274" t="n">
        <v>11.3</v>
      </c>
      <c r="J274" t="n">
        <v>5.7</v>
      </c>
      <c r="K274">
        <f>SUM(B274:J274)</f>
        <v/>
      </c>
    </row>
    <row r="275">
      <c r="A275" s="794" t="n">
        <v>45381</v>
      </c>
      <c r="B275" t="n">
        <v>351</v>
      </c>
      <c r="C275" t="n">
        <v>275.7</v>
      </c>
      <c r="D275" t="n">
        <v>5.4</v>
      </c>
      <c r="F275" t="n">
        <v>11.6</v>
      </c>
      <c r="H275" t="n">
        <v>6.8</v>
      </c>
      <c r="I275" t="n">
        <v>14.3</v>
      </c>
      <c r="J275" t="n">
        <v>2.7</v>
      </c>
      <c r="K275">
        <f>SUM(B275:J275)</f>
        <v/>
      </c>
    </row>
    <row r="276">
      <c r="A276" s="794" t="n">
        <v>45382</v>
      </c>
      <c r="B276" t="n">
        <v>419</v>
      </c>
      <c r="C276" t="n">
        <v>183.5</v>
      </c>
      <c r="D276" t="n">
        <v>39.9</v>
      </c>
      <c r="F276" t="n">
        <v>8.1</v>
      </c>
      <c r="I276" t="n">
        <v>10.8</v>
      </c>
      <c r="J276" t="n">
        <v>5.3</v>
      </c>
      <c r="K276">
        <f>SUM(B276:J276)</f>
        <v/>
      </c>
    </row>
    <row r="277">
      <c r="A277" s="794" t="n">
        <v>45383</v>
      </c>
      <c r="B277" t="n">
        <v>252.6</v>
      </c>
      <c r="C277" t="n">
        <v>160.9</v>
      </c>
      <c r="D277" t="n">
        <v>19.7</v>
      </c>
      <c r="F277" t="n">
        <v>7.6</v>
      </c>
      <c r="I277" t="n">
        <v>7.1</v>
      </c>
      <c r="J277" t="n">
        <v>2.8</v>
      </c>
      <c r="K277">
        <f>SUM(B277:J277)</f>
        <v/>
      </c>
    </row>
    <row r="278">
      <c r="A278" s="794" t="n">
        <v>45384</v>
      </c>
      <c r="B278" t="n">
        <v>370</v>
      </c>
      <c r="C278" t="n">
        <v>188.3</v>
      </c>
      <c r="D278" t="n">
        <v>18.5</v>
      </c>
      <c r="F278" t="n">
        <v>10.5</v>
      </c>
      <c r="H278" t="n">
        <v>14.2</v>
      </c>
      <c r="I278" t="n">
        <v>24.4</v>
      </c>
      <c r="J278" t="n">
        <v>8.1</v>
      </c>
      <c r="K278">
        <f>SUM(B278:J278)</f>
        <v/>
      </c>
    </row>
    <row r="279">
      <c r="A279" s="794" t="n">
        <v>45385</v>
      </c>
      <c r="B279" t="n">
        <v>411.5</v>
      </c>
      <c r="C279" t="n">
        <v>375.8</v>
      </c>
      <c r="D279" t="n">
        <v>82.90000000000001</v>
      </c>
      <c r="E279" t="n">
        <v>114.9</v>
      </c>
      <c r="F279" t="n">
        <v>11.2</v>
      </c>
      <c r="G279" t="n">
        <v>114.8</v>
      </c>
      <c r="H279" t="n">
        <v>15.2</v>
      </c>
      <c r="I279" t="n">
        <v>4.2</v>
      </c>
      <c r="J279" t="n">
        <v>6.6</v>
      </c>
      <c r="K279">
        <f>SUM(B279:J279)</f>
        <v/>
      </c>
    </row>
    <row r="280">
      <c r="A280" s="794" t="n">
        <v>45386</v>
      </c>
      <c r="B280" t="n">
        <v>391.5</v>
      </c>
      <c r="C280" t="n">
        <v>523.9</v>
      </c>
      <c r="D280" t="n">
        <v>59.7</v>
      </c>
      <c r="E280" t="n">
        <v>63</v>
      </c>
      <c r="F280" t="n">
        <v>7.3</v>
      </c>
      <c r="G280" t="n">
        <v>127.7</v>
      </c>
      <c r="H280" t="n">
        <v>14.9</v>
      </c>
      <c r="I280" t="n">
        <v>4.6</v>
      </c>
      <c r="J280" t="n">
        <v>2</v>
      </c>
      <c r="K280">
        <f>SUM(B280:J280)</f>
        <v/>
      </c>
    </row>
    <row r="281">
      <c r="A281" s="794" t="n">
        <v>45387</v>
      </c>
      <c r="B281" t="n">
        <v>327.3</v>
      </c>
      <c r="C281" t="n">
        <v>325.7</v>
      </c>
      <c r="D281" t="n">
        <v>24.7</v>
      </c>
      <c r="F281" t="n">
        <v>6.1</v>
      </c>
      <c r="H281" t="n">
        <v>12</v>
      </c>
      <c r="I281" t="n">
        <v>15.2</v>
      </c>
      <c r="J281" t="n">
        <v>10</v>
      </c>
      <c r="K281">
        <f>SUM(B281:J281)</f>
        <v/>
      </c>
    </row>
    <row r="282">
      <c r="A282" s="794" t="n">
        <v>45388</v>
      </c>
      <c r="B282" t="n">
        <v>420.8</v>
      </c>
      <c r="C282" t="n">
        <v>340.6</v>
      </c>
      <c r="D282" t="n">
        <v>11.8</v>
      </c>
      <c r="E282" t="n">
        <v>73</v>
      </c>
      <c r="F282" t="n">
        <v>18.7</v>
      </c>
      <c r="G282" t="n">
        <v>94.8</v>
      </c>
      <c r="H282" t="n">
        <v>8.5</v>
      </c>
      <c r="I282" t="n">
        <v>35.7</v>
      </c>
      <c r="J282" t="n">
        <v>8.4</v>
      </c>
      <c r="K282">
        <f>SUM(B282:J282)</f>
        <v/>
      </c>
    </row>
    <row r="283">
      <c r="A283" s="794" t="n">
        <v>45389</v>
      </c>
      <c r="B283" t="n">
        <v>413.7</v>
      </c>
      <c r="C283" t="n">
        <v>355.8</v>
      </c>
      <c r="D283" t="n">
        <v>10.7</v>
      </c>
      <c r="E283" t="n">
        <v>32.2</v>
      </c>
      <c r="F283" t="n">
        <v>9.800000000000001</v>
      </c>
      <c r="G283" t="n">
        <v>106</v>
      </c>
      <c r="I283" t="n">
        <v>40.5</v>
      </c>
      <c r="J283" t="n">
        <v>5.8</v>
      </c>
      <c r="K283">
        <f>SUM(B283:J283)</f>
        <v/>
      </c>
    </row>
    <row r="284">
      <c r="A284" s="794" t="n">
        <v>45390</v>
      </c>
      <c r="B284" t="n">
        <v>381</v>
      </c>
      <c r="C284" t="n">
        <v>296.3</v>
      </c>
      <c r="D284" t="n">
        <v>18.5</v>
      </c>
      <c r="F284" t="n">
        <v>23.9</v>
      </c>
      <c r="H284" t="n">
        <v>24.4</v>
      </c>
      <c r="I284" t="n">
        <v>30.2</v>
      </c>
      <c r="J284" t="n">
        <v>10.7</v>
      </c>
      <c r="K284">
        <f>SUM(B284:J284)</f>
        <v/>
      </c>
    </row>
    <row r="285">
      <c r="A285" s="794" t="n">
        <v>45391</v>
      </c>
      <c r="B285" t="n">
        <v>597.5</v>
      </c>
      <c r="C285" t="n">
        <v>549.9</v>
      </c>
      <c r="D285" t="n">
        <v>4.2</v>
      </c>
      <c r="E285" t="n">
        <v>98</v>
      </c>
      <c r="F285" t="n">
        <v>7.4</v>
      </c>
      <c r="G285" t="n">
        <v>141.7</v>
      </c>
      <c r="H285" t="n">
        <v>30.3</v>
      </c>
      <c r="I285" t="n">
        <v>8.5</v>
      </c>
      <c r="J285" t="n">
        <v>10.9</v>
      </c>
      <c r="K285">
        <f>SUM(B285:J285)</f>
        <v/>
      </c>
    </row>
    <row r="286">
      <c r="A286" s="794" t="n">
        <v>45392</v>
      </c>
      <c r="B286" t="n">
        <v>564.9</v>
      </c>
      <c r="C286" t="n">
        <v>611.2</v>
      </c>
      <c r="D286" t="n">
        <v>5.1</v>
      </c>
      <c r="E286" t="n">
        <v>85</v>
      </c>
      <c r="F286" t="n">
        <v>15.4</v>
      </c>
      <c r="G286" t="n">
        <v>163.3</v>
      </c>
      <c r="H286" t="n">
        <v>37.7</v>
      </c>
      <c r="I286" t="n">
        <v>28.1</v>
      </c>
      <c r="J286" t="n">
        <v>13.6</v>
      </c>
      <c r="K286">
        <f>SUM(B286:J286)</f>
        <v/>
      </c>
    </row>
    <row r="287">
      <c r="A287" s="794" t="n">
        <v>45393</v>
      </c>
      <c r="B287" t="n">
        <v>582</v>
      </c>
      <c r="C287" t="n">
        <v>647.4</v>
      </c>
      <c r="D287" t="n">
        <v>13</v>
      </c>
      <c r="E287" t="n">
        <v>95.2</v>
      </c>
      <c r="F287" t="n">
        <v>20.2</v>
      </c>
      <c r="G287" t="n">
        <v>138.3</v>
      </c>
      <c r="H287" t="n">
        <v>28</v>
      </c>
      <c r="I287" t="n">
        <v>30.6</v>
      </c>
      <c r="J287" t="n">
        <v>9</v>
      </c>
      <c r="K287">
        <f>SUM(B287:J287)</f>
        <v/>
      </c>
    </row>
    <row r="288">
      <c r="A288" s="794" t="n">
        <v>45394</v>
      </c>
      <c r="B288" t="n">
        <v>554.3</v>
      </c>
      <c r="C288" t="n">
        <v>632.2</v>
      </c>
      <c r="D288" t="n">
        <v>18.8</v>
      </c>
      <c r="E288" t="n">
        <v>102.6</v>
      </c>
      <c r="F288" t="n">
        <v>9.699999999999999</v>
      </c>
      <c r="G288" t="n">
        <v>125.9</v>
      </c>
      <c r="H288" t="n">
        <v>27.3</v>
      </c>
      <c r="I288" t="n">
        <v>12.7</v>
      </c>
      <c r="J288" t="n">
        <v>12.1</v>
      </c>
      <c r="K288">
        <f>SUM(B288:J288)</f>
        <v/>
      </c>
    </row>
    <row r="289">
      <c r="A289" s="794" t="n">
        <v>45395</v>
      </c>
      <c r="B289" t="n">
        <v>609.9</v>
      </c>
      <c r="C289" t="n">
        <v>556.9</v>
      </c>
      <c r="D289" t="n">
        <v>11.7</v>
      </c>
      <c r="E289" t="n">
        <v>98.40000000000001</v>
      </c>
      <c r="F289" t="n">
        <v>21.5</v>
      </c>
      <c r="G289" t="n">
        <v>146.7</v>
      </c>
      <c r="H289" t="n">
        <v>20.1</v>
      </c>
      <c r="I289" t="n">
        <v>21.9</v>
      </c>
      <c r="J289" t="n">
        <v>18.1</v>
      </c>
      <c r="K289">
        <f>SUM(B289:J289)</f>
        <v/>
      </c>
    </row>
    <row r="290">
      <c r="A290" s="794" t="n">
        <v>45396</v>
      </c>
      <c r="B290" t="n">
        <v>469.3</v>
      </c>
      <c r="C290" t="n">
        <v>407.5</v>
      </c>
      <c r="D290" t="n">
        <v>15.1</v>
      </c>
      <c r="E290" t="n">
        <v>26.4</v>
      </c>
      <c r="F290" t="n">
        <v>7</v>
      </c>
      <c r="G290" t="n">
        <v>115.4</v>
      </c>
      <c r="H290" t="n">
        <v>3.7</v>
      </c>
      <c r="I290" t="n">
        <v>35.2</v>
      </c>
      <c r="J290" t="n">
        <v>12.2</v>
      </c>
      <c r="K290">
        <f>SUM(B290:J290)</f>
        <v/>
      </c>
    </row>
    <row r="291">
      <c r="A291" s="794" t="n">
        <v>45397</v>
      </c>
      <c r="B291" t="n">
        <v>367.4</v>
      </c>
      <c r="C291" t="n">
        <v>263.4</v>
      </c>
      <c r="D291" t="n">
        <v>12.9</v>
      </c>
      <c r="F291" t="n">
        <v>10.5</v>
      </c>
      <c r="H291" t="n">
        <v>20.5</v>
      </c>
      <c r="I291" t="n">
        <v>37</v>
      </c>
      <c r="J291" t="n">
        <v>17.5</v>
      </c>
      <c r="K291">
        <f>SUM(B291:J291)</f>
        <v/>
      </c>
    </row>
    <row r="292">
      <c r="A292" s="794" t="n">
        <v>45398</v>
      </c>
      <c r="B292" t="n">
        <v>610</v>
      </c>
      <c r="C292" t="n">
        <v>598.5</v>
      </c>
      <c r="D292" t="n">
        <v>9.300000000000001</v>
      </c>
      <c r="E292" t="n">
        <v>118.7</v>
      </c>
      <c r="F292" t="n">
        <v>10.9</v>
      </c>
      <c r="G292" t="n">
        <v>139.4</v>
      </c>
      <c r="H292" t="n">
        <v>32.5</v>
      </c>
      <c r="I292" t="n">
        <v>9.199999999999999</v>
      </c>
      <c r="J292" t="n">
        <v>14.5</v>
      </c>
      <c r="K292">
        <f>SUM(B292:J292)</f>
        <v/>
      </c>
    </row>
    <row r="293">
      <c r="A293" s="794" t="n">
        <v>45399</v>
      </c>
      <c r="B293" t="n">
        <v>568.9</v>
      </c>
      <c r="C293" t="n">
        <v>655.5</v>
      </c>
      <c r="D293" t="n">
        <v>7.2</v>
      </c>
      <c r="E293" t="n">
        <v>117</v>
      </c>
      <c r="F293" t="n">
        <v>14.2</v>
      </c>
      <c r="G293" t="n">
        <v>126</v>
      </c>
      <c r="H293" t="n">
        <v>29.6</v>
      </c>
      <c r="I293" t="n">
        <v>25.4</v>
      </c>
      <c r="J293" t="n">
        <v>10.4</v>
      </c>
      <c r="K293">
        <f>SUM(B293:J293)</f>
        <v/>
      </c>
    </row>
    <row r="294">
      <c r="A294" s="794" t="n">
        <v>45400</v>
      </c>
      <c r="B294" t="n">
        <v>536.8</v>
      </c>
      <c r="C294" t="n">
        <v>668.6</v>
      </c>
      <c r="D294" t="n">
        <v>6.4</v>
      </c>
      <c r="E294" t="n">
        <v>120.5</v>
      </c>
      <c r="F294" t="n">
        <v>6.9</v>
      </c>
      <c r="G294" t="n">
        <v>127.7</v>
      </c>
      <c r="H294" t="n">
        <v>30.9</v>
      </c>
      <c r="I294" t="n">
        <v>4.7</v>
      </c>
      <c r="J294" t="n">
        <v>10.1</v>
      </c>
      <c r="K294">
        <f>SUM(B294:J294)</f>
        <v/>
      </c>
    </row>
    <row r="295">
      <c r="A295" s="794" t="n">
        <v>45401</v>
      </c>
      <c r="B295" t="n">
        <v>552.5</v>
      </c>
      <c r="C295" t="n">
        <v>583.3</v>
      </c>
      <c r="D295" t="n">
        <v>6.8</v>
      </c>
      <c r="E295" t="n">
        <v>110.5</v>
      </c>
      <c r="F295" t="n">
        <v>16.5</v>
      </c>
      <c r="G295" t="n">
        <v>148.2</v>
      </c>
      <c r="H295" t="n">
        <v>32</v>
      </c>
      <c r="I295" t="n">
        <v>13</v>
      </c>
      <c r="J295" t="n">
        <v>11</v>
      </c>
      <c r="K295">
        <f>SUM(B295:J295)</f>
        <v/>
      </c>
    </row>
    <row r="296">
      <c r="A296" s="794" t="n">
        <v>45402</v>
      </c>
      <c r="B296" t="n">
        <v>519.4</v>
      </c>
      <c r="C296" t="n">
        <v>648.7</v>
      </c>
      <c r="D296" t="n">
        <v>8.300000000000001</v>
      </c>
      <c r="E296" t="n">
        <v>114.3</v>
      </c>
      <c r="F296" t="n">
        <v>11.1</v>
      </c>
      <c r="G296" t="n">
        <v>144.4</v>
      </c>
      <c r="H296" t="n">
        <v>19</v>
      </c>
      <c r="I296" t="n">
        <v>33.9</v>
      </c>
      <c r="J296" t="n">
        <v>13.6</v>
      </c>
      <c r="K296">
        <f>SUM(B296:J296)</f>
        <v/>
      </c>
    </row>
    <row r="297">
      <c r="A297" s="794" t="n">
        <v>45403</v>
      </c>
      <c r="B297" t="n">
        <v>391.2</v>
      </c>
      <c r="C297" t="n">
        <v>387</v>
      </c>
      <c r="E297" t="n">
        <v>36.4</v>
      </c>
      <c r="F297" t="n">
        <v>5</v>
      </c>
      <c r="G297" t="n">
        <v>120.5</v>
      </c>
      <c r="H297" t="n">
        <v>3.1</v>
      </c>
      <c r="I297" t="n">
        <v>35.2</v>
      </c>
      <c r="J297" t="n">
        <v>6.6</v>
      </c>
      <c r="K297">
        <f>SUM(B297:J297)</f>
        <v/>
      </c>
    </row>
    <row r="298">
      <c r="A298" s="794" t="n">
        <v>45404</v>
      </c>
      <c r="B298" t="n">
        <v>372.3</v>
      </c>
      <c r="C298" t="n">
        <v>290.7</v>
      </c>
      <c r="D298" t="n">
        <v>12.8</v>
      </c>
      <c r="F298" t="n">
        <v>25</v>
      </c>
      <c r="H298" t="n">
        <v>19.2</v>
      </c>
      <c r="I298" t="n">
        <v>47.1</v>
      </c>
      <c r="J298" t="n">
        <v>12</v>
      </c>
      <c r="K298">
        <f>SUM(B298:J298)</f>
        <v/>
      </c>
    </row>
    <row r="299">
      <c r="A299" s="794" t="n">
        <v>45405</v>
      </c>
      <c r="B299" t="n">
        <v>517.8</v>
      </c>
      <c r="C299" t="n">
        <v>650.1</v>
      </c>
      <c r="D299" t="n">
        <v>7.7</v>
      </c>
      <c r="E299" t="n">
        <v>117.9</v>
      </c>
      <c r="F299" t="n">
        <v>18.6</v>
      </c>
      <c r="G299" t="n">
        <v>149.3</v>
      </c>
      <c r="H299" t="n">
        <v>27.6</v>
      </c>
      <c r="I299" t="n">
        <v>32</v>
      </c>
      <c r="J299" t="n">
        <v>9.699999999999999</v>
      </c>
      <c r="K299">
        <f>SUM(B299:J299)</f>
        <v/>
      </c>
    </row>
    <row r="300">
      <c r="A300" s="794" t="n">
        <v>45406</v>
      </c>
      <c r="B300" t="n">
        <v>657.4</v>
      </c>
      <c r="C300" t="n">
        <v>745.9</v>
      </c>
      <c r="D300" t="n">
        <v>5.9</v>
      </c>
      <c r="E300" t="n">
        <v>122</v>
      </c>
      <c r="F300" t="n">
        <v>10.3</v>
      </c>
      <c r="G300" t="n">
        <v>142.8</v>
      </c>
      <c r="H300" t="n">
        <v>21.9</v>
      </c>
      <c r="I300" t="n">
        <v>11.9</v>
      </c>
      <c r="J300" t="n">
        <v>10</v>
      </c>
      <c r="K300">
        <f>SUM(B300:J300)</f>
        <v/>
      </c>
    </row>
    <row r="301">
      <c r="A301" s="794" t="n">
        <v>45407</v>
      </c>
      <c r="B301" t="n">
        <v>488.5</v>
      </c>
      <c r="C301" t="n">
        <v>634.5</v>
      </c>
      <c r="D301" t="n">
        <v>8.1</v>
      </c>
      <c r="E301" t="n">
        <v>107.7</v>
      </c>
      <c r="F301" t="n">
        <v>10.2</v>
      </c>
      <c r="G301" t="n">
        <v>152.3</v>
      </c>
      <c r="H301" t="n">
        <v>27.4</v>
      </c>
      <c r="I301" t="n">
        <v>45.3</v>
      </c>
      <c r="J301" t="n">
        <v>6.2</v>
      </c>
      <c r="K301">
        <f>SUM(B301:J301)</f>
        <v/>
      </c>
    </row>
    <row r="302">
      <c r="A302" s="794" t="n">
        <v>45408</v>
      </c>
      <c r="B302" t="n">
        <v>539.6</v>
      </c>
      <c r="C302" t="n">
        <v>600.7</v>
      </c>
      <c r="D302" t="n">
        <v>3.5</v>
      </c>
      <c r="E302" t="n">
        <v>127.1</v>
      </c>
      <c r="F302" t="n">
        <v>13.4</v>
      </c>
      <c r="G302" t="n">
        <v>152.5</v>
      </c>
      <c r="H302" t="n">
        <v>27.3</v>
      </c>
      <c r="I302" t="n">
        <v>37.1</v>
      </c>
      <c r="J302" t="n">
        <v>8.6</v>
      </c>
      <c r="K302">
        <f>SUM(B302:J302)</f>
        <v/>
      </c>
    </row>
    <row r="303">
      <c r="A303" s="794" t="n">
        <v>45409</v>
      </c>
      <c r="B303" t="n">
        <v>503.2</v>
      </c>
      <c r="C303" t="n">
        <v>485.4</v>
      </c>
      <c r="D303" t="n">
        <v>21.4</v>
      </c>
      <c r="E303" t="n">
        <v>121.8</v>
      </c>
      <c r="F303" t="n">
        <v>13.5</v>
      </c>
      <c r="G303" t="n">
        <v>129.7</v>
      </c>
      <c r="H303" t="n">
        <v>20.2</v>
      </c>
      <c r="I303" t="n">
        <v>33.9</v>
      </c>
      <c r="J303" t="n">
        <v>4.5</v>
      </c>
      <c r="K303">
        <f>SUM(B303:J303)</f>
        <v/>
      </c>
    </row>
    <row r="304">
      <c r="A304" s="794" t="n">
        <v>45410</v>
      </c>
      <c r="B304" t="n">
        <v>472</v>
      </c>
      <c r="C304" t="n">
        <v>502.8</v>
      </c>
      <c r="D304" t="n">
        <v>7.4</v>
      </c>
      <c r="E304" t="n">
        <v>21.8</v>
      </c>
      <c r="F304" t="n">
        <v>8.6</v>
      </c>
      <c r="G304" t="n">
        <v>117.6</v>
      </c>
      <c r="H304" t="n">
        <v>3.6</v>
      </c>
      <c r="I304" t="n">
        <v>42</v>
      </c>
      <c r="J304" t="n">
        <v>9.300000000000001</v>
      </c>
      <c r="K304">
        <f>SUM(B304:J304)</f>
        <v/>
      </c>
    </row>
    <row r="305">
      <c r="A305" s="794" t="n">
        <v>45411</v>
      </c>
      <c r="B305" t="n">
        <v>366.5</v>
      </c>
      <c r="C305" t="n">
        <v>199.5</v>
      </c>
      <c r="D305" t="n">
        <v>18</v>
      </c>
      <c r="F305" t="n">
        <v>7.8</v>
      </c>
      <c r="G305" t="n">
        <v>3.6</v>
      </c>
      <c r="H305" t="n">
        <v>20.8</v>
      </c>
      <c r="I305" t="n">
        <v>21.1</v>
      </c>
      <c r="J305" t="n">
        <v>7</v>
      </c>
      <c r="K305">
        <f>SUM(B305:J305)</f>
        <v/>
      </c>
    </row>
    <row r="306">
      <c r="A306" s="794" t="n">
        <v>45412</v>
      </c>
      <c r="B306" t="n">
        <v>633.1</v>
      </c>
      <c r="C306" t="n">
        <v>641.1</v>
      </c>
      <c r="D306" t="n">
        <v>12.3</v>
      </c>
      <c r="E306" t="n">
        <v>112</v>
      </c>
      <c r="F306" t="n">
        <v>2.7</v>
      </c>
      <c r="G306" t="n">
        <v>155.5</v>
      </c>
      <c r="H306" t="n">
        <v>29.3</v>
      </c>
      <c r="I306" t="n">
        <v>17.2</v>
      </c>
      <c r="J306" t="n">
        <v>7.7</v>
      </c>
      <c r="K306">
        <f>SUM(B306:J306)</f>
        <v/>
      </c>
    </row>
    <row r="307">
      <c r="A307" s="794" t="n">
        <v>45413</v>
      </c>
      <c r="B307" t="n">
        <v>579.4</v>
      </c>
      <c r="C307" t="n">
        <v>602.8</v>
      </c>
      <c r="D307" t="n">
        <v>6.7</v>
      </c>
      <c r="E307" t="n">
        <v>113.1</v>
      </c>
      <c r="F307" t="n">
        <v>9.4</v>
      </c>
      <c r="G307" t="n">
        <v>152.4</v>
      </c>
      <c r="H307" t="n">
        <v>2.8</v>
      </c>
      <c r="I307" t="n">
        <v>15.1</v>
      </c>
      <c r="J307" t="n">
        <v>5.2</v>
      </c>
      <c r="K307">
        <f>SUM(B307:J307)</f>
        <v/>
      </c>
    </row>
    <row r="308">
      <c r="A308" s="794" t="n">
        <v>45414</v>
      </c>
      <c r="B308" t="n">
        <v>415.1</v>
      </c>
      <c r="C308" t="n">
        <v>304.2</v>
      </c>
      <c r="D308" t="n">
        <v>9.300000000000001</v>
      </c>
      <c r="E308" t="n">
        <v>3.7</v>
      </c>
      <c r="F308" t="n">
        <v>16</v>
      </c>
      <c r="H308" t="n">
        <v>25.8</v>
      </c>
      <c r="I308" t="n">
        <v>33.5</v>
      </c>
      <c r="J308" t="n">
        <v>7.5</v>
      </c>
      <c r="K308">
        <f>SUM(B308:J308)</f>
        <v/>
      </c>
    </row>
    <row r="309">
      <c r="A309" s="794" t="n">
        <v>45415</v>
      </c>
      <c r="B309" t="n">
        <v>563.1</v>
      </c>
      <c r="C309" t="n">
        <v>519.5</v>
      </c>
      <c r="D309" t="n">
        <v>15.4</v>
      </c>
      <c r="E309" t="n">
        <v>113.1</v>
      </c>
      <c r="F309" t="n">
        <v>22.4</v>
      </c>
      <c r="G309" t="n">
        <v>164.1</v>
      </c>
      <c r="H309" t="n">
        <v>31.5</v>
      </c>
      <c r="I309" t="n">
        <v>18</v>
      </c>
      <c r="J309" t="n">
        <v>6.1</v>
      </c>
      <c r="K309">
        <f>SUM(B309:J309)</f>
        <v/>
      </c>
    </row>
    <row r="310">
      <c r="A310" s="794" t="n">
        <v>45416</v>
      </c>
      <c r="B310" t="n">
        <v>562.4</v>
      </c>
      <c r="C310" t="n">
        <v>532.2</v>
      </c>
      <c r="D310" t="n">
        <v>7.9</v>
      </c>
      <c r="E310" t="n">
        <v>106</v>
      </c>
      <c r="F310" t="n">
        <v>20</v>
      </c>
      <c r="G310" t="n">
        <v>127.8</v>
      </c>
      <c r="H310" t="n">
        <v>26.1</v>
      </c>
      <c r="I310" t="n">
        <v>29.5</v>
      </c>
      <c r="J310" t="n">
        <v>12.6</v>
      </c>
      <c r="K310">
        <f>SUM(B310:J310)</f>
        <v/>
      </c>
    </row>
    <row r="311">
      <c r="A311" s="794" t="n">
        <v>45417</v>
      </c>
      <c r="B311" t="n">
        <v>392.7</v>
      </c>
      <c r="C311" t="n">
        <v>354.9</v>
      </c>
      <c r="D311" t="n">
        <v>5.3</v>
      </c>
      <c r="E311" t="n">
        <v>14.9</v>
      </c>
      <c r="F311" t="n">
        <v>8.5</v>
      </c>
      <c r="G311" t="n">
        <v>76.3</v>
      </c>
      <c r="H311" t="n">
        <v>1</v>
      </c>
      <c r="I311" t="n">
        <v>16.5</v>
      </c>
      <c r="J311" t="n">
        <v>11.7</v>
      </c>
      <c r="K311">
        <f>SUM(B311:J311)</f>
        <v/>
      </c>
    </row>
    <row r="312">
      <c r="A312" s="794" t="n">
        <v>45418</v>
      </c>
      <c r="B312" t="n">
        <v>346.2</v>
      </c>
      <c r="C312" t="n">
        <v>276.6</v>
      </c>
      <c r="D312" t="n">
        <v>15.1</v>
      </c>
      <c r="F312" t="n">
        <v>8.300000000000001</v>
      </c>
      <c r="H312" t="n">
        <v>23.2</v>
      </c>
      <c r="I312" t="n">
        <v>18.5</v>
      </c>
      <c r="J312" t="n">
        <v>15.1</v>
      </c>
      <c r="K312">
        <f>SUM(B312:J312)</f>
        <v/>
      </c>
    </row>
    <row r="313">
      <c r="A313" s="794" t="n">
        <v>45419</v>
      </c>
      <c r="B313" t="n">
        <v>530.9</v>
      </c>
      <c r="C313" t="n">
        <v>562.3</v>
      </c>
      <c r="D313" t="n">
        <v>7.6</v>
      </c>
      <c r="E313" t="n">
        <v>87.5</v>
      </c>
      <c r="F313" t="n">
        <v>11.7</v>
      </c>
      <c r="G313" t="n">
        <v>160.5</v>
      </c>
      <c r="H313" t="n">
        <v>31.2</v>
      </c>
      <c r="I313" t="n">
        <v>34.5</v>
      </c>
      <c r="J313" t="n">
        <v>11.6</v>
      </c>
      <c r="K313">
        <f>SUM(B313:J313)</f>
        <v/>
      </c>
    </row>
    <row r="314">
      <c r="A314" s="794" t="n">
        <v>45420</v>
      </c>
      <c r="B314" t="n">
        <v>534.5</v>
      </c>
      <c r="C314" t="n">
        <v>627</v>
      </c>
      <c r="D314" t="n">
        <v>6.1</v>
      </c>
      <c r="E314" t="n">
        <v>108.2</v>
      </c>
      <c r="F314" t="n">
        <v>12.7</v>
      </c>
      <c r="G314" t="n">
        <v>134.8</v>
      </c>
      <c r="H314" t="n">
        <v>22.3</v>
      </c>
      <c r="I314" t="n">
        <v>37.1</v>
      </c>
      <c r="J314" t="n">
        <v>7.2</v>
      </c>
      <c r="K314">
        <f>SUM(B314:J314)</f>
        <v/>
      </c>
    </row>
    <row r="315">
      <c r="A315" s="794" t="n">
        <v>45421</v>
      </c>
      <c r="B315" t="n">
        <v>590.1</v>
      </c>
      <c r="C315" t="n">
        <v>603.8</v>
      </c>
      <c r="D315" t="n">
        <v>11.1</v>
      </c>
      <c r="E315" t="n">
        <v>133.2</v>
      </c>
      <c r="F315" t="n">
        <v>7.3</v>
      </c>
      <c r="G315" t="n">
        <v>161.2</v>
      </c>
      <c r="H315" t="n">
        <v>29</v>
      </c>
      <c r="I315" t="n">
        <v>29.5</v>
      </c>
      <c r="J315" t="n">
        <v>5.4</v>
      </c>
      <c r="K315">
        <f>SUM(B315:J315)</f>
        <v/>
      </c>
    </row>
    <row r="316">
      <c r="A316" s="794" t="n">
        <v>45422</v>
      </c>
      <c r="B316" t="n">
        <v>562</v>
      </c>
      <c r="C316" t="n">
        <v>567.2</v>
      </c>
      <c r="D316" t="n">
        <v>12</v>
      </c>
      <c r="E316" t="n">
        <v>109.5</v>
      </c>
      <c r="F316" t="n">
        <v>3.8</v>
      </c>
      <c r="G316" t="n">
        <v>144.2</v>
      </c>
      <c r="H316" t="n">
        <v>30.3</v>
      </c>
      <c r="I316" t="n">
        <v>20.8</v>
      </c>
      <c r="J316" t="n">
        <v>7.3</v>
      </c>
      <c r="K316">
        <f>SUM(B316:J316)</f>
        <v/>
      </c>
    </row>
    <row r="317">
      <c r="A317" s="794" t="n">
        <v>45423</v>
      </c>
      <c r="B317" t="n">
        <v>605.2</v>
      </c>
      <c r="C317" t="n">
        <v>562.2</v>
      </c>
      <c r="D317" t="n">
        <v>19.1</v>
      </c>
      <c r="E317" t="n">
        <v>112.2</v>
      </c>
      <c r="F317" t="n">
        <v>25.9</v>
      </c>
      <c r="G317" t="n">
        <v>131.3</v>
      </c>
      <c r="H317" t="n">
        <v>21.8</v>
      </c>
      <c r="I317" t="n">
        <v>50.6</v>
      </c>
      <c r="J317" t="n">
        <v>3.3</v>
      </c>
      <c r="K317">
        <f>SUM(B317:J317)</f>
        <v/>
      </c>
    </row>
    <row r="318">
      <c r="A318" s="794" t="n">
        <v>45424</v>
      </c>
      <c r="B318" t="n">
        <v>398.3</v>
      </c>
      <c r="C318" t="n">
        <v>403.3</v>
      </c>
      <c r="D318" t="n">
        <v>25.2</v>
      </c>
      <c r="E318" t="n">
        <v>61.3</v>
      </c>
      <c r="F318" t="n">
        <v>37.3</v>
      </c>
      <c r="G318" t="n">
        <v>107.2</v>
      </c>
      <c r="H318" t="n">
        <v>1.6</v>
      </c>
      <c r="I318" t="n">
        <v>25.8</v>
      </c>
      <c r="J318" t="n">
        <v>12.2</v>
      </c>
      <c r="K318">
        <f>SUM(B318:J318)</f>
        <v/>
      </c>
    </row>
    <row r="319">
      <c r="A319" s="794" t="n">
        <v>45425</v>
      </c>
      <c r="B319" t="n">
        <v>388.1</v>
      </c>
      <c r="C319" t="n">
        <v>183.9</v>
      </c>
      <c r="D319" t="n">
        <v>13.9</v>
      </c>
      <c r="F319" t="n">
        <v>26.8</v>
      </c>
      <c r="H319" t="n">
        <v>14.7</v>
      </c>
      <c r="I319" t="n">
        <v>46.1</v>
      </c>
      <c r="J319" t="n">
        <v>9.300000000000001</v>
      </c>
      <c r="K319">
        <f>SUM(B319:J319)</f>
        <v/>
      </c>
    </row>
    <row r="320">
      <c r="A320" s="794" t="n">
        <v>45426</v>
      </c>
      <c r="B320" t="n">
        <v>533.3</v>
      </c>
      <c r="C320" t="n">
        <v>513.8</v>
      </c>
      <c r="D320" t="n">
        <v>28.4</v>
      </c>
      <c r="E320" t="n">
        <v>79.40000000000001</v>
      </c>
      <c r="F320" t="n">
        <v>38</v>
      </c>
      <c r="G320" t="n">
        <v>133.6</v>
      </c>
      <c r="H320" t="n">
        <v>24.1</v>
      </c>
      <c r="I320" t="n">
        <v>27.9</v>
      </c>
      <c r="J320" t="n">
        <v>5.1</v>
      </c>
      <c r="K320">
        <f>SUM(B320:J320)</f>
        <v/>
      </c>
    </row>
    <row r="321">
      <c r="A321" s="794" t="n">
        <v>45427</v>
      </c>
      <c r="B321" t="n">
        <v>522.4</v>
      </c>
      <c r="C321" t="n">
        <v>589.7</v>
      </c>
      <c r="D321" t="n">
        <v>28.1</v>
      </c>
      <c r="E321" t="n">
        <v>88.90000000000001</v>
      </c>
      <c r="F321" t="n">
        <v>31.8</v>
      </c>
      <c r="G321" t="n">
        <v>115.4</v>
      </c>
      <c r="H321" t="n">
        <v>18.9</v>
      </c>
      <c r="I321" t="n">
        <v>23.9</v>
      </c>
      <c r="J321" t="n">
        <v>13.4</v>
      </c>
      <c r="K321">
        <f>SUM(B321:J321)</f>
        <v/>
      </c>
    </row>
    <row r="322">
      <c r="A322" s="794" t="n">
        <v>45428</v>
      </c>
      <c r="B322" t="n">
        <v>627.6</v>
      </c>
      <c r="C322" t="n">
        <v>377</v>
      </c>
      <c r="D322" t="n">
        <v>16</v>
      </c>
      <c r="F322" t="n">
        <v>25.6</v>
      </c>
      <c r="H322" t="n">
        <v>23.1</v>
      </c>
      <c r="I322" t="n">
        <v>29.8</v>
      </c>
      <c r="J322" t="n">
        <v>8.699999999999999</v>
      </c>
      <c r="K322">
        <f>SUM(B322:J322)</f>
        <v/>
      </c>
    </row>
    <row r="323">
      <c r="A323" s="794" t="n">
        <v>45429</v>
      </c>
      <c r="B323" t="n">
        <v>507.2</v>
      </c>
      <c r="C323" t="n">
        <v>555.1</v>
      </c>
      <c r="D323" t="n">
        <v>11.1</v>
      </c>
      <c r="E323" t="n">
        <v>100.4</v>
      </c>
      <c r="F323" t="n">
        <v>26.8</v>
      </c>
      <c r="G323" t="n">
        <v>111.3</v>
      </c>
      <c r="H323" t="n">
        <v>21.7</v>
      </c>
      <c r="I323" t="n">
        <v>22.8</v>
      </c>
      <c r="J323" t="n">
        <v>12.4</v>
      </c>
      <c r="K323">
        <f>SUM(B323:J323)</f>
        <v/>
      </c>
    </row>
    <row r="324">
      <c r="A324" s="794" t="n">
        <v>45430</v>
      </c>
      <c r="B324" t="n">
        <v>518.1</v>
      </c>
      <c r="C324" t="n">
        <v>544.1</v>
      </c>
      <c r="D324" t="n">
        <v>25.1</v>
      </c>
      <c r="E324" t="n">
        <v>100.8</v>
      </c>
      <c r="F324" t="n">
        <v>9.699999999999999</v>
      </c>
      <c r="G324" t="n">
        <v>105.1</v>
      </c>
      <c r="H324" t="n">
        <v>20.8</v>
      </c>
      <c r="I324" t="n">
        <v>32.1</v>
      </c>
      <c r="J324" t="n">
        <v>6.6</v>
      </c>
      <c r="K324">
        <f>SUM(B324:J324)</f>
        <v/>
      </c>
    </row>
    <row r="325">
      <c r="A325" s="794" t="n">
        <v>45431</v>
      </c>
      <c r="B325" t="n">
        <v>442.1</v>
      </c>
      <c r="C325" t="n">
        <v>302.9</v>
      </c>
      <c r="D325" t="n">
        <v>9.199999999999999</v>
      </c>
      <c r="E325" t="n">
        <v>39.8</v>
      </c>
      <c r="F325" t="n">
        <v>17.3</v>
      </c>
      <c r="G325" t="n">
        <v>100.9</v>
      </c>
      <c r="H325" t="n">
        <v>2.1</v>
      </c>
      <c r="I325" t="n">
        <v>28</v>
      </c>
      <c r="J325" t="n">
        <v>4.9</v>
      </c>
      <c r="K325">
        <f>SUM(B325:J325)</f>
        <v/>
      </c>
    </row>
    <row r="326">
      <c r="A326" s="794" t="n">
        <v>45432</v>
      </c>
      <c r="B326" t="n">
        <v>424.2</v>
      </c>
      <c r="C326" t="n">
        <v>265.1</v>
      </c>
      <c r="D326" t="n">
        <v>16.7</v>
      </c>
      <c r="F326" t="n">
        <v>15.1</v>
      </c>
      <c r="H326" t="n">
        <v>18.2</v>
      </c>
      <c r="I326" t="n">
        <v>17</v>
      </c>
      <c r="J326" t="n">
        <v>7.1</v>
      </c>
      <c r="K326">
        <f>SUM(B326:J326)</f>
        <v/>
      </c>
    </row>
    <row r="327">
      <c r="A327" s="794" t="n">
        <v>45433</v>
      </c>
      <c r="B327" t="n">
        <v>553</v>
      </c>
      <c r="C327" t="n">
        <v>505.8</v>
      </c>
      <c r="D327" t="n">
        <v>18.2</v>
      </c>
      <c r="E327" t="n">
        <v>90.59999999999999</v>
      </c>
      <c r="F327" t="n">
        <v>16.6</v>
      </c>
      <c r="G327" t="n">
        <v>123.7</v>
      </c>
      <c r="H327" t="n">
        <v>24.8</v>
      </c>
      <c r="I327" t="n">
        <v>21.1</v>
      </c>
      <c r="J327" t="n">
        <v>6.7</v>
      </c>
      <c r="K327">
        <f>SUM(B327:J327)</f>
        <v/>
      </c>
    </row>
    <row r="328">
      <c r="A328" s="794" t="n">
        <v>45434</v>
      </c>
      <c r="B328" t="n">
        <v>526.3</v>
      </c>
      <c r="C328" t="n">
        <v>556.2</v>
      </c>
      <c r="D328" t="n">
        <v>15.4</v>
      </c>
      <c r="E328" t="n">
        <v>90.8</v>
      </c>
      <c r="F328" t="n">
        <v>33</v>
      </c>
      <c r="G328" t="n">
        <v>116.4</v>
      </c>
      <c r="H328" t="n">
        <v>20</v>
      </c>
      <c r="I328" t="n">
        <v>26.6</v>
      </c>
      <c r="J328" t="n">
        <v>10.4</v>
      </c>
      <c r="K328">
        <f>SUM(B328:J328)</f>
        <v/>
      </c>
    </row>
    <row r="329">
      <c r="A329" s="794" t="n">
        <v>45435</v>
      </c>
      <c r="B329" t="n">
        <v>507.9</v>
      </c>
      <c r="C329" t="n">
        <v>581.6</v>
      </c>
      <c r="D329" t="n">
        <v>19.7</v>
      </c>
      <c r="E329" t="n">
        <v>92.09999999999999</v>
      </c>
      <c r="F329" t="n">
        <v>10.4</v>
      </c>
      <c r="G329" t="n">
        <v>111.3</v>
      </c>
      <c r="H329" t="n">
        <v>29.5</v>
      </c>
      <c r="I329" t="n">
        <v>26.7</v>
      </c>
      <c r="J329" t="n">
        <v>6.1</v>
      </c>
      <c r="K329">
        <f>SUM(B329:J329)</f>
        <v/>
      </c>
    </row>
    <row r="330">
      <c r="A330" s="794" t="n">
        <v>45436</v>
      </c>
      <c r="B330" t="n">
        <v>514.7</v>
      </c>
      <c r="C330" t="n">
        <v>631.2</v>
      </c>
      <c r="D330" t="n">
        <v>15.9</v>
      </c>
      <c r="E330" t="n">
        <v>91.09999999999999</v>
      </c>
      <c r="F330" t="n">
        <v>6.9</v>
      </c>
      <c r="G330" t="n">
        <v>102.7</v>
      </c>
      <c r="H330" t="n">
        <v>20.2</v>
      </c>
      <c r="I330" t="n">
        <v>38</v>
      </c>
      <c r="J330" t="n">
        <v>12.9</v>
      </c>
      <c r="K330">
        <f>SUM(B330:J330)</f>
        <v/>
      </c>
    </row>
    <row r="331">
      <c r="A331" s="794" t="n">
        <v>45437</v>
      </c>
      <c r="B331" t="n">
        <v>511.7</v>
      </c>
      <c r="C331" t="n">
        <v>478.1</v>
      </c>
      <c r="D331" t="n">
        <v>13.9</v>
      </c>
      <c r="E331" t="n">
        <v>82.40000000000001</v>
      </c>
      <c r="F331" t="n">
        <v>5.9</v>
      </c>
      <c r="G331" t="n">
        <v>103.6</v>
      </c>
      <c r="H331" t="n">
        <v>15.2</v>
      </c>
      <c r="I331" t="n">
        <v>44.4</v>
      </c>
      <c r="J331" t="n">
        <v>7</v>
      </c>
      <c r="K331">
        <f>SUM(B331:J331)</f>
        <v/>
      </c>
    </row>
    <row r="332">
      <c r="A332" s="794" t="n">
        <v>45438</v>
      </c>
      <c r="B332" t="n">
        <v>453.5</v>
      </c>
      <c r="C332" t="n">
        <v>330.4</v>
      </c>
      <c r="D332" t="n">
        <v>25.2</v>
      </c>
      <c r="E332" t="n">
        <v>33.6</v>
      </c>
      <c r="F332" t="n">
        <v>21.6</v>
      </c>
      <c r="G332" t="n">
        <v>105.4</v>
      </c>
      <c r="H332" t="n">
        <v>2.4</v>
      </c>
      <c r="I332" t="n">
        <v>50.3</v>
      </c>
      <c r="J332" t="n">
        <v>7.7</v>
      </c>
      <c r="K332">
        <f>SUM(B332:J332)</f>
        <v/>
      </c>
    </row>
    <row r="333">
      <c r="A333" s="794" t="n">
        <v>45439</v>
      </c>
      <c r="B333" t="n">
        <v>351</v>
      </c>
      <c r="C333" t="n">
        <v>254.9</v>
      </c>
      <c r="D333" t="n">
        <v>28.1</v>
      </c>
      <c r="F333" t="n">
        <v>11.6</v>
      </c>
      <c r="H333" t="n">
        <v>15.1</v>
      </c>
      <c r="I333" t="n">
        <v>16.5</v>
      </c>
      <c r="J333" t="n">
        <v>15.4</v>
      </c>
      <c r="K333">
        <f>SUM(B333:J333)</f>
        <v/>
      </c>
    </row>
    <row r="334">
      <c r="A334" s="794" t="n">
        <v>45440</v>
      </c>
      <c r="B334" t="n">
        <v>505.2</v>
      </c>
      <c r="C334" t="n">
        <v>549</v>
      </c>
      <c r="D334" t="n">
        <v>20.6</v>
      </c>
      <c r="E334" t="n">
        <v>92.59999999999999</v>
      </c>
      <c r="F334" t="n">
        <v>43.1</v>
      </c>
      <c r="G334" t="n">
        <v>105.5</v>
      </c>
      <c r="H334" t="n">
        <v>25.2</v>
      </c>
      <c r="I334" t="n">
        <v>27</v>
      </c>
      <c r="J334" t="n">
        <v>8.800000000000001</v>
      </c>
      <c r="K334">
        <f>SUM(B334:J334)</f>
        <v/>
      </c>
    </row>
    <row r="335">
      <c r="A335" s="794" t="n">
        <v>45441</v>
      </c>
      <c r="B335" t="n">
        <v>533.5</v>
      </c>
      <c r="C335" t="n">
        <v>567.2</v>
      </c>
      <c r="D335" t="n">
        <v>7.7</v>
      </c>
      <c r="E335" t="n">
        <v>88.2</v>
      </c>
      <c r="F335" t="n">
        <v>6.9</v>
      </c>
      <c r="G335" t="n">
        <v>98.3</v>
      </c>
      <c r="H335" t="n">
        <v>20.8</v>
      </c>
      <c r="I335" t="n">
        <v>33.8</v>
      </c>
      <c r="J335" t="n">
        <v>9.800000000000001</v>
      </c>
      <c r="K335">
        <f>SUM(B335:J335)</f>
        <v/>
      </c>
    </row>
    <row r="336">
      <c r="A336" s="794" t="n">
        <v>45442</v>
      </c>
      <c r="B336" t="n">
        <v>468.4</v>
      </c>
      <c r="C336" t="n">
        <v>547.6</v>
      </c>
      <c r="D336" t="n">
        <v>15.8</v>
      </c>
      <c r="E336" t="n">
        <v>103.7</v>
      </c>
      <c r="F336" t="n">
        <v>14</v>
      </c>
      <c r="G336" t="n">
        <v>89.59999999999999</v>
      </c>
      <c r="H336" t="n">
        <v>12.6</v>
      </c>
      <c r="I336" t="n">
        <v>17.4</v>
      </c>
      <c r="J336" t="n">
        <v>4</v>
      </c>
      <c r="K336">
        <f>SUM(B336:J336)</f>
        <v/>
      </c>
    </row>
    <row r="337">
      <c r="A337" s="794" t="n">
        <v>45443</v>
      </c>
      <c r="B337" t="n">
        <v>459.8</v>
      </c>
      <c r="C337" t="n">
        <v>444.1</v>
      </c>
      <c r="D337" t="n">
        <v>25.7</v>
      </c>
      <c r="E337" t="n">
        <v>78.8</v>
      </c>
      <c r="F337" t="n">
        <v>32</v>
      </c>
      <c r="G337" t="n">
        <v>95.7</v>
      </c>
      <c r="H337" t="n">
        <v>14</v>
      </c>
      <c r="I337" t="n">
        <v>35.2</v>
      </c>
      <c r="J337" t="n">
        <v>8.6</v>
      </c>
      <c r="K337">
        <f>SUM(B337:J337)</f>
        <v/>
      </c>
    </row>
    <row r="338">
      <c r="A338" s="794" t="n">
        <v>45444</v>
      </c>
      <c r="B338" t="n">
        <v>560.1</v>
      </c>
      <c r="C338" t="n">
        <v>370.4</v>
      </c>
      <c r="D338" t="n">
        <v>26.3</v>
      </c>
      <c r="E338" t="n">
        <v>108.6</v>
      </c>
      <c r="F338" t="n">
        <v>43.2</v>
      </c>
      <c r="G338" t="n">
        <v>82.5</v>
      </c>
      <c r="H338" t="n">
        <v>10.3</v>
      </c>
      <c r="I338" t="n">
        <v>45.2</v>
      </c>
      <c r="J338" t="n">
        <v>9.5</v>
      </c>
      <c r="K338">
        <f>SUM(B338:J338)</f>
        <v/>
      </c>
    </row>
    <row r="339">
      <c r="A339" s="794" t="n">
        <v>45445</v>
      </c>
      <c r="B339" t="n">
        <v>456.4</v>
      </c>
      <c r="C339" t="n">
        <v>224.2</v>
      </c>
      <c r="D339" t="n">
        <v>53.5</v>
      </c>
      <c r="E339" t="n">
        <v>30.8</v>
      </c>
      <c r="F339" t="n">
        <v>8.800000000000001</v>
      </c>
      <c r="G339" t="n">
        <v>86.7</v>
      </c>
      <c r="H339" t="n">
        <v>1.5</v>
      </c>
      <c r="I339" t="n">
        <v>18.1</v>
      </c>
      <c r="J339" t="n">
        <v>4.7</v>
      </c>
      <c r="K339">
        <f>SUM(B339:J339)</f>
        <v/>
      </c>
    </row>
    <row r="340">
      <c r="A340" s="794" t="n">
        <v>45446</v>
      </c>
      <c r="B340" t="n">
        <v>313.2</v>
      </c>
      <c r="C340" t="n">
        <v>185.9</v>
      </c>
      <c r="D340" t="n">
        <v>21.8</v>
      </c>
      <c r="F340" t="n">
        <v>18.9</v>
      </c>
      <c r="I340" t="n">
        <v>35</v>
      </c>
      <c r="J340" t="n">
        <v>15.2</v>
      </c>
      <c r="K340">
        <f>SUM(B340:J340)</f>
        <v/>
      </c>
    </row>
    <row r="341">
      <c r="A341" s="794" t="n">
        <v>45447</v>
      </c>
      <c r="B341" t="n">
        <v>474.4</v>
      </c>
      <c r="C341" t="n">
        <v>464.1</v>
      </c>
      <c r="D341" t="n">
        <v>14.4</v>
      </c>
      <c r="E341" t="n">
        <v>57.3</v>
      </c>
      <c r="F341" t="n">
        <v>14.9</v>
      </c>
      <c r="G341" t="n">
        <v>105.6</v>
      </c>
      <c r="H341" t="n">
        <v>6.5</v>
      </c>
      <c r="I341" t="n">
        <v>32.6</v>
      </c>
      <c r="J341" t="n">
        <v>6.8</v>
      </c>
      <c r="K341">
        <f>SUM(B341:J341)</f>
        <v/>
      </c>
    </row>
    <row r="342">
      <c r="A342" s="794" t="n">
        <v>45448</v>
      </c>
      <c r="B342" t="n">
        <v>405.8</v>
      </c>
      <c r="C342" t="n">
        <v>439.1</v>
      </c>
      <c r="D342" t="n">
        <v>31.2</v>
      </c>
      <c r="E342" t="n">
        <v>89.59999999999999</v>
      </c>
      <c r="F342" t="n">
        <v>11.3</v>
      </c>
      <c r="G342" t="n">
        <v>102.2</v>
      </c>
      <c r="H342" t="n">
        <v>12.2</v>
      </c>
      <c r="I342" t="n">
        <v>22.5</v>
      </c>
      <c r="J342" t="n">
        <v>9.6</v>
      </c>
      <c r="K342">
        <f>SUM(B342:J342)</f>
        <v/>
      </c>
    </row>
    <row r="343">
      <c r="A343" s="794" t="n">
        <v>45449</v>
      </c>
      <c r="B343" t="n">
        <v>354.7</v>
      </c>
      <c r="C343" t="n">
        <v>343.2</v>
      </c>
      <c r="D343" t="n">
        <v>12.6</v>
      </c>
      <c r="E343" t="n">
        <v>98.5</v>
      </c>
      <c r="F343" t="n">
        <v>10</v>
      </c>
      <c r="G343" t="n">
        <v>104.5</v>
      </c>
      <c r="H343" t="n">
        <v>6.8</v>
      </c>
      <c r="I343" t="n">
        <v>16.2</v>
      </c>
      <c r="J343" t="n">
        <v>4.7</v>
      </c>
      <c r="K343">
        <f>SUM(B343:J343)</f>
        <v/>
      </c>
    </row>
    <row r="344">
      <c r="A344" s="794" t="n">
        <v>45450</v>
      </c>
      <c r="B344" t="n">
        <v>387.5</v>
      </c>
      <c r="C344" t="n">
        <v>338.5</v>
      </c>
      <c r="D344" t="n">
        <v>14</v>
      </c>
      <c r="E344" t="n">
        <v>65.09999999999999</v>
      </c>
      <c r="F344" t="n">
        <v>13.8</v>
      </c>
      <c r="G344" t="n">
        <v>112.5</v>
      </c>
      <c r="H344" t="n">
        <v>8.699999999999999</v>
      </c>
      <c r="I344" t="n">
        <v>31.3</v>
      </c>
      <c r="J344" t="n">
        <v>11.9</v>
      </c>
      <c r="K344">
        <f>SUM(B344:J344)</f>
        <v/>
      </c>
    </row>
    <row r="345">
      <c r="A345" s="794" t="n">
        <v>45451</v>
      </c>
      <c r="B345" t="n">
        <v>389.3</v>
      </c>
      <c r="C345" t="n">
        <v>213.9</v>
      </c>
      <c r="D345" t="n">
        <v>6.5</v>
      </c>
      <c r="E345" t="n">
        <v>87.09999999999999</v>
      </c>
      <c r="F345" t="n">
        <v>11.6</v>
      </c>
      <c r="G345" t="n">
        <v>84</v>
      </c>
      <c r="H345" t="n">
        <v>2.2</v>
      </c>
      <c r="I345" t="n">
        <v>22.8</v>
      </c>
      <c r="J345" t="n">
        <v>8</v>
      </c>
      <c r="K345">
        <f>SUM(B345:J345)</f>
        <v/>
      </c>
    </row>
    <row r="346">
      <c r="A346" s="794" t="n">
        <v>45452</v>
      </c>
      <c r="B346" t="n">
        <v>384.3</v>
      </c>
      <c r="C346" t="n">
        <v>236.7</v>
      </c>
      <c r="D346" t="n">
        <v>19.5</v>
      </c>
      <c r="E346" t="n">
        <v>61.2</v>
      </c>
      <c r="F346" t="n">
        <v>2.3</v>
      </c>
      <c r="G346" t="n">
        <v>90.09999999999999</v>
      </c>
      <c r="H346" t="n">
        <v>2.6</v>
      </c>
      <c r="I346" t="n">
        <v>30.1</v>
      </c>
      <c r="J346" t="n">
        <v>12.2</v>
      </c>
      <c r="K346">
        <f>SUM(B346:J346)</f>
        <v/>
      </c>
    </row>
    <row r="347">
      <c r="A347" s="794" t="n">
        <v>45453</v>
      </c>
      <c r="B347" t="n">
        <v>278.9</v>
      </c>
      <c r="C347" t="n">
        <v>129.8</v>
      </c>
      <c r="D347" t="n">
        <v>14</v>
      </c>
      <c r="F347" t="n">
        <v>7.2</v>
      </c>
      <c r="H347" t="n">
        <v>4.4</v>
      </c>
      <c r="I347" t="n">
        <v>30.9</v>
      </c>
      <c r="J347" t="n">
        <v>8.9</v>
      </c>
      <c r="K347">
        <f>SUM(B347:J347)</f>
        <v/>
      </c>
    </row>
    <row r="348">
      <c r="A348" s="794" t="n">
        <v>45454</v>
      </c>
      <c r="B348" t="n">
        <v>330.3</v>
      </c>
      <c r="C348" t="n">
        <v>141</v>
      </c>
      <c r="D348" t="n">
        <v>16.5</v>
      </c>
      <c r="F348" t="n">
        <v>8</v>
      </c>
      <c r="I348" t="n">
        <v>46.3</v>
      </c>
      <c r="J348" t="n">
        <v>4.3</v>
      </c>
      <c r="K348">
        <f>SUM(B348:J348)</f>
        <v/>
      </c>
    </row>
    <row r="349">
      <c r="A349" s="794" t="n">
        <v>45455</v>
      </c>
      <c r="B349" t="n">
        <v>353.3</v>
      </c>
      <c r="C349" t="n">
        <v>349.3</v>
      </c>
      <c r="D349" t="n">
        <v>8.199999999999999</v>
      </c>
      <c r="E349" t="n">
        <v>71.7</v>
      </c>
      <c r="F349" t="n">
        <v>21.3</v>
      </c>
      <c r="G349" t="n">
        <v>92.90000000000001</v>
      </c>
      <c r="H349" t="n">
        <v>6.7</v>
      </c>
      <c r="I349" t="n">
        <v>34.3</v>
      </c>
      <c r="J349" t="n">
        <v>9.9</v>
      </c>
      <c r="K349">
        <f>SUM(B349:J349)</f>
        <v/>
      </c>
    </row>
    <row r="350">
      <c r="A350" s="794" t="n">
        <v>45456</v>
      </c>
      <c r="B350" t="n">
        <v>389.4</v>
      </c>
      <c r="C350" t="n">
        <v>361.6</v>
      </c>
      <c r="D350" t="n">
        <v>16.5</v>
      </c>
      <c r="E350" t="n">
        <v>61.9</v>
      </c>
      <c r="F350" t="n">
        <v>39.5</v>
      </c>
      <c r="G350" t="n">
        <v>90.5</v>
      </c>
      <c r="H350" t="n">
        <v>7.9</v>
      </c>
      <c r="I350" t="n">
        <v>24.4</v>
      </c>
      <c r="J350" t="n">
        <v>6.8</v>
      </c>
      <c r="K350">
        <f>SUM(B350:J350)</f>
        <v/>
      </c>
    </row>
    <row r="351">
      <c r="A351" s="794" t="n">
        <v>45457</v>
      </c>
      <c r="B351" t="n">
        <v>376</v>
      </c>
      <c r="C351" t="n">
        <v>346.1</v>
      </c>
      <c r="D351" t="n">
        <v>18.9</v>
      </c>
      <c r="E351" t="n">
        <v>91.3</v>
      </c>
      <c r="F351" t="n">
        <v>25.1</v>
      </c>
      <c r="G351" t="n">
        <v>82.2</v>
      </c>
      <c r="H351" t="n">
        <v>7.6</v>
      </c>
      <c r="I351" t="n">
        <v>27.6</v>
      </c>
      <c r="J351" t="n">
        <v>9.800000000000001</v>
      </c>
      <c r="K351">
        <f>SUM(B351:J351)</f>
        <v/>
      </c>
    </row>
    <row r="352">
      <c r="A352" s="794" t="n">
        <v>45458</v>
      </c>
      <c r="B352" t="n">
        <v>335.2</v>
      </c>
      <c r="C352" t="n">
        <v>294.4</v>
      </c>
      <c r="D352" t="n">
        <v>24.5</v>
      </c>
      <c r="E352" t="n">
        <v>55.7</v>
      </c>
      <c r="F352" t="n">
        <v>19</v>
      </c>
      <c r="G352" t="n">
        <v>83.7</v>
      </c>
      <c r="H352" t="n">
        <v>7.9</v>
      </c>
      <c r="I352" t="n">
        <v>34.1</v>
      </c>
      <c r="J352" t="n">
        <v>8.6</v>
      </c>
      <c r="K352">
        <f>SUM(B352:J352)</f>
        <v/>
      </c>
    </row>
    <row r="353">
      <c r="A353" s="794" t="n">
        <v>45459</v>
      </c>
      <c r="B353" t="n">
        <v>313.5</v>
      </c>
      <c r="C353" t="n">
        <v>203.1</v>
      </c>
      <c r="D353" t="n">
        <v>15.8</v>
      </c>
      <c r="E353" t="n">
        <v>58.6</v>
      </c>
      <c r="F353" t="n">
        <v>18.5</v>
      </c>
      <c r="G353" t="n">
        <v>82.09999999999999</v>
      </c>
      <c r="H353" t="n">
        <v>0.6</v>
      </c>
      <c r="I353" t="n">
        <v>36.1</v>
      </c>
      <c r="J353" t="n">
        <v>12</v>
      </c>
      <c r="K353">
        <f>SUM(B353:J353)</f>
        <v/>
      </c>
    </row>
    <row r="354">
      <c r="A354" s="794" t="n">
        <v>45460</v>
      </c>
      <c r="B354" t="n">
        <v>334.2</v>
      </c>
      <c r="C354" t="n">
        <v>124.6</v>
      </c>
      <c r="D354" t="n">
        <v>6.3</v>
      </c>
      <c r="F354" t="n">
        <v>19.5</v>
      </c>
      <c r="I354" t="n">
        <v>44.3</v>
      </c>
      <c r="J354" t="n">
        <v>7.2</v>
      </c>
      <c r="K354">
        <f>SUM(B354:J354)</f>
        <v/>
      </c>
    </row>
    <row r="355">
      <c r="A355" s="794" t="n">
        <v>45461</v>
      </c>
      <c r="B355" t="n">
        <v>316.6</v>
      </c>
      <c r="C355" t="n">
        <v>248.4</v>
      </c>
      <c r="D355" t="n">
        <v>17.1</v>
      </c>
      <c r="E355" t="n">
        <v>63.3</v>
      </c>
      <c r="F355" t="n">
        <v>12.7</v>
      </c>
      <c r="G355" t="n">
        <v>67.3</v>
      </c>
      <c r="H355" t="n">
        <v>7.9</v>
      </c>
      <c r="I355" t="n">
        <v>12.9</v>
      </c>
      <c r="J355" t="n">
        <v>8.5</v>
      </c>
      <c r="K355">
        <f>SUM(B355:J355)</f>
        <v/>
      </c>
    </row>
    <row r="356">
      <c r="A356" s="794" t="n">
        <v>45462</v>
      </c>
      <c r="B356" t="n">
        <v>434.6</v>
      </c>
      <c r="C356" t="n">
        <v>413.3</v>
      </c>
      <c r="D356" t="n">
        <v>10.3</v>
      </c>
      <c r="E356" t="n">
        <v>74.3</v>
      </c>
      <c r="F356" t="n">
        <v>7.1</v>
      </c>
      <c r="G356" t="n">
        <v>90.3</v>
      </c>
      <c r="H356" t="n">
        <v>13.5</v>
      </c>
      <c r="I356" t="n">
        <v>36.4</v>
      </c>
      <c r="J356" t="n">
        <v>6.1</v>
      </c>
      <c r="K356">
        <f>SUM(B356:J356)</f>
        <v/>
      </c>
    </row>
    <row r="357">
      <c r="A357" s="794" t="n">
        <v>45463</v>
      </c>
      <c r="B357" t="n">
        <v>364.1</v>
      </c>
      <c r="C357" t="n">
        <v>427.7</v>
      </c>
      <c r="D357" t="n">
        <v>8.1</v>
      </c>
      <c r="E357" t="n">
        <v>63</v>
      </c>
      <c r="F357" t="n">
        <v>31.3</v>
      </c>
      <c r="G357" t="n">
        <v>75</v>
      </c>
      <c r="H357" t="n">
        <v>13.3</v>
      </c>
      <c r="I357" t="n">
        <v>27.9</v>
      </c>
      <c r="J357" t="n">
        <v>17.1</v>
      </c>
      <c r="K357">
        <f>SUM(B357:J357)</f>
        <v/>
      </c>
    </row>
    <row r="358">
      <c r="A358" s="794" t="n">
        <v>45464</v>
      </c>
      <c r="B358" t="n">
        <v>342.8</v>
      </c>
      <c r="C358" t="n">
        <v>472</v>
      </c>
      <c r="D358" t="n">
        <v>7.4</v>
      </c>
      <c r="E358" t="n">
        <v>61.6</v>
      </c>
      <c r="F358" t="n">
        <v>13.8</v>
      </c>
      <c r="G358" t="n">
        <v>74.59999999999999</v>
      </c>
      <c r="H358" t="n">
        <v>15</v>
      </c>
      <c r="I358" t="n">
        <v>9.199999999999999</v>
      </c>
      <c r="J358" t="n">
        <v>7.5</v>
      </c>
      <c r="K358">
        <f>SUM(B358:J358)</f>
        <v/>
      </c>
    </row>
    <row r="359">
      <c r="A359" s="794" t="n">
        <v>45465</v>
      </c>
      <c r="B359" t="n">
        <v>400.4</v>
      </c>
      <c r="C359" t="n">
        <v>406.3</v>
      </c>
      <c r="D359" t="n">
        <v>14.2</v>
      </c>
      <c r="E359" t="n">
        <v>64.09999999999999</v>
      </c>
      <c r="F359" t="n">
        <v>7.5</v>
      </c>
      <c r="G359" t="n">
        <v>71</v>
      </c>
      <c r="H359" t="n">
        <v>10</v>
      </c>
      <c r="I359" t="n">
        <v>34.7</v>
      </c>
      <c r="J359" t="n">
        <v>6.6</v>
      </c>
      <c r="K359">
        <f>SUM(B359:J359)</f>
        <v/>
      </c>
    </row>
    <row r="360">
      <c r="A360" s="794" t="n">
        <v>45466</v>
      </c>
      <c r="B360" t="n">
        <v>377.7</v>
      </c>
      <c r="C360" t="n">
        <v>322.2</v>
      </c>
      <c r="D360" t="n">
        <v>37.4</v>
      </c>
      <c r="E360" t="n">
        <v>38.5</v>
      </c>
      <c r="F360" t="n">
        <v>20.2</v>
      </c>
      <c r="G360" t="n">
        <v>74.2</v>
      </c>
      <c r="H360" t="n">
        <v>4.4</v>
      </c>
      <c r="I360" t="n">
        <v>25.6</v>
      </c>
      <c r="J360" t="n">
        <v>5.6</v>
      </c>
      <c r="K360">
        <f>SUM(B360:J360)</f>
        <v/>
      </c>
    </row>
    <row r="361">
      <c r="A361" s="794" t="n">
        <v>45467</v>
      </c>
      <c r="B361" t="n">
        <v>414.2</v>
      </c>
      <c r="C361" t="n">
        <v>111</v>
      </c>
      <c r="D361" t="n">
        <v>25.8</v>
      </c>
      <c r="F361" t="n">
        <v>31.6</v>
      </c>
      <c r="H361" t="n">
        <v>2.1</v>
      </c>
      <c r="I361" t="n">
        <v>18.1</v>
      </c>
      <c r="J361" t="n">
        <v>13.3</v>
      </c>
      <c r="K361">
        <f>SUM(B361:J361)</f>
        <v/>
      </c>
    </row>
    <row r="362">
      <c r="A362" s="794" t="n">
        <v>45468</v>
      </c>
      <c r="B362" t="n">
        <v>524.4</v>
      </c>
      <c r="C362" t="n">
        <v>438.3</v>
      </c>
      <c r="D362" t="n">
        <v>22.3</v>
      </c>
      <c r="E362" t="n">
        <v>58.7</v>
      </c>
      <c r="F362" t="n">
        <v>12.2</v>
      </c>
      <c r="G362" t="n">
        <v>86.8</v>
      </c>
      <c r="H362" t="n">
        <v>13.3</v>
      </c>
      <c r="I362" t="n">
        <v>27.3</v>
      </c>
      <c r="J362" t="n">
        <v>6.3</v>
      </c>
      <c r="K362">
        <f>SUM(B362:J362)</f>
        <v/>
      </c>
    </row>
    <row r="363">
      <c r="A363" s="794" t="n">
        <v>45469</v>
      </c>
      <c r="B363" t="n">
        <v>438.8</v>
      </c>
      <c r="C363" t="n">
        <v>450.8</v>
      </c>
      <c r="D363" t="n">
        <v>20.1</v>
      </c>
      <c r="E363" t="n">
        <v>54.5</v>
      </c>
      <c r="F363" t="n">
        <v>32.5</v>
      </c>
      <c r="G363" t="n">
        <v>82.90000000000001</v>
      </c>
      <c r="H363" t="n">
        <v>14.2</v>
      </c>
      <c r="I363" t="n">
        <v>47</v>
      </c>
      <c r="J363" t="n">
        <v>9</v>
      </c>
      <c r="K363">
        <f>SUM(B363:J363)</f>
        <v/>
      </c>
    </row>
    <row r="364">
      <c r="A364" s="794" t="n">
        <v>45470</v>
      </c>
      <c r="B364" t="n">
        <v>425.2</v>
      </c>
      <c r="C364" t="n">
        <v>449.1</v>
      </c>
      <c r="D364" t="n">
        <v>32.6</v>
      </c>
      <c r="E364" t="n">
        <v>65.40000000000001</v>
      </c>
      <c r="F364" t="n">
        <v>3.3</v>
      </c>
      <c r="G364" t="n">
        <v>76.40000000000001</v>
      </c>
      <c r="H364" t="n">
        <v>9.9</v>
      </c>
      <c r="I364" t="n">
        <v>35.1</v>
      </c>
      <c r="J364" t="n">
        <v>8</v>
      </c>
      <c r="K364">
        <f>SUM(B364:J364)</f>
        <v/>
      </c>
    </row>
    <row r="365">
      <c r="A365" s="794" t="n">
        <v>45471</v>
      </c>
      <c r="B365" t="n">
        <v>352.3</v>
      </c>
      <c r="C365" t="n">
        <v>213.4</v>
      </c>
      <c r="D365" t="n">
        <v>15.7</v>
      </c>
      <c r="E365" t="n">
        <v>58.9</v>
      </c>
      <c r="F365" t="n">
        <v>8</v>
      </c>
      <c r="G365" t="n">
        <v>73.8</v>
      </c>
      <c r="H365" t="n">
        <v>2.6</v>
      </c>
      <c r="I365" t="n">
        <v>35.3</v>
      </c>
      <c r="J365" t="n">
        <v>11.4</v>
      </c>
      <c r="K365">
        <f>SUM(B365:J365)</f>
        <v/>
      </c>
    </row>
    <row r="366">
      <c r="A366" s="794" t="n">
        <v>45472</v>
      </c>
      <c r="B366" t="n">
        <v>364.4</v>
      </c>
      <c r="C366" t="n">
        <v>480</v>
      </c>
      <c r="D366" t="n">
        <v>20.3</v>
      </c>
      <c r="E366" t="n">
        <v>107.6</v>
      </c>
      <c r="F366" t="n">
        <v>17.7</v>
      </c>
      <c r="G366" t="n">
        <v>76.90000000000001</v>
      </c>
      <c r="H366" t="n">
        <v>11</v>
      </c>
      <c r="I366" t="n">
        <v>52.2</v>
      </c>
      <c r="J366" t="n">
        <v>6.8</v>
      </c>
      <c r="K366">
        <f>SUM(B366:J366)</f>
        <v/>
      </c>
    </row>
    <row r="367">
      <c r="A367" s="794" t="n">
        <v>45473</v>
      </c>
      <c r="B367" t="n">
        <v>365.2</v>
      </c>
      <c r="C367" t="n">
        <v>219.3</v>
      </c>
      <c r="D367" t="n">
        <v>34.2</v>
      </c>
      <c r="E367" t="n">
        <v>55.3</v>
      </c>
      <c r="F367" t="n">
        <v>13</v>
      </c>
      <c r="G367" t="n">
        <v>81.7</v>
      </c>
      <c r="H367" t="n">
        <v>5.1</v>
      </c>
      <c r="I367" t="n">
        <v>26.5</v>
      </c>
      <c r="J367" t="n">
        <v>7.8</v>
      </c>
      <c r="K367">
        <f>SUM(B367:J367)</f>
        <v/>
      </c>
    </row>
    <row r="368">
      <c r="A368" s="794" t="n">
        <v>45474</v>
      </c>
      <c r="B368" t="n">
        <v>351.4</v>
      </c>
      <c r="C368" t="n">
        <v>112.3</v>
      </c>
      <c r="D368" t="n">
        <v>19.7</v>
      </c>
      <c r="F368" t="n">
        <v>14.6</v>
      </c>
      <c r="I368" t="n">
        <v>18.1</v>
      </c>
      <c r="J368" t="n">
        <v>7.2</v>
      </c>
      <c r="K368">
        <f>SUM(B368:J368)</f>
        <v/>
      </c>
    </row>
    <row r="369">
      <c r="A369" s="794" t="n">
        <v>45475</v>
      </c>
      <c r="B369" t="n">
        <v>309.3</v>
      </c>
      <c r="C369" t="n">
        <v>164.8</v>
      </c>
      <c r="D369" t="n">
        <v>23.2</v>
      </c>
      <c r="F369" t="n">
        <v>15.9</v>
      </c>
      <c r="H369" t="n">
        <v>3.6</v>
      </c>
      <c r="I369" t="n">
        <v>44.6</v>
      </c>
      <c r="K369">
        <f>SUM(B369:J369)</f>
        <v/>
      </c>
    </row>
    <row r="370">
      <c r="A370" s="794" t="n">
        <v>45476</v>
      </c>
      <c r="B370" t="n">
        <v>425.5</v>
      </c>
      <c r="C370" t="n">
        <v>441.7</v>
      </c>
      <c r="D370" t="n">
        <v>12.4</v>
      </c>
      <c r="E370" t="n">
        <v>52.8</v>
      </c>
      <c r="F370" t="n">
        <v>18.9</v>
      </c>
      <c r="G370" t="n">
        <v>96.90000000000001</v>
      </c>
      <c r="H370" t="n">
        <v>11.8</v>
      </c>
      <c r="I370" t="n">
        <v>32.2</v>
      </c>
      <c r="J370" t="n">
        <v>4.6</v>
      </c>
      <c r="K370">
        <f>SUM(B370:J370)</f>
        <v/>
      </c>
    </row>
    <row r="371">
      <c r="A371" s="794" t="n">
        <v>45477</v>
      </c>
      <c r="B371" t="n">
        <v>453.8</v>
      </c>
      <c r="C371" t="n">
        <v>477.8</v>
      </c>
      <c r="D371" t="n">
        <v>4.8</v>
      </c>
      <c r="E371" t="n">
        <v>62.1</v>
      </c>
      <c r="F371" t="n">
        <v>22</v>
      </c>
      <c r="G371" t="n">
        <v>78.2</v>
      </c>
      <c r="H371" t="n">
        <v>11.3</v>
      </c>
      <c r="I371" t="n">
        <v>13.1</v>
      </c>
      <c r="J371" t="n">
        <v>10.7</v>
      </c>
      <c r="K371">
        <f>SUM(B371:J371)</f>
        <v/>
      </c>
    </row>
    <row r="372">
      <c r="A372" s="794" t="n">
        <v>45478</v>
      </c>
      <c r="B372" t="n">
        <v>396.5</v>
      </c>
      <c r="C372" t="n">
        <v>457.2</v>
      </c>
      <c r="D372" t="n">
        <v>6.3</v>
      </c>
      <c r="E372" t="n">
        <v>66.09999999999999</v>
      </c>
      <c r="F372" t="n">
        <v>16.8</v>
      </c>
      <c r="G372" t="n">
        <v>80.59999999999999</v>
      </c>
      <c r="H372" t="n">
        <v>15.5</v>
      </c>
      <c r="I372" t="n">
        <v>25</v>
      </c>
      <c r="J372" t="n">
        <v>5.4</v>
      </c>
      <c r="K372">
        <f>SUM(B372:J372)</f>
        <v/>
      </c>
    </row>
    <row r="373">
      <c r="A373" s="794" t="n">
        <v>45479</v>
      </c>
      <c r="B373" t="n">
        <v>436.3</v>
      </c>
      <c r="C373" t="n">
        <v>446.6</v>
      </c>
      <c r="D373" t="n">
        <v>20.7</v>
      </c>
      <c r="E373" t="n">
        <v>65.8</v>
      </c>
      <c r="F373" t="n">
        <v>15</v>
      </c>
      <c r="G373" t="n">
        <v>73.5</v>
      </c>
      <c r="H373" t="n">
        <v>9.9</v>
      </c>
      <c r="I373" t="n">
        <v>40.8</v>
      </c>
      <c r="J373" t="n">
        <v>5.8</v>
      </c>
      <c r="K373">
        <f>SUM(B373:J373)</f>
        <v/>
      </c>
    </row>
    <row r="374">
      <c r="A374" s="794" t="n">
        <v>45480</v>
      </c>
      <c r="B374" t="n">
        <v>434.6</v>
      </c>
      <c r="C374" t="n">
        <v>310.6</v>
      </c>
      <c r="D374" t="n">
        <v>30.9</v>
      </c>
      <c r="E374" t="n">
        <v>41.2</v>
      </c>
      <c r="F374" t="n">
        <v>7</v>
      </c>
      <c r="G374" t="n">
        <v>94.2</v>
      </c>
      <c r="H374" t="n">
        <v>3.6</v>
      </c>
      <c r="I374" t="n">
        <v>26.6</v>
      </c>
      <c r="J374" t="n">
        <v>4.2</v>
      </c>
      <c r="K374">
        <f>SUM(B374:J374)</f>
        <v/>
      </c>
    </row>
    <row r="375">
      <c r="A375" s="794" t="n">
        <v>45481</v>
      </c>
      <c r="B375" t="n">
        <v>344.6</v>
      </c>
      <c r="C375" t="n">
        <v>211.9</v>
      </c>
      <c r="D375" t="n">
        <v>26</v>
      </c>
      <c r="F375" t="n">
        <v>17.8</v>
      </c>
      <c r="H375" t="n">
        <v>2</v>
      </c>
      <c r="I375" t="n">
        <v>23.3</v>
      </c>
      <c r="J375" t="n">
        <v>11.4</v>
      </c>
      <c r="K375">
        <f>SUM(B375:J375)</f>
        <v/>
      </c>
    </row>
    <row r="376">
      <c r="A376" s="794" t="n">
        <v>45482</v>
      </c>
      <c r="B376" t="n">
        <v>396.5</v>
      </c>
      <c r="C376" t="n">
        <v>507.4</v>
      </c>
      <c r="D376" t="n">
        <v>6.3</v>
      </c>
      <c r="E376" t="n">
        <v>57.6</v>
      </c>
      <c r="F376" t="n">
        <v>12.4</v>
      </c>
      <c r="G376" t="n">
        <v>88.40000000000001</v>
      </c>
      <c r="H376" t="n">
        <v>16.8</v>
      </c>
      <c r="I376" t="n">
        <v>29.8</v>
      </c>
      <c r="J376" t="n">
        <v>10.3</v>
      </c>
      <c r="K376">
        <f>SUM(B376:J376)</f>
        <v/>
      </c>
    </row>
    <row r="377">
      <c r="A377" s="794" t="n">
        <v>45483</v>
      </c>
      <c r="B377" t="n">
        <v>373.9</v>
      </c>
      <c r="C377" t="n">
        <v>510.1</v>
      </c>
      <c r="D377" t="n">
        <v>7.9</v>
      </c>
      <c r="E377" t="n">
        <v>52.4</v>
      </c>
      <c r="F377" t="n">
        <v>10.2</v>
      </c>
      <c r="G377" t="n">
        <v>82.2</v>
      </c>
      <c r="H377" t="n">
        <v>9.800000000000001</v>
      </c>
      <c r="I377" t="n">
        <v>22.4</v>
      </c>
      <c r="J377" t="n">
        <v>9.199999999999999</v>
      </c>
      <c r="K377">
        <f>SUM(B377:J377)</f>
        <v/>
      </c>
    </row>
    <row r="378">
      <c r="A378" s="794" t="n">
        <v>45484</v>
      </c>
      <c r="B378" t="n">
        <v>440.6</v>
      </c>
      <c r="C378" t="n">
        <v>552.3</v>
      </c>
      <c r="D378" t="n">
        <v>24.8</v>
      </c>
      <c r="E378" t="n">
        <v>33.1</v>
      </c>
      <c r="F378" t="n">
        <v>11.1</v>
      </c>
      <c r="G378" t="n">
        <v>90.2</v>
      </c>
      <c r="H378" t="n">
        <v>10.7</v>
      </c>
      <c r="I378" t="n">
        <v>23.5</v>
      </c>
      <c r="J378" t="n">
        <v>6.1</v>
      </c>
      <c r="K378">
        <f>SUM(B378:J378)</f>
        <v/>
      </c>
    </row>
    <row r="379">
      <c r="A379" s="794" t="n">
        <v>45485</v>
      </c>
      <c r="B379" t="n">
        <v>439.6</v>
      </c>
      <c r="C379" t="n">
        <v>586.6</v>
      </c>
      <c r="D379" t="n">
        <v>33</v>
      </c>
      <c r="E379" t="n">
        <v>69.90000000000001</v>
      </c>
      <c r="F379" t="n">
        <v>11.7</v>
      </c>
      <c r="G379" t="n">
        <v>77.3</v>
      </c>
      <c r="H379" t="n">
        <v>15.5</v>
      </c>
      <c r="I379" t="n">
        <v>13.3</v>
      </c>
      <c r="J379" t="n">
        <v>16.9</v>
      </c>
      <c r="K379">
        <f>SUM(B379:J379)</f>
        <v/>
      </c>
    </row>
    <row r="380">
      <c r="A380" s="794" t="n">
        <v>45486</v>
      </c>
      <c r="B380" t="n">
        <v>446.1</v>
      </c>
      <c r="C380" t="n">
        <v>508.8</v>
      </c>
      <c r="D380" t="n">
        <v>28.2</v>
      </c>
      <c r="E380" t="n">
        <v>107.7</v>
      </c>
      <c r="F380" t="n">
        <v>17.8</v>
      </c>
      <c r="G380" t="n">
        <v>81.2</v>
      </c>
      <c r="H380" t="n">
        <v>7.4</v>
      </c>
      <c r="I380" t="n">
        <v>19.8</v>
      </c>
      <c r="J380" t="n">
        <v>7.6</v>
      </c>
      <c r="K380">
        <f>SUM(B380:J380)</f>
        <v/>
      </c>
    </row>
    <row r="381">
      <c r="A381" s="794" t="n">
        <v>45487</v>
      </c>
      <c r="B381" t="n">
        <v>480.1</v>
      </c>
      <c r="C381" t="n">
        <v>247.9</v>
      </c>
      <c r="D381" t="n">
        <v>34.7</v>
      </c>
      <c r="E381" t="n">
        <v>16.5</v>
      </c>
      <c r="F381" t="n">
        <v>16.9</v>
      </c>
      <c r="G381" t="n">
        <v>92.09999999999999</v>
      </c>
      <c r="I381" t="n">
        <v>31.7</v>
      </c>
      <c r="J381" t="n">
        <v>8.1</v>
      </c>
      <c r="K381">
        <f>SUM(B381:J381)</f>
        <v/>
      </c>
    </row>
    <row r="382">
      <c r="A382" s="794" t="n">
        <v>45488</v>
      </c>
      <c r="B382" t="n">
        <v>325.8</v>
      </c>
      <c r="C382" t="n">
        <v>262.2</v>
      </c>
      <c r="D382" t="n">
        <v>21.8</v>
      </c>
      <c r="F382" t="n">
        <v>14.5</v>
      </c>
      <c r="I382" t="n">
        <v>17.9</v>
      </c>
      <c r="J382" t="n">
        <v>7.4</v>
      </c>
      <c r="K382">
        <f>SUM(B382:J382)</f>
        <v/>
      </c>
    </row>
    <row r="383">
      <c r="A383" s="794" t="n">
        <v>45489</v>
      </c>
      <c r="B383" t="n">
        <v>405.4</v>
      </c>
      <c r="C383" t="n">
        <v>556.3</v>
      </c>
      <c r="D383" t="n">
        <v>52.2</v>
      </c>
      <c r="E383" t="n">
        <v>22.2</v>
      </c>
      <c r="F383" t="n">
        <v>4.9</v>
      </c>
      <c r="G383" t="n">
        <v>96</v>
      </c>
      <c r="H383" t="n">
        <v>9.4</v>
      </c>
      <c r="I383" t="n">
        <v>14.4</v>
      </c>
      <c r="J383" t="n">
        <v>13</v>
      </c>
      <c r="K383">
        <f>SUM(B383:J383)</f>
        <v/>
      </c>
    </row>
    <row r="384">
      <c r="A384" s="794" t="n">
        <v>45490</v>
      </c>
      <c r="B384" t="n">
        <v>479.1</v>
      </c>
      <c r="C384" t="n">
        <v>595.3</v>
      </c>
      <c r="D384" t="n">
        <v>31.2</v>
      </c>
      <c r="E384" t="n">
        <v>33.9</v>
      </c>
      <c r="F384" t="n">
        <v>11.1</v>
      </c>
      <c r="G384" t="n">
        <v>82.7</v>
      </c>
      <c r="H384" t="n">
        <v>11.1</v>
      </c>
      <c r="I384" t="n">
        <v>12.4</v>
      </c>
      <c r="J384" t="n">
        <v>4.9</v>
      </c>
      <c r="K384">
        <f>SUM(B384:J384)</f>
        <v/>
      </c>
    </row>
    <row r="385">
      <c r="A385" s="794" t="n">
        <v>45491</v>
      </c>
      <c r="B385" t="n">
        <v>393.5</v>
      </c>
      <c r="C385" t="n">
        <v>581.7</v>
      </c>
      <c r="D385" t="n">
        <v>22.7</v>
      </c>
      <c r="E385" t="n">
        <v>37.3</v>
      </c>
      <c r="F385" t="n">
        <v>16.7</v>
      </c>
      <c r="G385" t="n">
        <v>90.3</v>
      </c>
      <c r="H385" t="n">
        <v>10.7</v>
      </c>
      <c r="I385" t="n">
        <v>16.8</v>
      </c>
      <c r="J385" t="n">
        <v>9.4</v>
      </c>
      <c r="K385">
        <f>SUM(B385:J385)</f>
        <v/>
      </c>
    </row>
    <row r="386">
      <c r="A386" s="794" t="n">
        <v>45492</v>
      </c>
      <c r="B386" t="n">
        <v>413.2</v>
      </c>
      <c r="C386" t="n">
        <v>550.8</v>
      </c>
      <c r="D386" t="n">
        <v>12</v>
      </c>
      <c r="E386" t="n">
        <v>39.4</v>
      </c>
      <c r="F386" t="n">
        <v>11.5</v>
      </c>
      <c r="G386" t="n">
        <v>83.59999999999999</v>
      </c>
      <c r="H386" t="n">
        <v>7.2</v>
      </c>
      <c r="I386" t="n">
        <v>26</v>
      </c>
      <c r="J386" t="n">
        <v>9.1</v>
      </c>
      <c r="K386">
        <f>SUM(B386:J386)</f>
        <v/>
      </c>
    </row>
    <row r="387">
      <c r="A387" s="794" t="n">
        <v>45493</v>
      </c>
      <c r="B387" t="n">
        <v>419.7</v>
      </c>
      <c r="C387" t="n">
        <v>335.9</v>
      </c>
      <c r="D387" t="n">
        <v>13.6</v>
      </c>
      <c r="E387" t="n">
        <v>34.2</v>
      </c>
      <c r="F387" t="n">
        <v>7.6</v>
      </c>
      <c r="G387" t="n">
        <v>97.8</v>
      </c>
      <c r="H387" t="n">
        <v>6.6</v>
      </c>
      <c r="I387" t="n">
        <v>27.4</v>
      </c>
      <c r="J387" t="n">
        <v>8.6</v>
      </c>
      <c r="K387">
        <f>SUM(B387:J387)</f>
        <v/>
      </c>
    </row>
    <row r="388">
      <c r="A388" s="794" t="n">
        <v>45494</v>
      </c>
      <c r="B388" t="n">
        <v>399.9</v>
      </c>
      <c r="C388" t="n">
        <v>330.1</v>
      </c>
      <c r="D388" t="n">
        <v>11.7</v>
      </c>
      <c r="E388" t="n">
        <v>14.7</v>
      </c>
      <c r="F388" t="n">
        <v>10.6</v>
      </c>
      <c r="G388" t="n">
        <v>81.5</v>
      </c>
      <c r="J388" t="n">
        <v>11.4</v>
      </c>
      <c r="K388">
        <f>SUM(B388:J388)</f>
        <v/>
      </c>
    </row>
    <row r="389">
      <c r="A389" s="794" t="n">
        <v>45495</v>
      </c>
      <c r="B389" t="n">
        <v>362.2</v>
      </c>
      <c r="C389" t="n">
        <v>271.4</v>
      </c>
      <c r="D389" t="n">
        <v>12.8</v>
      </c>
      <c r="F389" t="n">
        <v>6.6</v>
      </c>
      <c r="H389" t="n">
        <v>1.3</v>
      </c>
      <c r="I389" t="n">
        <v>29.3</v>
      </c>
      <c r="J389" t="n">
        <v>8</v>
      </c>
      <c r="K389">
        <f>SUM(B389:J389)</f>
        <v/>
      </c>
    </row>
    <row r="390">
      <c r="A390" s="794" t="n">
        <v>45496</v>
      </c>
      <c r="B390" t="n">
        <v>485.1</v>
      </c>
      <c r="C390" t="n">
        <v>471.4</v>
      </c>
      <c r="D390" t="n">
        <v>17.3</v>
      </c>
      <c r="E390" t="n">
        <v>63.1</v>
      </c>
      <c r="F390" t="n">
        <v>32.1</v>
      </c>
      <c r="G390" t="n">
        <v>96.09999999999999</v>
      </c>
      <c r="H390" t="n">
        <v>9.199999999999999</v>
      </c>
      <c r="I390" t="n">
        <v>41.4</v>
      </c>
      <c r="J390" t="n">
        <v>4.6</v>
      </c>
      <c r="K390">
        <f>SUM(B390:J390)</f>
        <v/>
      </c>
    </row>
    <row r="391">
      <c r="A391" s="794" t="n">
        <v>45497</v>
      </c>
      <c r="B391" t="n">
        <v>414.6</v>
      </c>
      <c r="C391" t="n">
        <v>495.5</v>
      </c>
      <c r="D391" t="n">
        <v>8.699999999999999</v>
      </c>
      <c r="E391" t="n">
        <v>50.9</v>
      </c>
      <c r="F391" t="n">
        <v>31.1</v>
      </c>
      <c r="G391" t="n">
        <v>86</v>
      </c>
      <c r="H391" t="n">
        <v>14.2</v>
      </c>
      <c r="I391" t="n">
        <v>33.7</v>
      </c>
      <c r="J391" t="n">
        <v>14.9</v>
      </c>
      <c r="K391">
        <f>SUM(B391:J391)</f>
        <v/>
      </c>
    </row>
    <row r="392">
      <c r="A392" s="794" t="n">
        <v>45498</v>
      </c>
      <c r="B392" t="n">
        <v>445.1</v>
      </c>
      <c r="C392" t="n">
        <v>518.7</v>
      </c>
      <c r="D392" t="n">
        <v>16.9</v>
      </c>
      <c r="E392" t="n">
        <v>67.59999999999999</v>
      </c>
      <c r="F392" t="n">
        <v>15</v>
      </c>
      <c r="G392" t="n">
        <v>93.40000000000001</v>
      </c>
      <c r="H392" t="n">
        <v>7.6</v>
      </c>
      <c r="I392" t="n">
        <v>29.2</v>
      </c>
      <c r="J392" t="n">
        <v>11.8</v>
      </c>
      <c r="K392">
        <f>SUM(B392:J392)</f>
        <v/>
      </c>
    </row>
    <row r="393">
      <c r="A393" s="794" t="n">
        <v>45499</v>
      </c>
      <c r="B393" t="n">
        <v>437.1</v>
      </c>
      <c r="C393" t="n">
        <v>545.3</v>
      </c>
      <c r="D393" t="n">
        <v>4.9</v>
      </c>
      <c r="E393" t="n">
        <v>59.5</v>
      </c>
      <c r="F393" t="n">
        <v>6.5</v>
      </c>
      <c r="G393" t="n">
        <v>94.09999999999999</v>
      </c>
      <c r="H393" t="n">
        <v>8.199999999999999</v>
      </c>
      <c r="I393" t="n">
        <v>25.4</v>
      </c>
      <c r="J393" t="n">
        <v>12.7</v>
      </c>
      <c r="K393">
        <f>SUM(B393:J393)</f>
        <v/>
      </c>
    </row>
    <row r="394">
      <c r="A394" s="794" t="n">
        <v>45500</v>
      </c>
      <c r="B394" t="n">
        <v>428.9</v>
      </c>
      <c r="C394" t="n">
        <v>483</v>
      </c>
      <c r="D394" t="n">
        <v>18.6</v>
      </c>
      <c r="E394" t="n">
        <v>50.1</v>
      </c>
      <c r="F394" t="n">
        <v>14.3</v>
      </c>
      <c r="G394" t="n">
        <v>82.7</v>
      </c>
      <c r="H394" t="n">
        <v>6.5</v>
      </c>
      <c r="I394" t="n">
        <v>34.5</v>
      </c>
      <c r="J394" t="n">
        <v>9.6</v>
      </c>
      <c r="K394">
        <f>SUM(B394:J394)</f>
        <v/>
      </c>
    </row>
    <row r="395">
      <c r="A395" s="794" t="n">
        <v>45501</v>
      </c>
      <c r="B395" t="n">
        <v>401.6</v>
      </c>
      <c r="C395" t="n">
        <v>223.3</v>
      </c>
      <c r="D395" t="n">
        <v>33.8</v>
      </c>
      <c r="E395" t="n">
        <v>38.7</v>
      </c>
      <c r="F395" t="n">
        <v>5.4</v>
      </c>
      <c r="G395" t="n">
        <v>87.90000000000001</v>
      </c>
      <c r="H395" t="n">
        <v>3.4</v>
      </c>
      <c r="I395" t="n">
        <v>19.3</v>
      </c>
      <c r="J395" t="n">
        <v>9.300000000000001</v>
      </c>
      <c r="K395">
        <f>SUM(B395:J395)</f>
        <v/>
      </c>
    </row>
    <row r="396">
      <c r="A396" s="794" t="n">
        <v>45502</v>
      </c>
      <c r="B396" t="n">
        <v>347.7</v>
      </c>
      <c r="C396" t="n">
        <v>151.4</v>
      </c>
      <c r="D396" t="n">
        <v>20.4</v>
      </c>
      <c r="F396" t="n">
        <v>13.2</v>
      </c>
      <c r="I396" t="n">
        <v>11</v>
      </c>
      <c r="J396" t="n">
        <v>16.6</v>
      </c>
      <c r="K396">
        <f>SUM(B396:J396)</f>
        <v/>
      </c>
    </row>
    <row r="397">
      <c r="A397" s="794" t="n">
        <v>45503</v>
      </c>
      <c r="B397" t="n">
        <v>341.5</v>
      </c>
      <c r="C397" t="n">
        <v>497.7</v>
      </c>
      <c r="D397" t="n">
        <v>42.9</v>
      </c>
      <c r="E397" t="n">
        <v>75.3</v>
      </c>
      <c r="F397" t="n">
        <v>8.1</v>
      </c>
      <c r="G397" t="n">
        <v>84.5</v>
      </c>
      <c r="H397" t="n">
        <v>12.2</v>
      </c>
      <c r="I397" t="n">
        <v>18.9</v>
      </c>
      <c r="J397" t="n">
        <v>8</v>
      </c>
      <c r="K397">
        <f>SUM(B397:J397)</f>
        <v/>
      </c>
    </row>
    <row r="398">
      <c r="A398" s="794" t="n">
        <v>45504</v>
      </c>
      <c r="B398" t="n">
        <v>387.1</v>
      </c>
      <c r="C398" t="n">
        <v>444.5</v>
      </c>
      <c r="D398" t="n">
        <v>24.2</v>
      </c>
      <c r="E398" t="n">
        <v>72.59999999999999</v>
      </c>
      <c r="F398" t="n">
        <v>8</v>
      </c>
      <c r="G398" t="n">
        <v>86.8</v>
      </c>
      <c r="H398" t="n">
        <v>14.3</v>
      </c>
      <c r="I398" t="n">
        <v>12.3</v>
      </c>
      <c r="J398" t="n">
        <v>13.4</v>
      </c>
      <c r="K398">
        <f>SUM(B398:J398)</f>
        <v/>
      </c>
    </row>
    <row r="399">
      <c r="A399" s="794" t="n">
        <v>45505</v>
      </c>
      <c r="B399" t="n">
        <v>445.8</v>
      </c>
      <c r="C399" t="n">
        <v>500</v>
      </c>
      <c r="D399" t="n">
        <v>21.1</v>
      </c>
      <c r="E399" t="n">
        <v>58.2</v>
      </c>
      <c r="F399" t="n">
        <v>5</v>
      </c>
      <c r="G399" t="n">
        <v>85.09999999999999</v>
      </c>
      <c r="H399" t="n">
        <v>8.699999999999999</v>
      </c>
      <c r="I399" t="n">
        <v>23</v>
      </c>
      <c r="J399" t="n">
        <v>11.8</v>
      </c>
      <c r="K399">
        <f>SUM(B399:J399)</f>
        <v/>
      </c>
    </row>
    <row r="400">
      <c r="A400" s="794" t="n">
        <v>45506</v>
      </c>
      <c r="B400" t="n">
        <v>355.7</v>
      </c>
      <c r="C400" t="n">
        <v>592.4</v>
      </c>
      <c r="D400" t="n">
        <v>10.2</v>
      </c>
      <c r="E400" t="n">
        <v>61.3</v>
      </c>
      <c r="F400" t="n">
        <v>7.5</v>
      </c>
      <c r="G400" t="n">
        <v>103.4</v>
      </c>
      <c r="H400" t="n">
        <v>14</v>
      </c>
      <c r="I400" t="n">
        <v>34.5</v>
      </c>
      <c r="J400" t="n">
        <v>18.5</v>
      </c>
      <c r="K400">
        <f>SUM(B400:J400)</f>
        <v/>
      </c>
    </row>
    <row r="401">
      <c r="A401" s="794" t="n">
        <v>45507</v>
      </c>
      <c r="B401" t="n">
        <v>429</v>
      </c>
      <c r="C401" t="n">
        <v>572.5</v>
      </c>
      <c r="D401" t="n">
        <v>15.3</v>
      </c>
      <c r="E401" t="n">
        <v>73.7</v>
      </c>
      <c r="F401" t="n">
        <v>15.8</v>
      </c>
      <c r="G401" t="n">
        <v>83</v>
      </c>
      <c r="H401" t="n">
        <v>10.6</v>
      </c>
      <c r="I401" t="n">
        <v>18.7</v>
      </c>
      <c r="J401" t="n">
        <v>10</v>
      </c>
      <c r="K401">
        <f>SUM(B401:J401)</f>
        <v/>
      </c>
    </row>
    <row r="402">
      <c r="A402" s="794" t="n">
        <v>45508</v>
      </c>
      <c r="B402" t="n">
        <v>347.8</v>
      </c>
      <c r="C402" t="n">
        <v>506.7</v>
      </c>
      <c r="D402" t="n">
        <v>20.1</v>
      </c>
      <c r="E402" t="n">
        <v>80.90000000000001</v>
      </c>
      <c r="F402" t="n">
        <v>10.3</v>
      </c>
      <c r="G402" t="n">
        <v>95.40000000000001</v>
      </c>
      <c r="H402" t="n">
        <v>1.1</v>
      </c>
      <c r="I402" t="n">
        <v>13.1</v>
      </c>
      <c r="J402" t="n">
        <v>14.1</v>
      </c>
      <c r="K402">
        <f>SUM(B402:J402)</f>
        <v/>
      </c>
    </row>
    <row r="403">
      <c r="A403" s="794" t="n">
        <v>45509</v>
      </c>
      <c r="B403" t="n">
        <v>376.9</v>
      </c>
      <c r="C403" t="n">
        <v>282.4</v>
      </c>
      <c r="D403" t="n">
        <v>18.4</v>
      </c>
      <c r="F403" t="n">
        <v>6.4</v>
      </c>
      <c r="H403" t="n">
        <v>2.8</v>
      </c>
      <c r="I403" t="n">
        <v>29.4</v>
      </c>
      <c r="J403" t="n">
        <v>10.9</v>
      </c>
      <c r="K403">
        <f>SUM(B403:J403)</f>
        <v/>
      </c>
    </row>
    <row r="404">
      <c r="A404" s="794" t="n">
        <v>45510</v>
      </c>
      <c r="B404" t="n">
        <v>392.2</v>
      </c>
      <c r="C404" t="n">
        <v>566.3</v>
      </c>
      <c r="D404" t="n">
        <v>18</v>
      </c>
      <c r="E404" t="n">
        <v>67</v>
      </c>
      <c r="F404" t="n">
        <v>18.8</v>
      </c>
      <c r="G404" t="n">
        <v>83.2</v>
      </c>
      <c r="H404" t="n">
        <v>9.199999999999999</v>
      </c>
      <c r="I404" t="n">
        <v>15.9</v>
      </c>
      <c r="J404" t="n">
        <v>22.5</v>
      </c>
      <c r="K404">
        <f>SUM(B404:J404)</f>
        <v/>
      </c>
    </row>
    <row r="405">
      <c r="A405" s="794" t="n">
        <v>45511</v>
      </c>
      <c r="B405" t="n">
        <v>458</v>
      </c>
      <c r="C405" t="n">
        <v>548.5</v>
      </c>
      <c r="D405" t="n">
        <v>33.7</v>
      </c>
      <c r="E405" t="n">
        <v>59.4</v>
      </c>
      <c r="F405" t="n">
        <v>25</v>
      </c>
      <c r="G405" t="n">
        <v>81.5</v>
      </c>
      <c r="H405" t="n">
        <v>9.300000000000001</v>
      </c>
      <c r="I405" t="n">
        <v>42.1</v>
      </c>
      <c r="J405" t="n">
        <v>13.3</v>
      </c>
      <c r="K405">
        <f>SUM(B405:J405)</f>
        <v/>
      </c>
    </row>
    <row r="406">
      <c r="A406" s="794" t="n">
        <v>45512</v>
      </c>
      <c r="B406" t="n">
        <v>448.1</v>
      </c>
      <c r="C406" t="n">
        <v>558.4</v>
      </c>
      <c r="D406" t="n">
        <v>3.6</v>
      </c>
      <c r="E406" t="n">
        <v>68.3</v>
      </c>
      <c r="F406" t="n">
        <v>15.1</v>
      </c>
      <c r="G406" t="n">
        <v>102.1</v>
      </c>
      <c r="H406" t="n">
        <v>10.6</v>
      </c>
      <c r="I406" t="n">
        <v>17.1</v>
      </c>
      <c r="J406" t="n">
        <v>9.699999999999999</v>
      </c>
      <c r="K406">
        <f>SUM(B406:J406)</f>
        <v/>
      </c>
    </row>
    <row r="407">
      <c r="A407" s="794" t="n">
        <v>45513</v>
      </c>
      <c r="B407" t="n">
        <v>369.7</v>
      </c>
      <c r="C407" t="n">
        <v>401.3</v>
      </c>
      <c r="D407" t="n">
        <v>10.6</v>
      </c>
      <c r="E407" t="n">
        <v>66.90000000000001</v>
      </c>
      <c r="F407" t="n">
        <v>9.699999999999999</v>
      </c>
      <c r="G407" t="n">
        <v>89.59999999999999</v>
      </c>
      <c r="H407" t="n">
        <v>6.9</v>
      </c>
      <c r="I407" t="n">
        <v>19.8</v>
      </c>
      <c r="J407" t="n">
        <v>6.7</v>
      </c>
      <c r="K407">
        <f>SUM(B407:J407)</f>
        <v/>
      </c>
    </row>
    <row r="408">
      <c r="A408" s="794" t="n">
        <v>45514</v>
      </c>
      <c r="B408" t="n">
        <v>388.6</v>
      </c>
      <c r="C408" t="n">
        <v>366</v>
      </c>
      <c r="D408" t="n">
        <v>24.8</v>
      </c>
      <c r="E408" t="n">
        <v>103</v>
      </c>
      <c r="F408" t="n">
        <v>28.7</v>
      </c>
      <c r="G408" t="n">
        <v>87.09999999999999</v>
      </c>
      <c r="H408" t="n">
        <v>10.9</v>
      </c>
      <c r="I408" t="n">
        <v>42.8</v>
      </c>
      <c r="J408" t="n">
        <v>9.4</v>
      </c>
      <c r="K408">
        <f>SUM(B408:J408)</f>
        <v/>
      </c>
    </row>
    <row r="409">
      <c r="A409" s="794" t="n">
        <v>45515</v>
      </c>
      <c r="B409" t="n">
        <v>368.6</v>
      </c>
      <c r="C409" t="n">
        <v>152.2</v>
      </c>
      <c r="D409" t="n">
        <v>33.5</v>
      </c>
      <c r="E409" t="n">
        <v>45</v>
      </c>
      <c r="F409" t="n">
        <v>21</v>
      </c>
      <c r="G409" t="n">
        <v>75</v>
      </c>
      <c r="I409" t="n">
        <v>22.9</v>
      </c>
      <c r="J409" t="n">
        <v>9.699999999999999</v>
      </c>
      <c r="K409">
        <f>SUM(B409:J409)</f>
        <v/>
      </c>
    </row>
    <row r="410">
      <c r="A410" s="794" t="n">
        <v>45516</v>
      </c>
      <c r="B410" t="n">
        <v>396.5</v>
      </c>
      <c r="C410" t="n">
        <v>309.6</v>
      </c>
      <c r="D410" t="n">
        <v>15</v>
      </c>
      <c r="F410" t="n">
        <v>6.7</v>
      </c>
      <c r="I410" t="n">
        <v>14.8</v>
      </c>
      <c r="J410" t="n">
        <v>9.699999999999999</v>
      </c>
      <c r="K410">
        <f>SUM(B410:J410)</f>
        <v/>
      </c>
    </row>
    <row r="411">
      <c r="A411" s="794" t="n">
        <v>45517</v>
      </c>
      <c r="B411" t="n">
        <v>475</v>
      </c>
      <c r="C411" t="n">
        <v>406.1</v>
      </c>
      <c r="D411" t="n">
        <v>9.699999999999999</v>
      </c>
      <c r="E411" t="n">
        <v>51.5</v>
      </c>
      <c r="F411" t="n">
        <v>19.8</v>
      </c>
      <c r="G411" t="n">
        <v>83.09999999999999</v>
      </c>
      <c r="H411" t="n">
        <v>7.7</v>
      </c>
      <c r="I411" t="n">
        <v>19.3</v>
      </c>
      <c r="J411" t="n">
        <v>15.3</v>
      </c>
      <c r="K411">
        <f>SUM(B411:J411)</f>
        <v/>
      </c>
    </row>
    <row r="412">
      <c r="A412" s="794" t="n">
        <v>45518</v>
      </c>
      <c r="B412" t="n">
        <v>391.7</v>
      </c>
      <c r="C412" t="n">
        <v>427.3</v>
      </c>
      <c r="D412" t="n">
        <v>18.6</v>
      </c>
      <c r="E412" t="n">
        <v>75.3</v>
      </c>
      <c r="F412" t="n">
        <v>21.5</v>
      </c>
      <c r="G412" t="n">
        <v>94.40000000000001</v>
      </c>
      <c r="H412" t="n">
        <v>7.2</v>
      </c>
      <c r="I412" t="n">
        <v>12.6</v>
      </c>
      <c r="J412" t="n">
        <v>6.5</v>
      </c>
      <c r="K412">
        <f>SUM(B412:J412)</f>
        <v/>
      </c>
    </row>
    <row r="413">
      <c r="A413" s="794" t="n">
        <v>45519</v>
      </c>
      <c r="B413" t="n">
        <v>458.2</v>
      </c>
      <c r="C413" t="n">
        <v>553.9</v>
      </c>
      <c r="D413" t="n">
        <v>28.3</v>
      </c>
      <c r="E413" t="n">
        <v>76.90000000000001</v>
      </c>
      <c r="F413" t="n">
        <v>17.3</v>
      </c>
      <c r="G413" t="n">
        <v>114.5</v>
      </c>
      <c r="H413" t="n">
        <v>17.1</v>
      </c>
      <c r="I413" t="n">
        <v>23.7</v>
      </c>
      <c r="J413" t="n">
        <v>12.8</v>
      </c>
      <c r="K413">
        <f>SUM(B413:J413)</f>
        <v/>
      </c>
    </row>
    <row r="414">
      <c r="A414" s="794" t="n">
        <v>45520</v>
      </c>
      <c r="B414" t="n">
        <v>315</v>
      </c>
      <c r="C414" t="n">
        <v>465.2</v>
      </c>
      <c r="D414" t="n">
        <v>5.1</v>
      </c>
      <c r="E414" t="n">
        <v>78.8</v>
      </c>
      <c r="F414" t="n">
        <v>2.2</v>
      </c>
      <c r="G414" t="n">
        <v>77.3</v>
      </c>
      <c r="H414" t="n">
        <v>12.8</v>
      </c>
      <c r="I414" t="n">
        <v>10.3</v>
      </c>
      <c r="J414" t="n">
        <v>5.6</v>
      </c>
      <c r="K414">
        <f>SUM(B414:J414)</f>
        <v/>
      </c>
    </row>
    <row r="415">
      <c r="A415" s="794" t="n">
        <v>45521</v>
      </c>
      <c r="B415" t="n">
        <v>399.2</v>
      </c>
      <c r="C415" t="n">
        <v>429.9</v>
      </c>
      <c r="D415" t="n">
        <v>25.1</v>
      </c>
      <c r="E415" t="n">
        <v>112.5</v>
      </c>
      <c r="F415" t="n">
        <v>32.9</v>
      </c>
      <c r="G415" t="n">
        <v>94.90000000000001</v>
      </c>
      <c r="H415" t="n">
        <v>23</v>
      </c>
      <c r="I415" t="n">
        <v>42.6</v>
      </c>
      <c r="J415" t="n">
        <v>29.6</v>
      </c>
      <c r="K415">
        <f>SUM(B415:J415)</f>
        <v/>
      </c>
    </row>
    <row r="416">
      <c r="A416" s="794" t="n">
        <v>45522</v>
      </c>
      <c r="B416" t="n">
        <v>375.8</v>
      </c>
      <c r="C416" t="n">
        <v>315</v>
      </c>
      <c r="D416" t="n">
        <v>7.5</v>
      </c>
      <c r="E416" t="n">
        <v>57.9</v>
      </c>
      <c r="F416" t="n">
        <v>9.6</v>
      </c>
      <c r="G416" t="n">
        <v>82</v>
      </c>
      <c r="H416" t="n">
        <v>7</v>
      </c>
      <c r="I416" t="n">
        <v>11</v>
      </c>
      <c r="J416" t="n">
        <v>10.7</v>
      </c>
      <c r="K416">
        <f>SUM(B416:J416)</f>
        <v/>
      </c>
    </row>
    <row r="417">
      <c r="A417" s="794" t="n">
        <v>45523</v>
      </c>
      <c r="B417" t="n">
        <v>402.8</v>
      </c>
      <c r="C417" t="n">
        <v>312.1</v>
      </c>
      <c r="D417" t="n">
        <v>4</v>
      </c>
      <c r="F417" t="n">
        <v>9.699999999999999</v>
      </c>
      <c r="H417" t="n">
        <v>1.1</v>
      </c>
      <c r="I417" t="n">
        <v>4.7</v>
      </c>
      <c r="J417" t="n">
        <v>11.5</v>
      </c>
      <c r="K417">
        <f>SUM(B417:J417)</f>
        <v/>
      </c>
    </row>
    <row r="418">
      <c r="A418" s="794" t="n">
        <v>45524</v>
      </c>
      <c r="B418" t="n">
        <v>409.2</v>
      </c>
      <c r="C418" t="n">
        <v>407</v>
      </c>
      <c r="D418" t="n">
        <v>11.4</v>
      </c>
      <c r="E418" t="n">
        <v>78</v>
      </c>
      <c r="F418" t="n">
        <v>12.7</v>
      </c>
      <c r="G418" t="n">
        <v>79.59999999999999</v>
      </c>
      <c r="H418" t="n">
        <v>23</v>
      </c>
      <c r="I418" t="n">
        <v>15</v>
      </c>
      <c r="J418" t="n">
        <v>10.8</v>
      </c>
      <c r="K418">
        <f>SUM(B418:J418)</f>
        <v/>
      </c>
    </row>
    <row r="419">
      <c r="A419" s="794" t="n">
        <v>45525</v>
      </c>
      <c r="B419" t="n">
        <v>492.8</v>
      </c>
      <c r="C419" t="n">
        <v>406.1</v>
      </c>
      <c r="D419" t="n">
        <v>3.4</v>
      </c>
      <c r="E419" t="n">
        <v>37.5</v>
      </c>
      <c r="F419" t="n">
        <v>7.9</v>
      </c>
      <c r="G419" t="n">
        <v>103</v>
      </c>
      <c r="H419" t="n">
        <v>9.699999999999999</v>
      </c>
      <c r="I419" t="n">
        <v>14.6</v>
      </c>
      <c r="J419" t="n">
        <v>7.8</v>
      </c>
      <c r="K419">
        <f>SUM(B419:J419)</f>
        <v/>
      </c>
    </row>
    <row r="420">
      <c r="A420" s="794" t="n">
        <v>45526</v>
      </c>
      <c r="B420" t="n">
        <v>465</v>
      </c>
      <c r="C420" t="n">
        <v>343.2</v>
      </c>
      <c r="D420" t="n">
        <v>8.6</v>
      </c>
      <c r="E420" t="n">
        <v>61.6</v>
      </c>
      <c r="F420" t="n">
        <v>15.6</v>
      </c>
      <c r="G420" t="n">
        <v>101.6</v>
      </c>
      <c r="H420" t="n">
        <v>7</v>
      </c>
      <c r="I420" t="n">
        <v>26.4</v>
      </c>
      <c r="J420" t="n">
        <v>5.7</v>
      </c>
      <c r="K420">
        <f>SUM(B420:J420)</f>
        <v/>
      </c>
    </row>
    <row r="421">
      <c r="A421" s="794" t="n">
        <v>45527</v>
      </c>
      <c r="B421" t="n">
        <v>467.5</v>
      </c>
      <c r="C421" t="n">
        <v>404.8</v>
      </c>
      <c r="D421" t="n">
        <v>9.699999999999999</v>
      </c>
      <c r="E421" t="n">
        <v>80.8</v>
      </c>
      <c r="F421" t="n">
        <v>14.5</v>
      </c>
      <c r="G421" t="n">
        <v>91.59999999999999</v>
      </c>
      <c r="H421" t="n">
        <v>7.6</v>
      </c>
      <c r="I421" t="n">
        <v>7.9</v>
      </c>
      <c r="J421" t="n">
        <v>8.199999999999999</v>
      </c>
      <c r="K421">
        <f>SUM(B421:J421)</f>
        <v/>
      </c>
    </row>
    <row r="422">
      <c r="A422" s="794" t="n">
        <v>45528</v>
      </c>
      <c r="B422" t="n">
        <v>542.3</v>
      </c>
      <c r="C422" t="n">
        <v>363.4</v>
      </c>
      <c r="D422" t="n">
        <v>9.699999999999999</v>
      </c>
      <c r="E422" t="n">
        <v>76.8</v>
      </c>
      <c r="F422" t="n">
        <v>17</v>
      </c>
      <c r="G422" t="n">
        <v>78.8</v>
      </c>
      <c r="H422" t="n">
        <v>13.1</v>
      </c>
      <c r="I422" t="n">
        <v>14</v>
      </c>
      <c r="J422" t="n">
        <v>3.9</v>
      </c>
      <c r="K422">
        <f>SUM(B422:J422)</f>
        <v/>
      </c>
    </row>
    <row r="423">
      <c r="A423" s="794" t="n">
        <v>45529</v>
      </c>
      <c r="B423" t="n">
        <v>477.3</v>
      </c>
      <c r="C423" t="n">
        <v>215</v>
      </c>
      <c r="D423" t="n">
        <v>5.5</v>
      </c>
      <c r="E423" t="n">
        <v>34.3</v>
      </c>
      <c r="F423" t="n">
        <v>21</v>
      </c>
      <c r="G423" t="n">
        <v>81.3</v>
      </c>
      <c r="H423" t="n">
        <v>2.7</v>
      </c>
      <c r="I423" t="n">
        <v>21.2</v>
      </c>
      <c r="J423" t="n">
        <v>6.1</v>
      </c>
      <c r="K423">
        <f>SUM(B423:J423)</f>
        <v/>
      </c>
    </row>
    <row r="424">
      <c r="A424" s="794" t="n">
        <v>45530</v>
      </c>
      <c r="B424" t="n">
        <v>409.7</v>
      </c>
      <c r="C424" t="n">
        <v>255.8</v>
      </c>
      <c r="D424" t="n">
        <v>11.9</v>
      </c>
      <c r="F424" t="n">
        <v>4.9</v>
      </c>
      <c r="H424" t="n">
        <v>7.2</v>
      </c>
      <c r="I424" t="n">
        <v>12.2</v>
      </c>
      <c r="J424" t="n">
        <v>14.4</v>
      </c>
      <c r="K424">
        <f>SUM(B424:J424)</f>
        <v/>
      </c>
    </row>
    <row r="425">
      <c r="A425" s="794" t="n">
        <v>45531</v>
      </c>
      <c r="B425" t="n">
        <v>466.6</v>
      </c>
      <c r="C425" t="n">
        <v>449.8</v>
      </c>
      <c r="D425" t="n">
        <v>7.6</v>
      </c>
      <c r="E425" t="n">
        <v>75.3</v>
      </c>
      <c r="F425" t="n">
        <v>11.5</v>
      </c>
      <c r="G425" t="n">
        <v>105.1</v>
      </c>
      <c r="H425" t="n">
        <v>13.5</v>
      </c>
      <c r="I425" t="n">
        <v>24.3</v>
      </c>
      <c r="J425" t="n">
        <v>10.4</v>
      </c>
      <c r="K425">
        <f>SUM(B425:J425)</f>
        <v/>
      </c>
    </row>
    <row r="426">
      <c r="A426" s="794" t="n">
        <v>45532</v>
      </c>
      <c r="B426" t="n">
        <v>532.1</v>
      </c>
      <c r="C426" t="n">
        <v>623.5</v>
      </c>
      <c r="D426" t="n">
        <v>3.8</v>
      </c>
      <c r="E426" t="n">
        <v>83.8</v>
      </c>
      <c r="F426" t="n">
        <v>5.6</v>
      </c>
      <c r="G426" t="n">
        <v>99</v>
      </c>
      <c r="H426" t="n">
        <v>14.1</v>
      </c>
      <c r="I426" t="n">
        <v>62.6</v>
      </c>
      <c r="J426" t="n">
        <v>7.7</v>
      </c>
      <c r="K426">
        <f>SUM(B426:J426)</f>
        <v/>
      </c>
    </row>
    <row r="427">
      <c r="A427" s="794" t="n">
        <v>45533</v>
      </c>
      <c r="B427" t="n">
        <v>534.3</v>
      </c>
      <c r="C427" t="n">
        <v>578.5</v>
      </c>
      <c r="D427" t="n">
        <v>3.9</v>
      </c>
      <c r="E427" t="n">
        <v>91.7</v>
      </c>
      <c r="F427" t="n">
        <v>8.4</v>
      </c>
      <c r="G427" t="n">
        <v>106.5</v>
      </c>
      <c r="H427" t="n">
        <v>13.7</v>
      </c>
      <c r="I427" t="n">
        <v>32.1</v>
      </c>
      <c r="J427" t="n">
        <v>6.1</v>
      </c>
      <c r="K427">
        <f>SUM(B427:J427)</f>
        <v/>
      </c>
    </row>
    <row r="428">
      <c r="A428" s="794" t="n">
        <v>45534</v>
      </c>
      <c r="B428" t="n">
        <v>515</v>
      </c>
      <c r="C428" t="n">
        <v>669.5</v>
      </c>
      <c r="D428" t="n">
        <v>3.9</v>
      </c>
      <c r="E428" t="n">
        <v>103.3</v>
      </c>
      <c r="F428" t="n">
        <v>9.300000000000001</v>
      </c>
      <c r="G428" t="n">
        <v>112.4</v>
      </c>
      <c r="H428" t="n">
        <v>21.2</v>
      </c>
      <c r="I428" t="n">
        <v>32.9</v>
      </c>
      <c r="J428" t="n">
        <v>12.8</v>
      </c>
      <c r="K428">
        <f>SUM(B428:J428)</f>
        <v/>
      </c>
    </row>
    <row r="429">
      <c r="A429" s="794" t="n">
        <v>45535</v>
      </c>
      <c r="B429" t="n">
        <v>564.4</v>
      </c>
      <c r="C429" t="n">
        <v>557.2</v>
      </c>
      <c r="D429" t="n">
        <v>4.6</v>
      </c>
      <c r="E429" t="n">
        <v>109.8</v>
      </c>
      <c r="F429" t="n">
        <v>19.5</v>
      </c>
      <c r="G429" t="n">
        <v>109</v>
      </c>
      <c r="H429" t="n">
        <v>16.5</v>
      </c>
      <c r="I429" t="n">
        <v>67.90000000000001</v>
      </c>
      <c r="J429" t="n">
        <v>39.2</v>
      </c>
      <c r="K429">
        <f>SUM(B429:J429)</f>
        <v/>
      </c>
    </row>
    <row r="430">
      <c r="A430" s="794" t="n">
        <v>45536</v>
      </c>
      <c r="B430" t="n">
        <v>528.9</v>
      </c>
      <c r="C430" t="n">
        <v>372.4</v>
      </c>
      <c r="D430" t="n">
        <v>16.1</v>
      </c>
      <c r="F430" t="n">
        <v>4.3</v>
      </c>
      <c r="G430" t="n">
        <v>106.7</v>
      </c>
      <c r="H430" t="n">
        <v>4.1</v>
      </c>
      <c r="I430" t="n">
        <v>24.7</v>
      </c>
      <c r="J430" t="n">
        <v>9.6</v>
      </c>
      <c r="K430">
        <f>SUM(B430:J430)</f>
        <v/>
      </c>
    </row>
    <row r="431">
      <c r="A431" s="794" t="n">
        <v>45537</v>
      </c>
      <c r="B431" t="n">
        <v>485.7</v>
      </c>
      <c r="C431" t="n">
        <v>369.8</v>
      </c>
      <c r="D431" t="n">
        <v>14.1</v>
      </c>
      <c r="E431" t="n">
        <v>50</v>
      </c>
      <c r="F431" t="n">
        <v>10.9</v>
      </c>
      <c r="H431" t="n">
        <v>21</v>
      </c>
      <c r="I431" t="n">
        <v>13.9</v>
      </c>
      <c r="J431" t="n">
        <v>7.7</v>
      </c>
      <c r="K431">
        <f>SUM(B431:J431)</f>
        <v/>
      </c>
    </row>
    <row r="432">
      <c r="A432" s="794" t="n">
        <v>45538</v>
      </c>
      <c r="B432" t="n">
        <v>565.1</v>
      </c>
      <c r="C432" t="n">
        <v>828</v>
      </c>
      <c r="D432" t="n">
        <v>5</v>
      </c>
      <c r="E432" t="n">
        <v>113.7</v>
      </c>
      <c r="F432" t="n">
        <v>4</v>
      </c>
      <c r="G432" t="n">
        <v>145.7</v>
      </c>
      <c r="H432" t="n">
        <v>30.9</v>
      </c>
      <c r="I432" t="n">
        <v>22.8</v>
      </c>
      <c r="J432" t="n">
        <v>6.9</v>
      </c>
      <c r="K432">
        <f>SUM(B432:J432)</f>
        <v/>
      </c>
    </row>
    <row r="433">
      <c r="A433" s="794" t="n">
        <v>45539</v>
      </c>
      <c r="B433" t="n">
        <v>786</v>
      </c>
      <c r="C433" t="n">
        <v>1041.9</v>
      </c>
      <c r="D433" t="n">
        <v>11.4</v>
      </c>
      <c r="E433" t="n">
        <v>120.5</v>
      </c>
      <c r="F433" t="n">
        <v>10.9</v>
      </c>
      <c r="G433" t="n">
        <v>146.7</v>
      </c>
      <c r="H433" t="n">
        <v>33</v>
      </c>
      <c r="I433" t="n">
        <v>32.7</v>
      </c>
      <c r="J433" t="n">
        <v>12.3</v>
      </c>
      <c r="K433">
        <f>SUM(B433:J433)</f>
        <v/>
      </c>
    </row>
    <row r="434">
      <c r="A434" s="794" t="n">
        <v>45540</v>
      </c>
      <c r="B434" t="n">
        <v>642</v>
      </c>
      <c r="C434" t="n">
        <v>785.1</v>
      </c>
      <c r="D434" t="n">
        <v>2.6</v>
      </c>
      <c r="E434" t="n">
        <v>145.2</v>
      </c>
      <c r="F434" t="n">
        <v>13.2</v>
      </c>
      <c r="G434" t="n">
        <v>137.9</v>
      </c>
      <c r="H434" t="n">
        <v>25.9</v>
      </c>
      <c r="I434" t="n">
        <v>38.2</v>
      </c>
      <c r="J434" t="n">
        <v>5.4</v>
      </c>
      <c r="K434">
        <f>SUM(B434:J434)</f>
        <v/>
      </c>
    </row>
    <row r="435">
      <c r="A435" s="794" t="n">
        <v>45541</v>
      </c>
      <c r="K435">
        <f>SUM(B435:J435)</f>
        <v/>
      </c>
    </row>
    <row r="436">
      <c r="A436" s="794" t="n">
        <v>45542</v>
      </c>
      <c r="B436" t="n">
        <v>796.2</v>
      </c>
      <c r="C436" t="n">
        <v>338.9</v>
      </c>
      <c r="D436" t="n">
        <v>3.6</v>
      </c>
      <c r="E436" t="n">
        <v>119.8</v>
      </c>
      <c r="F436" t="n">
        <v>10.8</v>
      </c>
      <c r="G436" t="n">
        <v>138.1</v>
      </c>
      <c r="H436" t="n">
        <v>10.4</v>
      </c>
      <c r="I436" t="n">
        <v>57.1</v>
      </c>
      <c r="J436" t="n">
        <v>9.4</v>
      </c>
      <c r="K436">
        <f>SUM(B436:J436)</f>
        <v/>
      </c>
    </row>
    <row r="437">
      <c r="A437" s="794" t="n">
        <v>45543</v>
      </c>
      <c r="B437" t="n">
        <v>541.3</v>
      </c>
      <c r="C437" t="n">
        <v>940.8</v>
      </c>
      <c r="D437" t="n">
        <v>18.2</v>
      </c>
      <c r="E437" t="n">
        <v>58.1</v>
      </c>
      <c r="F437" t="n">
        <v>15.4</v>
      </c>
      <c r="G437" t="n">
        <v>35.8</v>
      </c>
      <c r="H437" t="n">
        <v>9.5</v>
      </c>
      <c r="I437" t="n">
        <v>118.1</v>
      </c>
      <c r="J437" t="n">
        <v>10.1</v>
      </c>
      <c r="K437">
        <f>SUM(B437:J437)</f>
        <v/>
      </c>
    </row>
    <row r="438">
      <c r="A438" s="794" t="n">
        <v>45544</v>
      </c>
      <c r="B438" t="n">
        <v>367.3</v>
      </c>
      <c r="C438" t="n">
        <v>379.1</v>
      </c>
      <c r="D438" t="n">
        <v>5.6</v>
      </c>
      <c r="F438" t="n">
        <v>34.5</v>
      </c>
      <c r="H438" t="n">
        <v>14.8</v>
      </c>
      <c r="I438" t="n">
        <v>18.3</v>
      </c>
      <c r="J438" t="n">
        <v>15.6</v>
      </c>
      <c r="K438">
        <f>SUM(B438:J438)</f>
        <v/>
      </c>
    </row>
    <row r="439">
      <c r="A439" s="794" t="n">
        <v>45545</v>
      </c>
      <c r="B439" t="n">
        <v>604.3</v>
      </c>
      <c r="C439" t="n">
        <v>820.6</v>
      </c>
      <c r="D439" t="n">
        <v>13.8</v>
      </c>
      <c r="E439" t="n">
        <v>107.9</v>
      </c>
      <c r="F439" t="n">
        <v>44.5</v>
      </c>
      <c r="G439" t="n">
        <v>162.1</v>
      </c>
      <c r="H439" t="n">
        <v>30.2</v>
      </c>
      <c r="I439" t="n">
        <v>16.6</v>
      </c>
      <c r="J439" t="n">
        <v>7.7</v>
      </c>
      <c r="K439">
        <f>SUM(B439:J439)</f>
        <v/>
      </c>
    </row>
    <row r="440">
      <c r="A440" s="794" t="n">
        <v>45546</v>
      </c>
      <c r="B440" t="n">
        <v>628.6</v>
      </c>
      <c r="C440" t="n">
        <v>926</v>
      </c>
      <c r="D440" t="n">
        <v>3.5</v>
      </c>
      <c r="E440" t="n">
        <v>138</v>
      </c>
      <c r="F440" t="n">
        <v>13</v>
      </c>
      <c r="G440" t="n">
        <v>179.8</v>
      </c>
      <c r="H440" t="n">
        <v>32.6</v>
      </c>
      <c r="I440" t="n">
        <v>6.1</v>
      </c>
      <c r="J440" t="n">
        <v>3.2</v>
      </c>
      <c r="K440">
        <f>SUM(B440:J440)</f>
        <v/>
      </c>
    </row>
    <row r="441">
      <c r="A441" s="794" t="n">
        <v>45547</v>
      </c>
      <c r="B441" t="n">
        <v>678.5</v>
      </c>
      <c r="C441" t="n">
        <v>898.9</v>
      </c>
      <c r="D441" t="n">
        <v>8.699999999999999</v>
      </c>
      <c r="E441" t="n">
        <v>143.1</v>
      </c>
      <c r="F441" t="n">
        <v>21.6</v>
      </c>
      <c r="G441" t="n">
        <v>163.4</v>
      </c>
      <c r="H441" t="n">
        <v>23.6</v>
      </c>
      <c r="I441" t="n">
        <v>39.9</v>
      </c>
      <c r="J441" t="n">
        <v>2.9</v>
      </c>
      <c r="K441">
        <f>SUM(B441:J441)</f>
        <v/>
      </c>
    </row>
    <row r="442">
      <c r="A442" s="794" t="n">
        <v>45548</v>
      </c>
      <c r="B442" t="n">
        <v>539.9</v>
      </c>
      <c r="C442" t="n">
        <v>865.7</v>
      </c>
      <c r="D442" t="n">
        <v>3.8</v>
      </c>
      <c r="E442" t="n">
        <v>141</v>
      </c>
      <c r="F442" t="n">
        <v>36.3</v>
      </c>
      <c r="G442" t="n">
        <v>167</v>
      </c>
      <c r="H442" t="n">
        <v>26</v>
      </c>
      <c r="I442" t="n">
        <v>36.4</v>
      </c>
      <c r="J442" t="n">
        <v>8.6</v>
      </c>
      <c r="K442">
        <f>SUM(B442:J442)</f>
        <v/>
      </c>
    </row>
    <row r="443">
      <c r="A443" s="794" t="n">
        <v>45549</v>
      </c>
      <c r="B443" t="n">
        <v>612.7</v>
      </c>
      <c r="C443" t="n">
        <v>725.8</v>
      </c>
      <c r="D443" t="n">
        <v>8.300000000000001</v>
      </c>
      <c r="E443" t="n">
        <v>143.6</v>
      </c>
      <c r="F443" t="n">
        <v>5.4</v>
      </c>
      <c r="G443" t="n">
        <v>163.9</v>
      </c>
      <c r="H443" t="n">
        <v>16.9</v>
      </c>
      <c r="I443" t="n">
        <v>33.9</v>
      </c>
      <c r="J443" t="n">
        <v>6.6</v>
      </c>
      <c r="K443">
        <f>SUM(B443:J443)</f>
        <v/>
      </c>
    </row>
    <row r="444">
      <c r="A444" s="794" t="n">
        <v>45550</v>
      </c>
      <c r="B444" t="n">
        <v>377.3</v>
      </c>
      <c r="C444" t="n">
        <v>466</v>
      </c>
      <c r="D444" t="n">
        <v>20.9</v>
      </c>
      <c r="E444" t="n">
        <v>56.2</v>
      </c>
      <c r="F444" t="n">
        <v>15.1</v>
      </c>
      <c r="G444" t="n">
        <v>120.9</v>
      </c>
      <c r="H444" t="n">
        <v>1.1</v>
      </c>
      <c r="I444" t="n">
        <v>48.2</v>
      </c>
      <c r="J444" t="n">
        <v>16.6</v>
      </c>
      <c r="K444">
        <f>SUM(B444:J444)</f>
        <v/>
      </c>
    </row>
    <row r="445">
      <c r="A445" s="794" t="n">
        <v>45551</v>
      </c>
      <c r="B445" t="n">
        <v>504.5</v>
      </c>
      <c r="C445" t="n">
        <v>286.3</v>
      </c>
      <c r="D445" t="n">
        <v>3.7</v>
      </c>
      <c r="F445" t="n">
        <v>6.5</v>
      </c>
      <c r="H445" t="n">
        <v>15.7</v>
      </c>
      <c r="I445" t="n">
        <v>20.2</v>
      </c>
      <c r="J445" t="n">
        <v>8.300000000000001</v>
      </c>
      <c r="K445">
        <f>SUM(B445:J445)</f>
        <v/>
      </c>
    </row>
    <row r="446">
      <c r="A446" s="794" t="n">
        <v>45552</v>
      </c>
      <c r="B446" t="n">
        <v>622.5</v>
      </c>
      <c r="C446" t="n">
        <v>761.3</v>
      </c>
      <c r="D446" t="n">
        <v>8.6</v>
      </c>
      <c r="E446" t="n">
        <v>136.8</v>
      </c>
      <c r="F446" t="n">
        <v>20.6</v>
      </c>
      <c r="G446" t="n">
        <v>173.8</v>
      </c>
      <c r="H446" t="n">
        <v>28.1</v>
      </c>
      <c r="I446" t="n">
        <v>21</v>
      </c>
      <c r="J446" t="n">
        <v>11</v>
      </c>
      <c r="K446">
        <f>SUM(B446:J446)</f>
        <v/>
      </c>
    </row>
    <row r="447">
      <c r="A447" s="794" t="n">
        <v>45553</v>
      </c>
      <c r="B447" t="n">
        <v>561.9</v>
      </c>
      <c r="C447" t="n">
        <v>666.5</v>
      </c>
      <c r="D447" t="n">
        <v>2.3</v>
      </c>
      <c r="E447" t="n">
        <v>124.1</v>
      </c>
      <c r="F447" t="n">
        <v>11.7</v>
      </c>
      <c r="G447" t="n">
        <v>176.1</v>
      </c>
      <c r="H447" t="n">
        <v>4.1</v>
      </c>
      <c r="I447" t="n">
        <v>18</v>
      </c>
      <c r="J447" t="n">
        <v>6.3</v>
      </c>
      <c r="K447">
        <f>SUM(B447:J447)</f>
        <v/>
      </c>
    </row>
    <row r="448">
      <c r="A448" s="794" t="n">
        <v>45554</v>
      </c>
      <c r="B448" t="n">
        <v>468.9</v>
      </c>
      <c r="C448" t="n">
        <v>382.7</v>
      </c>
      <c r="D448" t="n">
        <v>13.6</v>
      </c>
      <c r="F448" t="n">
        <v>13.5</v>
      </c>
      <c r="H448" t="n">
        <v>11.8</v>
      </c>
      <c r="I448" t="n">
        <v>15.2</v>
      </c>
      <c r="J448" t="n">
        <v>10.4</v>
      </c>
      <c r="K448">
        <f>SUM(B448:J448)</f>
        <v/>
      </c>
    </row>
    <row r="449">
      <c r="A449" s="794" t="n">
        <v>45555</v>
      </c>
      <c r="B449" t="n">
        <v>610.9</v>
      </c>
      <c r="C449" t="n">
        <v>986.9</v>
      </c>
      <c r="D449" t="n">
        <v>14.1</v>
      </c>
      <c r="E449" t="n">
        <v>121</v>
      </c>
      <c r="F449" t="n">
        <v>5.8</v>
      </c>
      <c r="G449" t="n">
        <v>186.6</v>
      </c>
      <c r="H449" t="n">
        <v>26.1</v>
      </c>
      <c r="I449" t="n">
        <v>7.4</v>
      </c>
      <c r="J449" t="n">
        <v>7.5</v>
      </c>
      <c r="K449">
        <f>SUM(B449:J449)</f>
        <v/>
      </c>
    </row>
    <row r="450">
      <c r="A450" s="794" t="n">
        <v>45556</v>
      </c>
      <c r="B450" t="n">
        <v>598</v>
      </c>
      <c r="C450" t="n">
        <v>658.4</v>
      </c>
      <c r="D450" t="n">
        <v>49.5</v>
      </c>
      <c r="E450" t="n">
        <v>134.2</v>
      </c>
      <c r="F450" t="n">
        <v>25</v>
      </c>
      <c r="G450" t="n">
        <v>183.1</v>
      </c>
      <c r="H450" t="n">
        <v>17.9</v>
      </c>
      <c r="I450" t="n">
        <v>34.7</v>
      </c>
      <c r="J450" t="n">
        <v>14.9</v>
      </c>
      <c r="K450">
        <f>SUM(B450:J450)</f>
        <v/>
      </c>
    </row>
    <row r="451">
      <c r="A451" s="794" t="n">
        <v>45557</v>
      </c>
      <c r="B451" t="n">
        <v>385.8</v>
      </c>
      <c r="C451" t="n">
        <v>494.4</v>
      </c>
      <c r="D451" t="n">
        <v>24.8</v>
      </c>
      <c r="E451" t="n">
        <v>36.7</v>
      </c>
      <c r="F451" t="n">
        <v>8.699999999999999</v>
      </c>
      <c r="G451" t="n">
        <v>149.7</v>
      </c>
      <c r="I451" t="n">
        <v>31</v>
      </c>
      <c r="J451" t="n">
        <v>5.8</v>
      </c>
      <c r="K451">
        <f>SUM(B451:J451)</f>
        <v/>
      </c>
    </row>
    <row r="452">
      <c r="A452" s="794" t="n">
        <v>45558</v>
      </c>
      <c r="B452" t="n">
        <v>232</v>
      </c>
      <c r="C452" t="n">
        <v>376.7</v>
      </c>
      <c r="D452" t="n">
        <v>10.3</v>
      </c>
      <c r="F452" t="n">
        <v>7.6</v>
      </c>
      <c r="H452" t="n">
        <v>16.7</v>
      </c>
      <c r="I452" t="n">
        <v>21.4</v>
      </c>
      <c r="J452" t="n">
        <v>5.6</v>
      </c>
      <c r="K452">
        <f>SUM(B452:J452)</f>
        <v/>
      </c>
    </row>
    <row r="453">
      <c r="A453" s="794" t="n">
        <v>45559</v>
      </c>
      <c r="B453" t="n">
        <v>452.7</v>
      </c>
      <c r="C453" t="n">
        <v>807.9</v>
      </c>
      <c r="D453" t="n">
        <v>18.3</v>
      </c>
      <c r="E453" t="n">
        <v>128.4</v>
      </c>
      <c r="F453" t="n">
        <v>17.7</v>
      </c>
      <c r="G453" t="n">
        <v>188.9</v>
      </c>
      <c r="H453" t="n">
        <v>25.2</v>
      </c>
      <c r="I453" t="n">
        <v>17.6</v>
      </c>
      <c r="J453" t="n">
        <v>9.9</v>
      </c>
      <c r="K453">
        <f>SUM(B453:J453)</f>
        <v/>
      </c>
    </row>
    <row r="454">
      <c r="A454" s="794" t="n">
        <v>45560</v>
      </c>
      <c r="B454" t="n">
        <v>395.1</v>
      </c>
      <c r="C454" t="n">
        <v>765.4</v>
      </c>
      <c r="D454" t="n">
        <v>5.9</v>
      </c>
      <c r="E454" t="n">
        <v>123.3</v>
      </c>
      <c r="F454" t="n">
        <v>8.5</v>
      </c>
      <c r="G454" t="n">
        <v>169.8</v>
      </c>
      <c r="H454" t="n">
        <v>32.4</v>
      </c>
      <c r="I454" t="n">
        <v>34.3</v>
      </c>
      <c r="J454" t="n">
        <v>6.5</v>
      </c>
      <c r="K454">
        <f>SUM(B454:J454)</f>
        <v/>
      </c>
    </row>
    <row r="455">
      <c r="A455" s="794" t="n">
        <v>45561</v>
      </c>
      <c r="B455" t="n">
        <v>439.7</v>
      </c>
      <c r="C455" t="n">
        <v>833.9</v>
      </c>
      <c r="D455" t="n">
        <v>13.7</v>
      </c>
      <c r="E455" t="n">
        <v>119</v>
      </c>
      <c r="F455" t="n">
        <v>23.8</v>
      </c>
      <c r="G455" t="n">
        <v>178.9</v>
      </c>
      <c r="H455" t="n">
        <v>28.7</v>
      </c>
      <c r="I455" t="n">
        <v>17.2</v>
      </c>
      <c r="J455" t="n">
        <v>12.5</v>
      </c>
      <c r="K455">
        <f>SUM(B455:J455)</f>
        <v/>
      </c>
    </row>
    <row r="456">
      <c r="A456" s="794" t="n">
        <v>45562</v>
      </c>
      <c r="B456" t="n">
        <v>447.6</v>
      </c>
      <c r="C456" t="n">
        <v>776.1</v>
      </c>
      <c r="D456" t="n">
        <v>22.9</v>
      </c>
      <c r="E456" t="n">
        <v>128</v>
      </c>
      <c r="F456" t="n">
        <v>10</v>
      </c>
      <c r="G456" t="n">
        <v>178.8</v>
      </c>
      <c r="H456" t="n">
        <v>32.6</v>
      </c>
      <c r="I456" t="n">
        <v>38.3</v>
      </c>
      <c r="J456" t="n">
        <v>9.5</v>
      </c>
      <c r="K456">
        <f>SUM(B456:J456)</f>
        <v/>
      </c>
    </row>
    <row r="457">
      <c r="A457" s="794" t="n">
        <v>45563</v>
      </c>
      <c r="B457" t="n">
        <v>773.6</v>
      </c>
      <c r="C457" t="n">
        <v>678.3</v>
      </c>
      <c r="D457" t="n">
        <v>15.9</v>
      </c>
      <c r="E457" t="n">
        <v>119.7</v>
      </c>
      <c r="F457" t="n">
        <v>12.2</v>
      </c>
      <c r="G457" t="n">
        <v>160.3</v>
      </c>
      <c r="H457" t="n">
        <v>23.4</v>
      </c>
      <c r="I457" t="n">
        <v>29.8</v>
      </c>
      <c r="J457" t="n">
        <v>9.5</v>
      </c>
      <c r="K457">
        <f>SUM(B457:J457)</f>
        <v/>
      </c>
    </row>
    <row r="458">
      <c r="A458" s="794" t="n">
        <v>45564</v>
      </c>
      <c r="B458" t="n">
        <v>484.7</v>
      </c>
      <c r="C458" t="n">
        <v>730.9</v>
      </c>
      <c r="D458" t="n">
        <v>52.9</v>
      </c>
      <c r="E458" t="n">
        <v>20.3</v>
      </c>
      <c r="F458" t="n">
        <v>4.2</v>
      </c>
      <c r="G458" t="n">
        <v>123.8</v>
      </c>
      <c r="H458" t="n">
        <v>5.9</v>
      </c>
      <c r="I458" t="n">
        <v>10.8</v>
      </c>
      <c r="J458" t="n">
        <v>9.5</v>
      </c>
      <c r="K458">
        <f>SUM(B458:J458)</f>
        <v/>
      </c>
    </row>
    <row r="459">
      <c r="A459" s="794" t="n">
        <v>45565</v>
      </c>
      <c r="B459" t="n">
        <v>301.2</v>
      </c>
      <c r="C459" t="n">
        <v>470.7</v>
      </c>
      <c r="D459" t="n">
        <v>22.6</v>
      </c>
      <c r="F459" t="n">
        <v>22.1</v>
      </c>
      <c r="H459" t="n">
        <v>19.5</v>
      </c>
      <c r="I459" t="n">
        <v>19.6</v>
      </c>
      <c r="J459" t="n">
        <v>14.4</v>
      </c>
      <c r="K459">
        <f>SUM(B459:J459)</f>
        <v/>
      </c>
    </row>
    <row r="460">
      <c r="A460" s="794" t="n">
        <v>45566</v>
      </c>
      <c r="B460" t="n">
        <v>543</v>
      </c>
      <c r="C460" t="n">
        <v>917.3</v>
      </c>
      <c r="D460" t="n">
        <v>10.2</v>
      </c>
      <c r="E460" t="n">
        <v>133</v>
      </c>
      <c r="F460" t="n">
        <v>8.1</v>
      </c>
      <c r="G460" t="n">
        <v>178.8</v>
      </c>
      <c r="H460" t="n">
        <v>37.8</v>
      </c>
      <c r="I460" t="n">
        <v>26.2</v>
      </c>
      <c r="J460" t="n">
        <v>7.1</v>
      </c>
      <c r="K460">
        <f>SUM(B460:J460)</f>
        <v/>
      </c>
    </row>
    <row r="461">
      <c r="A461" s="794" t="n">
        <v>45567</v>
      </c>
      <c r="B461" t="n">
        <v>360.3</v>
      </c>
      <c r="C461" t="n">
        <v>439.1</v>
      </c>
      <c r="D461" t="n">
        <v>15.7</v>
      </c>
      <c r="I461" t="n">
        <v>24.4</v>
      </c>
      <c r="J461" t="n">
        <v>13.2</v>
      </c>
      <c r="K461">
        <f>SUM(B461:J461)</f>
        <v/>
      </c>
    </row>
    <row r="462">
      <c r="A462" s="794" t="n">
        <v>45568</v>
      </c>
      <c r="B462" t="n">
        <v>627.5</v>
      </c>
      <c r="C462" t="n">
        <v>759.9</v>
      </c>
      <c r="D462" t="n">
        <v>17</v>
      </c>
      <c r="E462" t="n">
        <v>131.5</v>
      </c>
      <c r="F462" t="n">
        <v>10.1</v>
      </c>
      <c r="G462" t="n">
        <v>170.7</v>
      </c>
      <c r="H462" t="n">
        <v>37.3</v>
      </c>
      <c r="I462" t="n">
        <v>32.7</v>
      </c>
      <c r="J462" t="n">
        <v>5.3</v>
      </c>
      <c r="K462">
        <f>SUM(B462:J462)</f>
        <v/>
      </c>
    </row>
    <row r="463">
      <c r="A463" s="794" t="n">
        <v>45569</v>
      </c>
      <c r="B463" t="n">
        <v>649</v>
      </c>
      <c r="C463" t="n">
        <v>894.4</v>
      </c>
      <c r="D463" t="n">
        <v>20.7</v>
      </c>
      <c r="E463" t="n">
        <v>133.6</v>
      </c>
      <c r="F463" t="n">
        <v>7.9</v>
      </c>
      <c r="G463" t="n">
        <v>159.6</v>
      </c>
      <c r="H463" t="n">
        <v>33.4</v>
      </c>
      <c r="I463" t="n">
        <v>45.2</v>
      </c>
      <c r="J463" t="n">
        <v>4.8</v>
      </c>
      <c r="K463">
        <f>SUM(B463:J463)</f>
        <v/>
      </c>
    </row>
    <row r="464">
      <c r="A464" s="794" t="n">
        <v>45570</v>
      </c>
      <c r="B464" t="n">
        <v>620.9</v>
      </c>
      <c r="C464" t="n">
        <v>864.4</v>
      </c>
      <c r="D464" t="n">
        <v>13.7</v>
      </c>
      <c r="E464" t="n">
        <v>135.7</v>
      </c>
      <c r="F464" t="n">
        <v>8</v>
      </c>
      <c r="G464" t="n">
        <v>163.8</v>
      </c>
      <c r="H464" t="n">
        <v>26.7</v>
      </c>
      <c r="I464" t="n">
        <v>21.4</v>
      </c>
      <c r="J464" t="n">
        <v>8</v>
      </c>
      <c r="K464">
        <f>SUM(B464:J464)</f>
        <v/>
      </c>
    </row>
    <row r="465">
      <c r="A465" s="794" t="n">
        <v>45571</v>
      </c>
      <c r="B465" t="n">
        <v>444.7</v>
      </c>
      <c r="C465" t="n">
        <v>425.9</v>
      </c>
      <c r="D465" t="n">
        <v>21.1</v>
      </c>
      <c r="E465" t="n">
        <v>39.5</v>
      </c>
      <c r="F465" t="n">
        <v>8.800000000000001</v>
      </c>
      <c r="G465" t="n">
        <v>111.6</v>
      </c>
      <c r="H465" t="n">
        <v>1.8</v>
      </c>
      <c r="I465" t="n">
        <v>26.3</v>
      </c>
      <c r="J465" t="n">
        <v>10.2</v>
      </c>
      <c r="K465">
        <f>SUM(B465:J465)</f>
        <v/>
      </c>
    </row>
    <row r="466">
      <c r="A466" s="794" t="n">
        <v>45572</v>
      </c>
      <c r="B466" t="n">
        <v>350.4</v>
      </c>
      <c r="C466" t="n">
        <v>373.2</v>
      </c>
      <c r="D466" t="n">
        <v>17.1</v>
      </c>
      <c r="F466" t="n">
        <v>3.8</v>
      </c>
      <c r="H466" t="n">
        <v>14</v>
      </c>
      <c r="I466" t="n">
        <v>19.5</v>
      </c>
      <c r="J466" t="n">
        <v>6</v>
      </c>
      <c r="K466">
        <f>SUM(B466:J466)</f>
        <v/>
      </c>
    </row>
    <row r="467">
      <c r="A467" s="794" t="n">
        <v>45573</v>
      </c>
      <c r="B467" t="n">
        <v>555.1</v>
      </c>
      <c r="C467" t="n">
        <v>805.6</v>
      </c>
      <c r="D467" t="n">
        <v>8.800000000000001</v>
      </c>
      <c r="E467" t="n">
        <v>103.8</v>
      </c>
      <c r="F467" t="n">
        <v>15.8</v>
      </c>
      <c r="G467" t="n">
        <v>164.7</v>
      </c>
      <c r="H467" t="n">
        <v>31.1</v>
      </c>
      <c r="I467" t="n">
        <v>20.6</v>
      </c>
      <c r="J467" t="n">
        <v>8.1</v>
      </c>
      <c r="K467">
        <f>SUM(B467:J467)</f>
        <v/>
      </c>
    </row>
    <row r="468">
      <c r="A468" s="794" t="n">
        <v>45574</v>
      </c>
      <c r="B468" t="n">
        <v>621.2</v>
      </c>
      <c r="C468" t="n">
        <v>879.6</v>
      </c>
      <c r="D468" t="n">
        <v>8.9</v>
      </c>
      <c r="E468" t="n">
        <v>123</v>
      </c>
      <c r="F468" t="n">
        <v>8.300000000000001</v>
      </c>
      <c r="G468" t="n">
        <v>179</v>
      </c>
      <c r="H468" t="n">
        <v>25.9</v>
      </c>
      <c r="I468" t="n">
        <v>27.9</v>
      </c>
      <c r="J468" t="n">
        <v>6.5</v>
      </c>
      <c r="K468">
        <f>SUM(B468:J468)</f>
        <v/>
      </c>
    </row>
    <row r="469">
      <c r="A469" s="794" t="n">
        <v>45575</v>
      </c>
      <c r="B469" t="n">
        <v>533.5</v>
      </c>
      <c r="C469" t="n">
        <v>780.1</v>
      </c>
      <c r="D469" t="n">
        <v>10.5</v>
      </c>
      <c r="E469" t="n">
        <v>122.6</v>
      </c>
      <c r="F469" t="n">
        <v>3.3</v>
      </c>
      <c r="G469" t="n">
        <v>154.9</v>
      </c>
      <c r="H469" t="n">
        <v>26.4</v>
      </c>
      <c r="I469" t="n">
        <v>24</v>
      </c>
      <c r="J469" t="n">
        <v>8.199999999999999</v>
      </c>
      <c r="K469">
        <f>SUM(B469:J469)</f>
        <v/>
      </c>
    </row>
    <row r="470">
      <c r="A470" s="794" t="n">
        <v>45576</v>
      </c>
      <c r="B470" t="n">
        <v>484.5</v>
      </c>
      <c r="C470" t="n">
        <v>747.6</v>
      </c>
      <c r="D470" t="n">
        <v>6.6</v>
      </c>
      <c r="E470" t="n">
        <v>138.8</v>
      </c>
      <c r="F470" t="n">
        <v>3.4</v>
      </c>
      <c r="G470" t="n">
        <v>161.8</v>
      </c>
      <c r="H470" t="n">
        <v>25.7</v>
      </c>
      <c r="I470" t="n">
        <v>43.1</v>
      </c>
      <c r="J470" t="n">
        <v>7.4</v>
      </c>
      <c r="K470">
        <f>SUM(B470:J470)</f>
        <v/>
      </c>
    </row>
    <row r="471">
      <c r="A471" s="794" t="n">
        <v>45577</v>
      </c>
      <c r="B471" t="n">
        <v>405.8</v>
      </c>
      <c r="C471" t="n">
        <v>466</v>
      </c>
      <c r="D471" t="n">
        <v>12</v>
      </c>
      <c r="F471" t="n">
        <v>1.6</v>
      </c>
      <c r="I471" t="n">
        <v>32.6</v>
      </c>
      <c r="J471" t="n">
        <v>5.9</v>
      </c>
      <c r="K471">
        <f>SUM(B471:J471)</f>
        <v/>
      </c>
    </row>
    <row r="472">
      <c r="A472" s="794" t="n">
        <v>45578</v>
      </c>
      <c r="B472" t="n">
        <v>383.4</v>
      </c>
      <c r="C472" t="n">
        <v>445.4</v>
      </c>
      <c r="D472" t="n">
        <v>13.1</v>
      </c>
      <c r="E472" t="n">
        <v>27.3</v>
      </c>
      <c r="F472" t="n">
        <v>14.1</v>
      </c>
      <c r="G472" t="n">
        <v>107.8</v>
      </c>
      <c r="H472" t="n">
        <v>1.8</v>
      </c>
      <c r="I472" t="n">
        <v>21.9</v>
      </c>
      <c r="J472" t="n">
        <v>6.3</v>
      </c>
      <c r="K472">
        <f>SUM(B472:J472)</f>
        <v/>
      </c>
    </row>
    <row r="473">
      <c r="A473" s="794" t="n">
        <v>45579</v>
      </c>
      <c r="B473" t="n">
        <v>432.7</v>
      </c>
      <c r="C473" t="n">
        <v>369.5</v>
      </c>
      <c r="D473" t="n">
        <v>2</v>
      </c>
      <c r="F473" t="n">
        <v>3.9</v>
      </c>
      <c r="H473" t="n">
        <v>19.1</v>
      </c>
      <c r="I473" t="n">
        <v>18.7</v>
      </c>
      <c r="J473" t="n">
        <v>3.5</v>
      </c>
      <c r="K473">
        <f>SUM(B473:J473)</f>
        <v/>
      </c>
    </row>
    <row r="474">
      <c r="A474" s="794" t="n">
        <v>45580</v>
      </c>
      <c r="B474" t="n">
        <v>641.8</v>
      </c>
      <c r="C474" t="n">
        <v>763.5</v>
      </c>
      <c r="D474" t="n">
        <v>12.7</v>
      </c>
      <c r="E474" t="n">
        <v>120.1</v>
      </c>
      <c r="F474" t="n">
        <v>10.5</v>
      </c>
      <c r="G474" t="n">
        <v>165.4</v>
      </c>
      <c r="H474" t="n">
        <v>24.2</v>
      </c>
      <c r="I474" t="n">
        <v>28.9</v>
      </c>
      <c r="J474" t="n">
        <v>4.6</v>
      </c>
      <c r="K474">
        <f>SUM(B474:J474)</f>
        <v/>
      </c>
    </row>
    <row r="475">
      <c r="A475" s="794" t="n">
        <v>45581</v>
      </c>
      <c r="B475" t="n">
        <v>604.3</v>
      </c>
      <c r="C475" t="n">
        <v>977.2</v>
      </c>
      <c r="D475" t="n">
        <v>9.9</v>
      </c>
      <c r="E475" t="n">
        <v>145.3</v>
      </c>
      <c r="F475" t="n">
        <v>13.7</v>
      </c>
      <c r="G475" t="n">
        <v>156.4</v>
      </c>
      <c r="H475" t="n">
        <v>23.2</v>
      </c>
      <c r="I475" t="n">
        <v>31.2</v>
      </c>
      <c r="J475" t="n">
        <v>4.4</v>
      </c>
      <c r="K475">
        <f>SUM(B475:J475)</f>
        <v/>
      </c>
    </row>
    <row r="476">
      <c r="A476" s="794" t="n">
        <v>45582</v>
      </c>
      <c r="B476" t="n">
        <v>630.6</v>
      </c>
      <c r="C476" t="n">
        <v>881.8</v>
      </c>
      <c r="D476" t="n">
        <v>4.4</v>
      </c>
      <c r="E476" t="n">
        <v>130.6</v>
      </c>
      <c r="F476" t="n">
        <v>8</v>
      </c>
      <c r="G476" t="n">
        <v>155.8</v>
      </c>
      <c r="H476" t="n">
        <v>28.7</v>
      </c>
      <c r="I476" t="n">
        <v>33</v>
      </c>
      <c r="J476" t="n">
        <v>3.8</v>
      </c>
      <c r="K476">
        <f>SUM(B476:J476)</f>
        <v/>
      </c>
    </row>
    <row r="477">
      <c r="A477" s="794" t="n">
        <v>45583</v>
      </c>
      <c r="B477" t="n">
        <v>595.4</v>
      </c>
      <c r="C477" t="n">
        <v>865.2</v>
      </c>
      <c r="D477" t="n">
        <v>9.6</v>
      </c>
      <c r="E477" t="n">
        <v>145</v>
      </c>
      <c r="F477" t="n">
        <v>7.5</v>
      </c>
      <c r="G477" t="n">
        <v>167.7</v>
      </c>
      <c r="H477" t="n">
        <v>25.6</v>
      </c>
      <c r="I477" t="n">
        <v>30.4</v>
      </c>
      <c r="J477" t="n">
        <v>4.1</v>
      </c>
      <c r="K477">
        <f>SUM(B477:J477)</f>
        <v/>
      </c>
    </row>
    <row r="478">
      <c r="A478" s="794" t="n">
        <v>45584</v>
      </c>
      <c r="B478" t="n">
        <v>697.6</v>
      </c>
      <c r="C478" t="n">
        <v>765.1</v>
      </c>
      <c r="D478" t="n">
        <v>8.1</v>
      </c>
      <c r="E478" t="n">
        <v>140.5</v>
      </c>
      <c r="F478" t="n">
        <v>9</v>
      </c>
      <c r="G478" t="n">
        <v>159.7</v>
      </c>
      <c r="H478" t="n">
        <v>22.8</v>
      </c>
      <c r="I478" t="n">
        <v>41.2</v>
      </c>
      <c r="J478" t="n">
        <v>0.4</v>
      </c>
      <c r="K478">
        <f>SUM(B478:J478)</f>
        <v/>
      </c>
    </row>
    <row r="479">
      <c r="A479" s="794" t="n">
        <v>45585</v>
      </c>
      <c r="B479" t="n">
        <v>491.9</v>
      </c>
      <c r="C479" t="n">
        <v>476.2</v>
      </c>
      <c r="D479" t="n">
        <v>14.1</v>
      </c>
      <c r="E479" t="n">
        <v>33.9</v>
      </c>
      <c r="F479" t="n">
        <v>15.4</v>
      </c>
      <c r="G479" t="n">
        <v>150.2</v>
      </c>
      <c r="H479" t="n">
        <v>15.9</v>
      </c>
      <c r="I479" t="n">
        <v>36.3</v>
      </c>
      <c r="J479" t="n">
        <v>4.5</v>
      </c>
      <c r="K479">
        <f>SUM(B479:J479)</f>
        <v/>
      </c>
    </row>
    <row r="480">
      <c r="A480" s="794" t="n">
        <v>45586</v>
      </c>
      <c r="B480" t="n">
        <v>437.3</v>
      </c>
      <c r="C480" t="n">
        <v>384.9</v>
      </c>
      <c r="D480" t="n">
        <v>10.6</v>
      </c>
      <c r="F480" t="n">
        <v>4</v>
      </c>
      <c r="H480" t="n">
        <v>18.9</v>
      </c>
      <c r="I480" t="n">
        <v>36.5</v>
      </c>
      <c r="J480" t="n">
        <v>8.1</v>
      </c>
      <c r="K480">
        <f>SUM(B480:J480)</f>
        <v/>
      </c>
    </row>
    <row r="481">
      <c r="A481" s="794" t="n">
        <v>45587</v>
      </c>
      <c r="B481" t="n">
        <v>585</v>
      </c>
      <c r="C481" t="n">
        <v>729.7</v>
      </c>
      <c r="D481" t="n">
        <v>5.1</v>
      </c>
      <c r="E481" t="n">
        <v>151.9</v>
      </c>
      <c r="F481" t="n">
        <v>3.8</v>
      </c>
      <c r="G481" t="n">
        <v>167</v>
      </c>
      <c r="H481" t="n">
        <v>36.1</v>
      </c>
      <c r="I481" t="n">
        <v>28.2</v>
      </c>
      <c r="J481" t="n">
        <v>4.4</v>
      </c>
      <c r="K481">
        <f>SUM(B481:J481)</f>
        <v/>
      </c>
    </row>
    <row r="482">
      <c r="A482" s="794" t="n">
        <v>45588</v>
      </c>
      <c r="B482" t="n">
        <v>692.3</v>
      </c>
      <c r="C482" t="n">
        <v>875.7</v>
      </c>
      <c r="D482" t="n">
        <v>1.5</v>
      </c>
      <c r="E482" t="n">
        <v>149.2</v>
      </c>
      <c r="F482" t="n">
        <v>13.4</v>
      </c>
      <c r="G482" t="n">
        <v>177.1</v>
      </c>
      <c r="H482" t="n">
        <v>26.2</v>
      </c>
      <c r="I482" t="n">
        <v>45.2</v>
      </c>
      <c r="J482" t="n">
        <v>8.6</v>
      </c>
      <c r="K482">
        <f>SUM(B482:J482)</f>
        <v/>
      </c>
    </row>
    <row r="483">
      <c r="A483" s="794" t="n">
        <v>45589</v>
      </c>
      <c r="B483" t="n">
        <v>662.3</v>
      </c>
      <c r="C483" t="n">
        <v>816.6</v>
      </c>
      <c r="D483" t="n">
        <v>13.5</v>
      </c>
      <c r="E483" t="n">
        <v>153.1</v>
      </c>
      <c r="F483" t="n">
        <v>19.3</v>
      </c>
      <c r="G483" t="n">
        <v>160.1</v>
      </c>
      <c r="H483" t="n">
        <v>23.1</v>
      </c>
      <c r="I483" t="n">
        <v>33</v>
      </c>
      <c r="J483" t="n">
        <v>1.2</v>
      </c>
      <c r="K483">
        <f>SUM(B483:J483)</f>
        <v/>
      </c>
    </row>
    <row r="484">
      <c r="A484" s="794" t="n">
        <v>45590</v>
      </c>
      <c r="B484" t="n">
        <v>519.9</v>
      </c>
      <c r="C484" t="n">
        <v>734.2</v>
      </c>
      <c r="D484" t="n">
        <v>9.9</v>
      </c>
      <c r="E484" t="n">
        <v>141.1</v>
      </c>
      <c r="F484" t="n">
        <v>27.6</v>
      </c>
      <c r="G484" t="n">
        <v>144.3</v>
      </c>
      <c r="H484" t="n">
        <v>22.6</v>
      </c>
      <c r="I484" t="n">
        <v>18.5</v>
      </c>
      <c r="J484" t="n">
        <v>2.2</v>
      </c>
      <c r="K484">
        <f>SUM(B484:J484)</f>
        <v/>
      </c>
    </row>
    <row r="485">
      <c r="A485" s="794" t="n">
        <v>45591</v>
      </c>
      <c r="B485" t="n">
        <v>565.4</v>
      </c>
      <c r="C485" t="n">
        <v>703.4</v>
      </c>
      <c r="D485" t="n">
        <v>21.2</v>
      </c>
      <c r="E485" t="n">
        <v>168.7</v>
      </c>
      <c r="F485" t="n">
        <v>27</v>
      </c>
      <c r="G485" t="n">
        <v>152.8</v>
      </c>
      <c r="H485" t="n">
        <v>20.2</v>
      </c>
      <c r="I485" t="n">
        <v>35.7</v>
      </c>
      <c r="J485" t="n">
        <v>5.8</v>
      </c>
      <c r="K485">
        <f>SUM(B485:J485)</f>
        <v/>
      </c>
    </row>
    <row r="486">
      <c r="A486" s="794" t="n">
        <v>45592</v>
      </c>
      <c r="B486" t="n">
        <v>653.8</v>
      </c>
      <c r="C486" t="n">
        <v>508.2</v>
      </c>
      <c r="D486" t="n">
        <v>12.3</v>
      </c>
      <c r="E486" t="n">
        <v>24.1</v>
      </c>
      <c r="F486" t="n">
        <v>11</v>
      </c>
      <c r="G486" t="n">
        <v>110.7</v>
      </c>
      <c r="H486" t="n">
        <v>8.699999999999999</v>
      </c>
      <c r="I486" t="n">
        <v>44.6</v>
      </c>
      <c r="J486" t="n">
        <v>8.699999999999999</v>
      </c>
      <c r="K486">
        <f>SUM(B486:J486)</f>
        <v/>
      </c>
    </row>
    <row r="487">
      <c r="A487" s="794" t="n">
        <v>45593</v>
      </c>
      <c r="B487" t="n">
        <v>453.1</v>
      </c>
      <c r="C487" t="n">
        <v>332.3</v>
      </c>
      <c r="D487" t="n">
        <v>9.699999999999999</v>
      </c>
      <c r="F487" t="n">
        <v>27</v>
      </c>
      <c r="H487" t="n">
        <v>15.7</v>
      </c>
      <c r="I487" t="n">
        <v>51.4</v>
      </c>
      <c r="J487" t="n">
        <v>2.7</v>
      </c>
      <c r="K487">
        <f>SUM(B487:J487)</f>
        <v/>
      </c>
    </row>
    <row r="488">
      <c r="A488" s="794" t="n">
        <v>45594</v>
      </c>
      <c r="B488" t="n">
        <v>656.5</v>
      </c>
      <c r="C488" t="n">
        <v>823.2</v>
      </c>
      <c r="D488" t="n">
        <v>7.3</v>
      </c>
      <c r="E488" t="n">
        <v>137.3</v>
      </c>
      <c r="F488" t="n">
        <v>12.5</v>
      </c>
      <c r="G488" t="n">
        <v>166.6</v>
      </c>
      <c r="H488" t="n">
        <v>25.9</v>
      </c>
      <c r="I488" t="n">
        <v>36.7</v>
      </c>
      <c r="J488" t="n">
        <v>4.3</v>
      </c>
      <c r="K488">
        <f>SUM(B488:J488)</f>
        <v/>
      </c>
    </row>
    <row r="489">
      <c r="A489" s="794" t="n">
        <v>45595</v>
      </c>
      <c r="B489" t="n">
        <v>553.8</v>
      </c>
      <c r="C489" t="n">
        <v>832.5</v>
      </c>
      <c r="D489" t="n">
        <v>6.2</v>
      </c>
      <c r="E489" t="n">
        <v>140.8</v>
      </c>
      <c r="F489" t="n">
        <v>25.9</v>
      </c>
      <c r="G489" t="n">
        <v>159.7</v>
      </c>
      <c r="H489" t="n">
        <v>23</v>
      </c>
      <c r="I489" t="n">
        <v>53.4</v>
      </c>
      <c r="J489" t="n">
        <v>4.7</v>
      </c>
      <c r="K489">
        <f>SUM(B489:J489)</f>
        <v/>
      </c>
    </row>
    <row r="490">
      <c r="A490" s="794" t="n">
        <v>45596</v>
      </c>
      <c r="B490" t="n">
        <v>613.9</v>
      </c>
      <c r="C490" t="n">
        <v>873.5</v>
      </c>
      <c r="D490" t="n">
        <v>6.8</v>
      </c>
      <c r="E490" t="n">
        <v>142.9</v>
      </c>
      <c r="F490" t="n">
        <v>6.5</v>
      </c>
      <c r="G490" t="n">
        <v>157.9</v>
      </c>
      <c r="H490" t="n">
        <v>30.5</v>
      </c>
      <c r="I490" t="n">
        <v>27.7</v>
      </c>
      <c r="J490" t="n">
        <v>9.6</v>
      </c>
      <c r="K490">
        <f>SUM(B490:J490)</f>
        <v/>
      </c>
    </row>
    <row r="491">
      <c r="A491" s="794" t="n">
        <v>45597</v>
      </c>
      <c r="B491" t="n">
        <v>576.7</v>
      </c>
      <c r="C491" t="n">
        <v>730.8</v>
      </c>
      <c r="D491" t="n">
        <v>12.4</v>
      </c>
      <c r="E491" t="n">
        <v>146.8</v>
      </c>
      <c r="F491" t="n">
        <v>9.9</v>
      </c>
      <c r="G491" t="n">
        <v>142.7</v>
      </c>
      <c r="H491" t="n">
        <v>19.3</v>
      </c>
      <c r="I491" t="n">
        <v>30.8</v>
      </c>
      <c r="J491" t="n">
        <v>2.6</v>
      </c>
      <c r="K491">
        <f>SUM(B491:J491)</f>
        <v/>
      </c>
    </row>
    <row r="492">
      <c r="A492" s="794" t="n">
        <v>45598</v>
      </c>
      <c r="B492" t="n">
        <v>534.7</v>
      </c>
      <c r="C492" t="n">
        <v>875.6</v>
      </c>
      <c r="D492" t="n">
        <v>2.8</v>
      </c>
      <c r="E492" t="n">
        <v>145.9</v>
      </c>
      <c r="F492" t="n">
        <v>33.9</v>
      </c>
      <c r="G492" t="n">
        <v>152</v>
      </c>
      <c r="H492" t="n">
        <v>14.4</v>
      </c>
      <c r="I492" t="n">
        <v>32.9</v>
      </c>
      <c r="J492" t="n">
        <v>4.5</v>
      </c>
      <c r="K492">
        <f>SUM(B492:J492)</f>
        <v/>
      </c>
    </row>
    <row r="493">
      <c r="A493" s="794" t="n">
        <v>45599</v>
      </c>
      <c r="B493" t="n">
        <v>573.1</v>
      </c>
      <c r="C493" t="n">
        <v>489</v>
      </c>
      <c r="D493" t="n">
        <v>12.3</v>
      </c>
      <c r="E493" t="n">
        <v>141.1</v>
      </c>
      <c r="F493" t="n">
        <v>15.6</v>
      </c>
      <c r="G493" t="n">
        <v>148.6</v>
      </c>
      <c r="H493" t="n">
        <v>9.9</v>
      </c>
      <c r="I493" t="n">
        <v>37.2</v>
      </c>
      <c r="J493" t="n">
        <v>8.800000000000001</v>
      </c>
      <c r="K493">
        <f>SUM(B493:J493)</f>
        <v/>
      </c>
    </row>
    <row r="494">
      <c r="A494" s="794" t="n">
        <v>45600</v>
      </c>
      <c r="B494" t="n">
        <v>409.7</v>
      </c>
      <c r="C494" t="n">
        <v>297.9</v>
      </c>
      <c r="D494" t="n">
        <v>7.2</v>
      </c>
      <c r="F494" t="n">
        <v>11.3</v>
      </c>
      <c r="H494" t="n">
        <v>13.7</v>
      </c>
      <c r="I494" t="n">
        <v>44.2</v>
      </c>
      <c r="J494" t="n">
        <v>9.800000000000001</v>
      </c>
      <c r="K494">
        <f>SUM(B494:J494)</f>
        <v/>
      </c>
    </row>
    <row r="495">
      <c r="A495" s="794" t="n">
        <v>45601</v>
      </c>
      <c r="B495" t="n">
        <v>561.4</v>
      </c>
      <c r="C495" t="n">
        <v>939.2</v>
      </c>
      <c r="D495" t="n">
        <v>5.2</v>
      </c>
      <c r="E495" t="n">
        <v>146.8</v>
      </c>
      <c r="F495" t="n">
        <v>12.1</v>
      </c>
      <c r="G495" t="n">
        <v>152.6</v>
      </c>
      <c r="H495" t="n">
        <v>28.8</v>
      </c>
      <c r="I495" t="n">
        <v>31.7</v>
      </c>
      <c r="J495" t="n">
        <v>12.6</v>
      </c>
      <c r="K495">
        <f>SUM(B495:J495)</f>
        <v/>
      </c>
    </row>
    <row r="496">
      <c r="A496" s="794" t="n">
        <v>45602</v>
      </c>
      <c r="B496" t="n">
        <v>545.3</v>
      </c>
      <c r="C496" t="n">
        <v>995</v>
      </c>
      <c r="D496" t="n">
        <v>6.5</v>
      </c>
      <c r="E496" t="n">
        <v>161.2</v>
      </c>
      <c r="F496" t="n">
        <v>16.8</v>
      </c>
      <c r="G496" t="n">
        <v>158.4</v>
      </c>
      <c r="H496" t="n">
        <v>28.5</v>
      </c>
      <c r="I496" t="n">
        <v>47.8</v>
      </c>
      <c r="J496" t="n">
        <v>5.2</v>
      </c>
      <c r="K496">
        <f>SUM(B496:J496)</f>
        <v/>
      </c>
    </row>
    <row r="497">
      <c r="A497" s="794" t="n">
        <v>45603</v>
      </c>
      <c r="B497" t="n">
        <v>643.2</v>
      </c>
      <c r="C497" t="n">
        <v>948.3</v>
      </c>
      <c r="D497" t="n">
        <v>8.1</v>
      </c>
      <c r="E497" t="n">
        <v>149.1</v>
      </c>
      <c r="F497" t="n">
        <v>24.7</v>
      </c>
      <c r="G497" t="n">
        <v>160.6</v>
      </c>
      <c r="H497" t="n">
        <v>25.2</v>
      </c>
      <c r="I497" t="n">
        <v>52.2</v>
      </c>
      <c r="J497" t="n">
        <v>5.9</v>
      </c>
      <c r="K497">
        <f>SUM(B497:J497)</f>
        <v/>
      </c>
    </row>
    <row r="498">
      <c r="A498" s="794" t="n">
        <v>45604</v>
      </c>
      <c r="B498" t="n">
        <v>620.1</v>
      </c>
      <c r="C498" t="n">
        <v>790.4</v>
      </c>
      <c r="D498" t="n">
        <v>7.2</v>
      </c>
      <c r="E498" t="n">
        <v>141.1</v>
      </c>
      <c r="F498" t="n">
        <v>10.8</v>
      </c>
      <c r="G498" t="n">
        <v>167.8</v>
      </c>
      <c r="H498" t="n">
        <v>25.8</v>
      </c>
      <c r="I498" t="n">
        <v>33</v>
      </c>
      <c r="J498" t="n">
        <v>7.5</v>
      </c>
      <c r="K498">
        <f>SUM(B498:J498)</f>
        <v/>
      </c>
    </row>
    <row r="499">
      <c r="A499" s="794" t="n">
        <v>45605</v>
      </c>
      <c r="B499" t="n">
        <v>547</v>
      </c>
      <c r="C499" t="n">
        <v>716.1</v>
      </c>
      <c r="D499" t="n">
        <v>13</v>
      </c>
      <c r="E499" t="n">
        <v>128.6</v>
      </c>
      <c r="F499" t="n">
        <v>39.9</v>
      </c>
      <c r="G499" t="n">
        <v>160.6</v>
      </c>
      <c r="H499" t="n">
        <v>18.6</v>
      </c>
      <c r="I499" t="n">
        <v>47.6</v>
      </c>
      <c r="J499" t="n">
        <v>6.4</v>
      </c>
      <c r="K499">
        <f>SUM(B499:J499)</f>
        <v/>
      </c>
    </row>
    <row r="500">
      <c r="A500" s="794" t="n">
        <v>45606</v>
      </c>
      <c r="B500" t="n">
        <v>421.1</v>
      </c>
      <c r="C500" t="n">
        <v>560.7</v>
      </c>
      <c r="D500" t="n">
        <v>32</v>
      </c>
      <c r="E500" t="n">
        <v>29.8</v>
      </c>
      <c r="F500" t="n">
        <v>8.5</v>
      </c>
      <c r="G500" t="n">
        <v>114.3</v>
      </c>
      <c r="H500" t="n">
        <v>15.1</v>
      </c>
      <c r="I500" t="n">
        <v>34</v>
      </c>
      <c r="J500" t="n">
        <v>2.6</v>
      </c>
      <c r="K500">
        <f>SUM(B500:J500)</f>
        <v/>
      </c>
    </row>
    <row r="501">
      <c r="A501" s="794" t="n">
        <v>45607</v>
      </c>
      <c r="B501" t="n">
        <v>470.8</v>
      </c>
      <c r="C501" t="n">
        <v>393.2</v>
      </c>
      <c r="D501" t="n">
        <v>12.5</v>
      </c>
      <c r="F501" t="n">
        <v>6.4</v>
      </c>
      <c r="H501" t="n">
        <v>17</v>
      </c>
      <c r="I501" t="n">
        <v>40.4</v>
      </c>
      <c r="J501" t="n">
        <v>3.1</v>
      </c>
      <c r="K501">
        <f>SUM(B501:J501)</f>
        <v/>
      </c>
    </row>
    <row r="502">
      <c r="A502" s="794" t="n">
        <v>45608</v>
      </c>
      <c r="B502" t="n">
        <v>644.7</v>
      </c>
      <c r="C502" t="n">
        <v>802.3</v>
      </c>
      <c r="D502" t="n">
        <v>5.4</v>
      </c>
      <c r="E502" t="n">
        <v>88.8</v>
      </c>
      <c r="F502" t="n">
        <v>13.3</v>
      </c>
      <c r="G502" t="n">
        <v>171.3</v>
      </c>
      <c r="H502" t="n">
        <v>29.6</v>
      </c>
      <c r="I502" t="n">
        <v>42.8</v>
      </c>
      <c r="J502" t="n">
        <v>6.5</v>
      </c>
      <c r="K502">
        <f>SUM(B502:J502)</f>
        <v/>
      </c>
    </row>
    <row r="503">
      <c r="A503" s="794" t="n">
        <v>45609</v>
      </c>
      <c r="B503" t="n">
        <v>584.2</v>
      </c>
      <c r="C503" t="n">
        <v>795.4</v>
      </c>
      <c r="D503" t="n">
        <v>4.5</v>
      </c>
      <c r="E503" t="n">
        <v>74</v>
      </c>
      <c r="F503" t="n">
        <v>17.4</v>
      </c>
      <c r="G503" t="n">
        <v>163.7</v>
      </c>
      <c r="H503" t="n">
        <v>23.6</v>
      </c>
      <c r="I503" t="n">
        <v>44.7</v>
      </c>
      <c r="J503" t="n">
        <v>4.2</v>
      </c>
      <c r="K503">
        <f>SUM(B503:J503)</f>
        <v/>
      </c>
    </row>
    <row r="504">
      <c r="A504" s="794" t="n">
        <v>45610</v>
      </c>
      <c r="B504" t="n">
        <v>628.7</v>
      </c>
      <c r="C504" t="n">
        <v>850.6</v>
      </c>
      <c r="E504" t="n">
        <v>133.1</v>
      </c>
      <c r="F504" t="n">
        <v>31</v>
      </c>
      <c r="G504" t="n">
        <v>152.2</v>
      </c>
      <c r="H504" t="n">
        <v>21.5</v>
      </c>
      <c r="I504" t="n">
        <v>31.3</v>
      </c>
      <c r="J504" t="n">
        <v>6.1</v>
      </c>
      <c r="K504">
        <f>SUM(B504:J504)</f>
        <v/>
      </c>
    </row>
    <row r="505">
      <c r="A505" s="794" t="n">
        <v>45611</v>
      </c>
      <c r="B505" t="n">
        <v>443.7</v>
      </c>
      <c r="C505" t="n">
        <v>638.7</v>
      </c>
      <c r="D505" t="n">
        <v>13</v>
      </c>
      <c r="E505" t="n">
        <v>54.5</v>
      </c>
      <c r="F505" t="n">
        <v>10.2</v>
      </c>
      <c r="G505" t="n">
        <v>47.7</v>
      </c>
      <c r="H505" t="n">
        <v>20.3</v>
      </c>
      <c r="I505" t="n">
        <v>20.5</v>
      </c>
      <c r="J505" t="n">
        <v>3</v>
      </c>
      <c r="K505">
        <f>SUM(B505:J505)</f>
        <v/>
      </c>
    </row>
    <row r="506">
      <c r="A506" s="794" t="n">
        <v>45612</v>
      </c>
      <c r="B506" t="n">
        <v>718.9</v>
      </c>
      <c r="C506" t="n">
        <v>696.8</v>
      </c>
      <c r="D506" t="n">
        <v>2.8</v>
      </c>
      <c r="E506" t="n">
        <v>92.09999999999999</v>
      </c>
      <c r="F506" t="n">
        <v>34.9</v>
      </c>
      <c r="G506" t="n">
        <v>165.9</v>
      </c>
      <c r="H506" t="n">
        <v>20.4</v>
      </c>
      <c r="I506" t="n">
        <v>51.3</v>
      </c>
      <c r="J506" t="n">
        <v>5.8</v>
      </c>
      <c r="K506">
        <f>SUM(B506:J506)</f>
        <v/>
      </c>
    </row>
    <row r="507">
      <c r="A507" s="794" t="n">
        <v>45613</v>
      </c>
      <c r="B507" t="n">
        <v>386</v>
      </c>
      <c r="C507" t="n">
        <v>591.3</v>
      </c>
      <c r="D507" t="n">
        <v>7</v>
      </c>
      <c r="E507" t="n">
        <v>5.2</v>
      </c>
      <c r="F507" t="n">
        <v>37.7</v>
      </c>
      <c r="G507" t="n">
        <v>115.9</v>
      </c>
      <c r="H507" t="n">
        <v>10.9</v>
      </c>
      <c r="I507" t="n">
        <v>34.4</v>
      </c>
      <c r="J507" t="n">
        <v>3.4</v>
      </c>
      <c r="K507">
        <f>SUM(B507:J507)</f>
        <v/>
      </c>
    </row>
    <row r="508">
      <c r="A508" s="794" t="n">
        <v>45614</v>
      </c>
      <c r="B508" t="n">
        <v>422.1</v>
      </c>
      <c r="C508" t="n">
        <v>343.8</v>
      </c>
      <c r="D508" t="n">
        <v>8.699999999999999</v>
      </c>
      <c r="F508" t="n">
        <v>13.2</v>
      </c>
      <c r="H508" t="n">
        <v>12.4</v>
      </c>
      <c r="I508" t="n">
        <v>51.7</v>
      </c>
      <c r="J508" t="n">
        <v>0.3</v>
      </c>
      <c r="K508">
        <f>SUM(B508:J508)</f>
        <v/>
      </c>
    </row>
    <row r="509">
      <c r="A509" s="794" t="n">
        <v>45615</v>
      </c>
      <c r="B509" t="n">
        <v>680.9</v>
      </c>
      <c r="C509" t="n">
        <v>879.7</v>
      </c>
      <c r="E509" t="n">
        <v>132</v>
      </c>
      <c r="F509" t="n">
        <v>20</v>
      </c>
      <c r="G509" t="n">
        <v>161.3</v>
      </c>
      <c r="H509" t="n">
        <v>25</v>
      </c>
      <c r="I509" t="n">
        <v>20.8</v>
      </c>
      <c r="J509" t="n">
        <v>6.8</v>
      </c>
      <c r="K509">
        <f>SUM(B509:J509)</f>
        <v/>
      </c>
    </row>
    <row r="510">
      <c r="A510" s="794" t="n">
        <v>45616</v>
      </c>
      <c r="B510" t="n">
        <v>666.7</v>
      </c>
      <c r="C510" t="n">
        <v>822.8</v>
      </c>
      <c r="D510" t="n">
        <v>29.8</v>
      </c>
      <c r="E510" t="n">
        <v>139</v>
      </c>
      <c r="F510" t="n">
        <v>38.3</v>
      </c>
      <c r="G510" t="n">
        <v>159.6</v>
      </c>
      <c r="H510" t="n">
        <v>31.2</v>
      </c>
      <c r="I510" t="n">
        <v>35.9</v>
      </c>
      <c r="J510" t="n">
        <v>3</v>
      </c>
      <c r="K510">
        <f>SUM(B510:J510)</f>
        <v/>
      </c>
    </row>
    <row r="511">
      <c r="A511" s="794" t="n">
        <v>45617</v>
      </c>
      <c r="B511" t="n">
        <v>516.8</v>
      </c>
      <c r="C511" t="n">
        <v>832.8</v>
      </c>
      <c r="D511" t="n">
        <v>4.1</v>
      </c>
      <c r="E511" t="n">
        <v>142.8</v>
      </c>
      <c r="F511" t="n">
        <v>21</v>
      </c>
      <c r="G511" t="n">
        <v>153.1</v>
      </c>
      <c r="H511" t="n">
        <v>30.8</v>
      </c>
      <c r="I511" t="n">
        <v>16.7</v>
      </c>
      <c r="J511" t="n">
        <v>4.7</v>
      </c>
      <c r="K511">
        <f>SUM(B511:J511)</f>
        <v/>
      </c>
    </row>
    <row r="512">
      <c r="A512" s="794" t="n">
        <v>45618</v>
      </c>
      <c r="B512" t="n">
        <v>650.5</v>
      </c>
      <c r="C512" t="n">
        <v>789</v>
      </c>
      <c r="D512" t="n">
        <v>12</v>
      </c>
      <c r="E512" t="n">
        <v>108.2</v>
      </c>
      <c r="F512" t="n">
        <v>26.5</v>
      </c>
      <c r="G512" t="n">
        <v>148.7</v>
      </c>
      <c r="H512" t="n">
        <v>29.4</v>
      </c>
      <c r="I512" t="n">
        <v>29.1</v>
      </c>
      <c r="J512" t="n">
        <v>4.1</v>
      </c>
      <c r="K512">
        <f>SUM(B512:J512)</f>
        <v/>
      </c>
    </row>
    <row r="513">
      <c r="A513" s="794" t="n">
        <v>45619</v>
      </c>
      <c r="B513" t="n">
        <v>625.5</v>
      </c>
      <c r="C513" t="n">
        <v>679.1</v>
      </c>
      <c r="D513" t="n">
        <v>10.7</v>
      </c>
      <c r="E513" t="n">
        <v>133</v>
      </c>
      <c r="F513" t="n">
        <v>16.9</v>
      </c>
      <c r="G513" t="n">
        <v>152.8</v>
      </c>
      <c r="H513" t="n">
        <v>19.5</v>
      </c>
      <c r="I513" t="n">
        <v>48.3</v>
      </c>
      <c r="J513" t="n">
        <v>6.1</v>
      </c>
      <c r="K513">
        <f>SUM(B513:J513)</f>
        <v/>
      </c>
    </row>
    <row r="514">
      <c r="A514" s="794" t="n">
        <v>45620</v>
      </c>
      <c r="B514" t="n">
        <v>583</v>
      </c>
      <c r="C514" t="n">
        <v>580.3</v>
      </c>
      <c r="D514" t="n">
        <v>12</v>
      </c>
      <c r="E514" t="n">
        <v>73.8</v>
      </c>
      <c r="F514" t="n">
        <v>22.7</v>
      </c>
      <c r="G514" t="n">
        <v>120.1</v>
      </c>
      <c r="H514" t="n">
        <v>4.5</v>
      </c>
      <c r="I514" t="n">
        <v>84.40000000000001</v>
      </c>
      <c r="J514" t="n">
        <v>15.8</v>
      </c>
      <c r="K514">
        <f>SUM(B514:J514)</f>
        <v/>
      </c>
    </row>
    <row r="515">
      <c r="A515" s="794" t="n">
        <v>45621</v>
      </c>
      <c r="B515" t="n">
        <v>659.3</v>
      </c>
      <c r="C515" t="n">
        <v>356.1</v>
      </c>
      <c r="D515" t="n">
        <v>11.7</v>
      </c>
      <c r="F515" t="n">
        <v>7.6</v>
      </c>
      <c r="H515" t="n">
        <v>15.2</v>
      </c>
      <c r="I515" t="n">
        <v>38.3</v>
      </c>
      <c r="J515" t="n">
        <v>2.3</v>
      </c>
      <c r="K515">
        <f>SUM(B515:J515)</f>
        <v/>
      </c>
    </row>
    <row r="516">
      <c r="A516" s="794" t="n">
        <v>45622</v>
      </c>
      <c r="B516" t="n">
        <v>559.2</v>
      </c>
      <c r="C516" t="n">
        <v>779.6</v>
      </c>
      <c r="D516" t="n">
        <v>6.6</v>
      </c>
      <c r="E516" t="n">
        <v>138.2</v>
      </c>
      <c r="F516" t="n">
        <v>23.2</v>
      </c>
      <c r="G516" t="n">
        <v>152.3</v>
      </c>
      <c r="H516" t="n">
        <v>26.5</v>
      </c>
      <c r="I516" t="n">
        <v>52.1</v>
      </c>
      <c r="J516" t="n">
        <v>2.9</v>
      </c>
      <c r="K516">
        <f>SUM(B516:J516)</f>
        <v/>
      </c>
    </row>
    <row r="517">
      <c r="A517" s="794" t="n">
        <v>45623</v>
      </c>
      <c r="B517" t="n">
        <v>619.2</v>
      </c>
      <c r="C517" t="n">
        <v>794.7</v>
      </c>
      <c r="D517" t="n">
        <v>8.300000000000001</v>
      </c>
      <c r="E517" t="n">
        <v>158.8</v>
      </c>
      <c r="F517" t="n">
        <v>14.8</v>
      </c>
      <c r="G517" t="n">
        <v>152.9</v>
      </c>
      <c r="H517" t="n">
        <v>25.3</v>
      </c>
      <c r="I517" t="n">
        <v>29.3</v>
      </c>
      <c r="J517" t="n">
        <v>4.8</v>
      </c>
      <c r="K517">
        <f>SUM(B517:J517)</f>
        <v/>
      </c>
    </row>
    <row r="518">
      <c r="A518" s="794" t="n">
        <v>45624</v>
      </c>
      <c r="B518" t="n">
        <v>601.6</v>
      </c>
      <c r="C518" t="n">
        <v>851.8</v>
      </c>
      <c r="D518" t="n">
        <v>10.4</v>
      </c>
      <c r="E518" t="n">
        <v>138</v>
      </c>
      <c r="F518" t="n">
        <v>17.6</v>
      </c>
      <c r="G518" t="n">
        <v>156.8</v>
      </c>
      <c r="H518" t="n">
        <v>32.5</v>
      </c>
      <c r="I518" t="n">
        <v>52.8</v>
      </c>
      <c r="J518" t="n">
        <v>4.7</v>
      </c>
      <c r="K518">
        <f>SUM(B518:J518)</f>
        <v/>
      </c>
    </row>
    <row r="519">
      <c r="A519" s="794" t="n">
        <v>45625</v>
      </c>
      <c r="B519" t="n">
        <v>562.6</v>
      </c>
      <c r="C519" t="n">
        <v>785.7</v>
      </c>
      <c r="D519" t="n">
        <v>6.3</v>
      </c>
      <c r="E519" t="n">
        <v>142.8</v>
      </c>
      <c r="F519" t="n">
        <v>19</v>
      </c>
      <c r="G519" t="n">
        <v>148.2</v>
      </c>
      <c r="H519" t="n">
        <v>23.9</v>
      </c>
      <c r="I519" t="n">
        <v>47.1</v>
      </c>
      <c r="J519" t="n">
        <v>1.5</v>
      </c>
      <c r="K519">
        <f>SUM(B519:J519)</f>
        <v/>
      </c>
    </row>
    <row r="520">
      <c r="A520" s="794" t="n">
        <v>45626</v>
      </c>
      <c r="B520" t="n">
        <v>580.2</v>
      </c>
      <c r="C520" t="n">
        <v>730.5</v>
      </c>
      <c r="D520" t="n">
        <v>3.9</v>
      </c>
      <c r="E520" t="n">
        <v>131.2</v>
      </c>
      <c r="F520" t="n">
        <v>22.1</v>
      </c>
      <c r="G520" t="n">
        <v>149.1</v>
      </c>
      <c r="H520" t="n">
        <v>21.2</v>
      </c>
      <c r="I520" t="n">
        <v>48.2</v>
      </c>
      <c r="J520" t="n">
        <v>0.9</v>
      </c>
      <c r="K520">
        <f>SUM(B520:J520)</f>
        <v/>
      </c>
    </row>
    <row r="521">
      <c r="A521" s="794" t="n">
        <v>45627</v>
      </c>
      <c r="B521" t="n">
        <v>503.2</v>
      </c>
      <c r="C521" t="n">
        <v>564.4</v>
      </c>
      <c r="D521" t="n">
        <v>4.9</v>
      </c>
      <c r="E521" t="n">
        <v>36.1</v>
      </c>
      <c r="F521" t="n">
        <v>21</v>
      </c>
      <c r="G521" t="n">
        <v>125.7</v>
      </c>
      <c r="H521" t="n">
        <v>6.1</v>
      </c>
      <c r="I521" t="n">
        <v>73.40000000000001</v>
      </c>
      <c r="J521" t="n">
        <v>0.9</v>
      </c>
      <c r="K521">
        <f>SUM(B521:J521)</f>
        <v/>
      </c>
    </row>
    <row r="522">
      <c r="A522" s="794" t="n">
        <v>45628</v>
      </c>
      <c r="B522" t="n">
        <v>439.4</v>
      </c>
      <c r="C522" t="n">
        <v>263.7</v>
      </c>
      <c r="D522" t="n">
        <v>8.5</v>
      </c>
      <c r="E522" t="n">
        <v>17.7</v>
      </c>
      <c r="F522" t="n">
        <v>15.2</v>
      </c>
      <c r="H522" t="n">
        <v>15.7</v>
      </c>
      <c r="I522" t="n">
        <v>22.3</v>
      </c>
      <c r="J522" t="n">
        <v>2.8</v>
      </c>
      <c r="K522">
        <f>SUM(B522:J522)</f>
        <v/>
      </c>
    </row>
    <row r="523">
      <c r="A523" s="794" t="n">
        <v>45629</v>
      </c>
      <c r="B523" t="n">
        <v>521.2</v>
      </c>
      <c r="C523" t="n">
        <v>896.2</v>
      </c>
      <c r="D523" t="n">
        <v>7.8</v>
      </c>
      <c r="E523" t="n">
        <v>97.90000000000001</v>
      </c>
      <c r="F523" t="n">
        <v>14.7</v>
      </c>
      <c r="G523" t="n">
        <v>139.2</v>
      </c>
      <c r="H523" t="n">
        <v>17.8</v>
      </c>
      <c r="I523" t="n">
        <v>37.1</v>
      </c>
      <c r="J523" t="n">
        <v>2.7</v>
      </c>
      <c r="K523">
        <f>SUM(B523:J523)</f>
        <v/>
      </c>
    </row>
    <row r="524">
      <c r="A524" s="794" t="n">
        <v>45630</v>
      </c>
      <c r="B524" t="n">
        <v>501.6</v>
      </c>
      <c r="C524" t="n">
        <v>671.9</v>
      </c>
      <c r="D524" t="n">
        <v>7.4</v>
      </c>
      <c r="E524" t="n">
        <v>101.2</v>
      </c>
      <c r="F524" t="n">
        <v>33.7</v>
      </c>
      <c r="G524" t="n">
        <v>156.7</v>
      </c>
      <c r="H524" t="n">
        <v>21.3</v>
      </c>
      <c r="I524" t="n">
        <v>28.8</v>
      </c>
      <c r="J524" t="n">
        <v>3.7</v>
      </c>
      <c r="K524">
        <f>SUM(B524:J524)</f>
        <v/>
      </c>
    </row>
    <row r="525">
      <c r="A525" s="794" t="n">
        <v>45631</v>
      </c>
      <c r="B525" t="n">
        <v>491.9</v>
      </c>
      <c r="C525" t="n">
        <v>751.1</v>
      </c>
      <c r="D525" t="n">
        <v>1.8</v>
      </c>
      <c r="E525" t="n">
        <v>120.5</v>
      </c>
      <c r="F525" t="n">
        <v>51.3</v>
      </c>
      <c r="G525" t="n">
        <v>138</v>
      </c>
      <c r="H525" t="n">
        <v>23.7</v>
      </c>
      <c r="I525" t="n">
        <v>52.5</v>
      </c>
      <c r="J525" t="n">
        <v>3.5</v>
      </c>
      <c r="K525">
        <f>SUM(B525:J525)</f>
        <v/>
      </c>
    </row>
    <row r="526">
      <c r="A526" s="794" t="n">
        <v>45632</v>
      </c>
      <c r="B526" t="n">
        <v>505.5</v>
      </c>
      <c r="C526" t="n">
        <v>799</v>
      </c>
      <c r="D526" t="n">
        <v>10.9</v>
      </c>
      <c r="E526" t="n">
        <v>87.2</v>
      </c>
      <c r="F526" t="n">
        <v>36.8</v>
      </c>
      <c r="G526" t="n">
        <v>136.1</v>
      </c>
      <c r="H526" t="n">
        <v>26.5</v>
      </c>
      <c r="I526" t="n">
        <v>18.8</v>
      </c>
      <c r="J526" t="n">
        <v>2</v>
      </c>
      <c r="K526">
        <f>SUM(B526:J526)</f>
        <v/>
      </c>
    </row>
    <row r="527">
      <c r="A527" s="794" t="n">
        <v>45633</v>
      </c>
      <c r="B527" t="n">
        <v>584.2</v>
      </c>
      <c r="C527" t="n">
        <v>728.3</v>
      </c>
      <c r="D527" t="n">
        <v>11.2</v>
      </c>
      <c r="E527" t="n">
        <v>115.4</v>
      </c>
      <c r="F527" t="n">
        <v>21.9</v>
      </c>
      <c r="G527" t="n">
        <v>149.3</v>
      </c>
      <c r="H527" t="n">
        <v>24.8</v>
      </c>
      <c r="I527" t="n">
        <v>38.3</v>
      </c>
      <c r="J527" t="n">
        <v>4.1</v>
      </c>
      <c r="K527">
        <f>SUM(B527:J527)</f>
        <v/>
      </c>
    </row>
    <row r="528">
      <c r="A528" s="794" t="n">
        <v>45634</v>
      </c>
      <c r="B528" t="n">
        <v>389.5</v>
      </c>
      <c r="C528" t="n">
        <v>596.2</v>
      </c>
      <c r="D528" t="n">
        <v>17.7</v>
      </c>
      <c r="E528" t="n">
        <v>37.1</v>
      </c>
      <c r="F528" t="n">
        <v>2.1</v>
      </c>
      <c r="G528" t="n">
        <v>113.2</v>
      </c>
      <c r="H528" t="n">
        <v>5.3</v>
      </c>
      <c r="I528" t="n">
        <v>48.7</v>
      </c>
      <c r="J528" t="n">
        <v>1.6</v>
      </c>
      <c r="K528">
        <f>SUM(B528:J528)</f>
        <v/>
      </c>
    </row>
    <row r="529">
      <c r="A529" s="794" t="n">
        <v>45635</v>
      </c>
      <c r="B529" t="n">
        <v>424</v>
      </c>
      <c r="C529" t="n">
        <v>278</v>
      </c>
      <c r="D529" t="n">
        <v>5.8</v>
      </c>
      <c r="F529" t="n">
        <v>8.300000000000001</v>
      </c>
      <c r="H529" t="n">
        <v>20</v>
      </c>
      <c r="I529" t="n">
        <v>36.8</v>
      </c>
      <c r="J529" t="n">
        <v>3.8</v>
      </c>
      <c r="K529">
        <f>SUM(B529:J529)</f>
        <v/>
      </c>
    </row>
    <row r="530">
      <c r="A530" s="794" t="n">
        <v>45636</v>
      </c>
      <c r="B530" t="n">
        <v>447.5</v>
      </c>
      <c r="C530" t="n">
        <v>769.7</v>
      </c>
      <c r="D530" t="n">
        <v>16.4</v>
      </c>
      <c r="E530" t="n">
        <v>91.3</v>
      </c>
      <c r="F530" t="n">
        <v>9.199999999999999</v>
      </c>
      <c r="G530" t="n">
        <v>147.5</v>
      </c>
      <c r="H530" t="n">
        <v>28</v>
      </c>
      <c r="I530" t="n">
        <v>29.3</v>
      </c>
      <c r="J530" t="n">
        <v>9.300000000000001</v>
      </c>
      <c r="K530">
        <f>SUM(B530:J530)</f>
        <v/>
      </c>
    </row>
    <row r="531">
      <c r="A531" s="794" t="n">
        <v>45637</v>
      </c>
      <c r="B531" t="n">
        <v>518.2</v>
      </c>
      <c r="C531" t="n">
        <v>800.3</v>
      </c>
      <c r="D531" t="n">
        <v>17.8</v>
      </c>
      <c r="E531" t="n">
        <v>86.09999999999999</v>
      </c>
      <c r="F531" t="n">
        <v>5.1</v>
      </c>
      <c r="G531" t="n">
        <v>127.9</v>
      </c>
      <c r="H531" t="n">
        <v>29.3</v>
      </c>
      <c r="I531" t="n">
        <v>29.5</v>
      </c>
      <c r="J531" t="n">
        <v>3.5</v>
      </c>
      <c r="K531">
        <f>SUM(B531:J531)</f>
        <v/>
      </c>
    </row>
    <row r="532">
      <c r="A532" s="794" t="n">
        <v>45638</v>
      </c>
      <c r="B532" t="n">
        <v>509.7</v>
      </c>
      <c r="C532" t="n">
        <v>816.5</v>
      </c>
      <c r="D532" t="n">
        <v>3.7</v>
      </c>
      <c r="E532" t="n">
        <v>90.8</v>
      </c>
      <c r="F532" t="n">
        <v>10.6</v>
      </c>
      <c r="G532" t="n">
        <v>136.2</v>
      </c>
      <c r="H532" t="n">
        <v>23.8</v>
      </c>
      <c r="I532" t="n">
        <v>55.5</v>
      </c>
      <c r="J532" t="n">
        <v>2.8</v>
      </c>
      <c r="K532">
        <f>SUM(B532:J532)</f>
        <v/>
      </c>
    </row>
    <row r="533">
      <c r="A533" s="794" t="n">
        <v>45639</v>
      </c>
      <c r="B533" t="n">
        <v>638.2</v>
      </c>
      <c r="C533" t="n">
        <v>855.4</v>
      </c>
      <c r="D533" t="n">
        <v>15.2</v>
      </c>
      <c r="E533" t="n">
        <v>76.40000000000001</v>
      </c>
      <c r="F533" t="n">
        <v>20.8</v>
      </c>
      <c r="G533" t="n">
        <v>134.2</v>
      </c>
      <c r="H533" t="n">
        <v>23</v>
      </c>
      <c r="I533" t="n">
        <v>47.7</v>
      </c>
      <c r="J533" t="n">
        <v>0.5</v>
      </c>
      <c r="K533">
        <f>SUM(B533:J533)</f>
        <v/>
      </c>
    </row>
    <row r="534">
      <c r="A534" s="794" t="n">
        <v>45640</v>
      </c>
      <c r="B534" t="n">
        <v>545.6</v>
      </c>
      <c r="C534" t="n">
        <v>699.3</v>
      </c>
      <c r="D534" t="n">
        <v>11.9</v>
      </c>
      <c r="E534" t="n">
        <v>81.8</v>
      </c>
      <c r="F534" t="n">
        <v>18</v>
      </c>
      <c r="G534" t="n">
        <v>120.9</v>
      </c>
      <c r="H534" t="n">
        <v>23.8</v>
      </c>
      <c r="I534" t="n">
        <v>64</v>
      </c>
      <c r="J534" t="n">
        <v>2.8</v>
      </c>
      <c r="K534">
        <f>SUM(B534:J534)</f>
        <v/>
      </c>
    </row>
    <row r="535">
      <c r="A535" s="794" t="n">
        <v>45641</v>
      </c>
      <c r="B535" t="n">
        <v>545.1</v>
      </c>
      <c r="C535" t="n">
        <v>618</v>
      </c>
      <c r="D535" t="n">
        <v>9.699999999999999</v>
      </c>
      <c r="E535" t="n">
        <v>31.9</v>
      </c>
      <c r="F535" t="n">
        <v>8.300000000000001</v>
      </c>
      <c r="G535" t="n">
        <v>109.7</v>
      </c>
      <c r="H535" t="n">
        <v>4.2</v>
      </c>
      <c r="I535" t="n">
        <v>40.1</v>
      </c>
      <c r="J535" t="n">
        <v>2.8</v>
      </c>
      <c r="K535">
        <f>SUM(B535:J535)</f>
        <v/>
      </c>
    </row>
    <row r="536">
      <c r="A536" s="794" t="n">
        <v>45642</v>
      </c>
      <c r="B536" t="n">
        <v>400.6</v>
      </c>
      <c r="C536" t="n">
        <v>296.3</v>
      </c>
      <c r="D536" t="n">
        <v>16</v>
      </c>
      <c r="F536" t="n">
        <v>14.7</v>
      </c>
      <c r="H536" t="n">
        <v>20</v>
      </c>
      <c r="I536" t="n">
        <v>24.1</v>
      </c>
      <c r="J536" t="n">
        <v>2.8</v>
      </c>
      <c r="K536">
        <f>SUM(B536:J536)</f>
        <v/>
      </c>
    </row>
    <row r="537">
      <c r="A537" s="794" t="n">
        <v>45643</v>
      </c>
      <c r="B537" t="n">
        <v>531.4</v>
      </c>
      <c r="C537" t="n">
        <v>855.3</v>
      </c>
      <c r="D537" t="n">
        <v>4.3</v>
      </c>
      <c r="E537" t="n">
        <v>82.2</v>
      </c>
      <c r="F537" t="n">
        <v>1.8</v>
      </c>
      <c r="G537" t="n">
        <v>145.8</v>
      </c>
      <c r="H537" t="n">
        <v>22.8</v>
      </c>
      <c r="I537" t="n">
        <v>29.1</v>
      </c>
      <c r="J537" t="n">
        <v>8.9</v>
      </c>
      <c r="K537">
        <f>SUM(B537:J537)</f>
        <v/>
      </c>
    </row>
    <row r="538">
      <c r="A538" s="794" t="n">
        <v>45644</v>
      </c>
      <c r="B538" t="n">
        <v>534.9</v>
      </c>
      <c r="C538" t="n">
        <v>871.4</v>
      </c>
      <c r="D538" t="n">
        <v>3.2</v>
      </c>
      <c r="E538" t="n">
        <v>75.5</v>
      </c>
      <c r="F538" t="n">
        <v>23.9</v>
      </c>
      <c r="G538" t="n">
        <v>125.6</v>
      </c>
      <c r="H538" t="n">
        <v>19.4</v>
      </c>
      <c r="I538" t="n">
        <v>63.7</v>
      </c>
      <c r="J538" t="n">
        <v>5.8</v>
      </c>
      <c r="K538">
        <f>SUM(B538:J538)</f>
        <v/>
      </c>
    </row>
    <row r="539">
      <c r="A539" s="794" t="n">
        <v>45645</v>
      </c>
      <c r="B539" t="n">
        <v>607.3</v>
      </c>
      <c r="C539" t="n">
        <v>797.7</v>
      </c>
      <c r="D539" t="n">
        <v>3.4</v>
      </c>
      <c r="E539" t="n">
        <v>70.09999999999999</v>
      </c>
      <c r="F539" t="n">
        <v>9.1</v>
      </c>
      <c r="G539" t="n">
        <v>124.7</v>
      </c>
      <c r="H539" t="n">
        <v>17.1</v>
      </c>
      <c r="I539" t="n">
        <v>52.2</v>
      </c>
      <c r="J539" t="n">
        <v>0.9</v>
      </c>
      <c r="K539">
        <f>SUM(B539:J539)</f>
        <v/>
      </c>
    </row>
    <row r="540">
      <c r="A540" s="794" t="n">
        <v>45646</v>
      </c>
      <c r="B540" t="n">
        <v>448.8</v>
      </c>
      <c r="C540" t="n">
        <v>822</v>
      </c>
      <c r="D540" t="n">
        <v>15.1</v>
      </c>
      <c r="E540" t="n">
        <v>80.7</v>
      </c>
      <c r="F540" t="n">
        <v>38.6</v>
      </c>
      <c r="G540" t="n">
        <v>119.6</v>
      </c>
      <c r="H540" t="n">
        <v>11.1</v>
      </c>
      <c r="I540" t="n">
        <v>54.1</v>
      </c>
      <c r="J540" t="n">
        <v>6.1</v>
      </c>
      <c r="K540">
        <f>SUM(B540:J540)</f>
        <v/>
      </c>
    </row>
    <row r="541">
      <c r="A541" s="794" t="n">
        <v>45647</v>
      </c>
      <c r="B541" t="n">
        <v>547.5</v>
      </c>
      <c r="C541" t="n">
        <v>563.7</v>
      </c>
      <c r="D541" t="n">
        <v>17.8</v>
      </c>
      <c r="E541" t="n">
        <v>73.2</v>
      </c>
      <c r="F541" t="n">
        <v>55.8</v>
      </c>
      <c r="G541" t="n">
        <v>103.2</v>
      </c>
      <c r="H541" t="n">
        <v>8</v>
      </c>
      <c r="I541" t="n">
        <v>67.59999999999999</v>
      </c>
      <c r="J541" t="n">
        <v>3.9</v>
      </c>
      <c r="K541">
        <f>SUM(B541:J541)</f>
        <v/>
      </c>
    </row>
    <row r="542">
      <c r="A542" s="794" t="n">
        <v>45648</v>
      </c>
      <c r="B542" t="n">
        <v>425.7</v>
      </c>
      <c r="C542" t="n">
        <v>552.2</v>
      </c>
      <c r="D542" t="n">
        <v>16.5</v>
      </c>
      <c r="E542" t="n">
        <v>46.5</v>
      </c>
      <c r="F542" t="n">
        <v>26.3</v>
      </c>
      <c r="G542" t="n">
        <v>95.90000000000001</v>
      </c>
      <c r="H542" t="n">
        <v>2.3</v>
      </c>
      <c r="I542" t="n">
        <v>27.6</v>
      </c>
      <c r="J542" t="n">
        <v>1.3</v>
      </c>
      <c r="K542">
        <f>SUM(B542:J542)</f>
        <v/>
      </c>
    </row>
    <row r="543">
      <c r="A543" s="794" t="n">
        <v>45649</v>
      </c>
      <c r="B543" t="n">
        <v>346.7</v>
      </c>
      <c r="C543" t="n">
        <v>414.8</v>
      </c>
      <c r="D543" t="n">
        <v>31.1</v>
      </c>
      <c r="F543" t="n">
        <v>18.4</v>
      </c>
      <c r="I543" t="n">
        <v>31.2</v>
      </c>
      <c r="J543" t="n">
        <v>4</v>
      </c>
      <c r="K543">
        <f>SUM(B543:J543)</f>
        <v/>
      </c>
    </row>
    <row r="544">
      <c r="A544" s="794" t="n">
        <v>45650</v>
      </c>
      <c r="B544" t="n">
        <v>418.3</v>
      </c>
      <c r="C544" t="n">
        <v>527.9</v>
      </c>
      <c r="D544" t="n">
        <v>31.1</v>
      </c>
      <c r="E544" t="n">
        <v>47</v>
      </c>
      <c r="F544" t="n">
        <v>11.2</v>
      </c>
      <c r="G544" t="n">
        <v>74.8</v>
      </c>
      <c r="H544" t="n">
        <v>1.3</v>
      </c>
      <c r="I544" t="n">
        <v>33.8</v>
      </c>
      <c r="J544" t="n">
        <v>5.1</v>
      </c>
      <c r="K544">
        <f>SUM(B544:J544)</f>
        <v/>
      </c>
    </row>
    <row r="545">
      <c r="A545" s="794" t="n">
        <v>45651</v>
      </c>
      <c r="B545" t="n">
        <v>373.9</v>
      </c>
      <c r="C545" t="n">
        <v>750.3</v>
      </c>
      <c r="D545" t="n">
        <v>22</v>
      </c>
      <c r="E545" t="n">
        <v>62</v>
      </c>
      <c r="F545" t="n">
        <v>7.6</v>
      </c>
      <c r="G545" t="n">
        <v>106.3</v>
      </c>
      <c r="H545" t="n">
        <v>2.7</v>
      </c>
      <c r="I545" t="n">
        <v>38</v>
      </c>
      <c r="J545" t="n">
        <v>10.1</v>
      </c>
      <c r="K545">
        <f>SUM(B545:J545)</f>
        <v/>
      </c>
    </row>
    <row r="546">
      <c r="A546" s="794" t="n">
        <v>45652</v>
      </c>
      <c r="B546" t="n">
        <v>342.7</v>
      </c>
      <c r="C546" t="n">
        <v>351.7</v>
      </c>
      <c r="D546" t="n">
        <v>23.5</v>
      </c>
      <c r="F546" t="n">
        <v>24.4</v>
      </c>
      <c r="H546" t="n">
        <v>2.8</v>
      </c>
      <c r="I546" t="n">
        <v>23.8</v>
      </c>
      <c r="J546" t="n">
        <v>0.6</v>
      </c>
      <c r="K546">
        <f>SUM(B546:J546)</f>
        <v/>
      </c>
    </row>
    <row r="547">
      <c r="A547" s="794" t="n">
        <v>45653</v>
      </c>
      <c r="B547" t="n">
        <v>294.4</v>
      </c>
      <c r="C547" t="n">
        <v>245.4</v>
      </c>
      <c r="D547" t="n">
        <v>17.4</v>
      </c>
      <c r="F547" t="n">
        <v>0.9</v>
      </c>
      <c r="H547" t="n">
        <v>4.4</v>
      </c>
      <c r="I547" t="n">
        <v>29.9</v>
      </c>
      <c r="J547" t="n">
        <v>6.5</v>
      </c>
      <c r="K547">
        <f>SUM(B547:J547)</f>
        <v/>
      </c>
    </row>
    <row r="548">
      <c r="A548" s="794" t="n">
        <v>45654</v>
      </c>
      <c r="B548" t="n">
        <v>464.9</v>
      </c>
      <c r="C548" t="n">
        <v>453.6</v>
      </c>
      <c r="D548" t="n">
        <v>8.800000000000001</v>
      </c>
      <c r="E548" t="n">
        <v>58.5</v>
      </c>
      <c r="F548" t="n">
        <v>24.5</v>
      </c>
      <c r="G548" t="n">
        <v>90.7</v>
      </c>
      <c r="H548" t="n">
        <v>15.8</v>
      </c>
      <c r="I548" t="n">
        <v>28</v>
      </c>
      <c r="J548" t="n">
        <v>1.8</v>
      </c>
      <c r="K548">
        <f>SUM(B548:J548)</f>
        <v/>
      </c>
    </row>
    <row r="549">
      <c r="A549" s="794" t="n">
        <v>45655</v>
      </c>
      <c r="B549" t="n">
        <v>315.4</v>
      </c>
      <c r="C549" t="n">
        <v>383.4</v>
      </c>
      <c r="D549" t="n">
        <v>27.8</v>
      </c>
      <c r="E549" t="n">
        <v>35.5</v>
      </c>
      <c r="F549" t="n">
        <v>5.5</v>
      </c>
      <c r="G549" t="n">
        <v>81</v>
      </c>
      <c r="H549" t="n">
        <v>4.2</v>
      </c>
      <c r="I549" t="n">
        <v>14.8</v>
      </c>
      <c r="J549" t="n">
        <v>9.699999999999999</v>
      </c>
      <c r="K549">
        <f>SUM(B549:J549)</f>
        <v/>
      </c>
    </row>
    <row r="550">
      <c r="A550" s="794" t="n">
        <v>45656</v>
      </c>
      <c r="B550" t="n">
        <v>354.3</v>
      </c>
      <c r="C550" t="n">
        <v>126.5</v>
      </c>
      <c r="D550" t="n">
        <v>14.9</v>
      </c>
      <c r="F550" t="n">
        <v>7.1</v>
      </c>
      <c r="H550" t="n">
        <v>2.6</v>
      </c>
      <c r="I550" t="n">
        <v>35</v>
      </c>
      <c r="J550" t="n">
        <v>2.8</v>
      </c>
      <c r="K550">
        <f>SUM(B550:J550)</f>
        <v/>
      </c>
    </row>
    <row r="551">
      <c r="A551" s="794" t="n">
        <v>45657</v>
      </c>
      <c r="B551" t="n">
        <v>336</v>
      </c>
      <c r="C551" t="n">
        <v>701.1</v>
      </c>
      <c r="D551" t="n">
        <v>6.2</v>
      </c>
      <c r="E551" t="n">
        <v>44.3</v>
      </c>
      <c r="F551" t="n">
        <v>11.7</v>
      </c>
      <c r="G551" t="n">
        <v>94.8</v>
      </c>
      <c r="H551" t="n">
        <v>7.8</v>
      </c>
      <c r="I551" t="n">
        <v>23.6</v>
      </c>
      <c r="K551">
        <f>SUM(B551:J551)</f>
        <v/>
      </c>
    </row>
    <row r="552">
      <c r="A552" s="794" t="n">
        <v>45658</v>
      </c>
      <c r="B552" t="n">
        <v>372.6</v>
      </c>
      <c r="C552" t="n">
        <v>429.8</v>
      </c>
      <c r="D552" t="n">
        <v>15</v>
      </c>
      <c r="E552" t="n">
        <v>53.7</v>
      </c>
      <c r="F552" t="n">
        <v>10.9</v>
      </c>
      <c r="G552" t="n">
        <v>85.7</v>
      </c>
      <c r="H552" t="n">
        <v>5.7</v>
      </c>
      <c r="I552" t="n">
        <v>53.3</v>
      </c>
      <c r="J552" t="n">
        <v>7.1</v>
      </c>
      <c r="K552">
        <f>SUM(B552:J552)</f>
        <v/>
      </c>
    </row>
    <row r="553">
      <c r="A553" s="794" t="n">
        <v>45659</v>
      </c>
      <c r="B553" t="n">
        <v>358.8</v>
      </c>
      <c r="C553" t="n">
        <v>338.6</v>
      </c>
      <c r="D553" t="n">
        <v>11.7</v>
      </c>
      <c r="F553" t="n">
        <v>3.5</v>
      </c>
      <c r="I553" t="n">
        <v>17</v>
      </c>
      <c r="J553" t="n">
        <v>5.8</v>
      </c>
      <c r="K553">
        <f>SUM(B553:J553)</f>
        <v/>
      </c>
    </row>
    <row r="554">
      <c r="A554" s="794" t="n">
        <v>45660</v>
      </c>
      <c r="B554" t="n">
        <v>268.3</v>
      </c>
      <c r="C554" t="n">
        <v>433.2</v>
      </c>
      <c r="D554" t="n">
        <v>15.2</v>
      </c>
      <c r="E554" t="n">
        <v>55.5</v>
      </c>
      <c r="F554" t="n">
        <v>11.6</v>
      </c>
      <c r="G554" t="n">
        <v>88.8</v>
      </c>
      <c r="H554" t="n">
        <v>5.3</v>
      </c>
      <c r="I554" t="n">
        <v>29.9</v>
      </c>
      <c r="J554" t="n">
        <v>7</v>
      </c>
      <c r="K554">
        <f>SUM(B554:J554)</f>
        <v/>
      </c>
    </row>
    <row r="555">
      <c r="A555" s="794" t="n">
        <v>45661</v>
      </c>
      <c r="B555" t="n">
        <v>394.7</v>
      </c>
      <c r="C555" t="n">
        <v>500.6</v>
      </c>
      <c r="D555" t="n">
        <v>19.2</v>
      </c>
      <c r="E555" t="n">
        <v>51.5</v>
      </c>
      <c r="F555" t="n">
        <v>3.1</v>
      </c>
      <c r="G555" t="n">
        <v>83.7</v>
      </c>
      <c r="H555" t="n">
        <v>7.6</v>
      </c>
      <c r="I555" t="n">
        <v>19.7</v>
      </c>
      <c r="J555" t="n">
        <v>4.6</v>
      </c>
      <c r="K555">
        <f>SUM(B555:J555)</f>
        <v/>
      </c>
    </row>
    <row r="556">
      <c r="A556" s="794" t="n">
        <v>45662</v>
      </c>
      <c r="B556" t="n">
        <v>300.5</v>
      </c>
      <c r="C556" t="n">
        <v>323.3</v>
      </c>
      <c r="D556" t="n">
        <v>26.8</v>
      </c>
      <c r="E556" t="n">
        <v>29.5</v>
      </c>
      <c r="F556" t="n">
        <v>5.4</v>
      </c>
      <c r="G556" t="n">
        <v>72.40000000000001</v>
      </c>
      <c r="H556" t="n">
        <v>1.1</v>
      </c>
      <c r="I556" t="n">
        <v>9.6</v>
      </c>
      <c r="J556" t="n">
        <v>7.6</v>
      </c>
      <c r="K556">
        <f>SUM(B556:J556)</f>
        <v/>
      </c>
    </row>
    <row r="557">
      <c r="A557" s="794" t="n">
        <v>45663</v>
      </c>
      <c r="B557" t="n">
        <v>267.9</v>
      </c>
      <c r="C557" t="n">
        <v>284.8</v>
      </c>
      <c r="D557" t="n">
        <v>12</v>
      </c>
      <c r="F557" t="n">
        <v>10.8</v>
      </c>
      <c r="H557" t="n">
        <v>8.699999999999999</v>
      </c>
      <c r="I557" t="n">
        <v>8.1</v>
      </c>
      <c r="J557" t="n">
        <v>1.4</v>
      </c>
      <c r="K557">
        <f>SUM(B557:J557)</f>
        <v/>
      </c>
    </row>
    <row r="558">
      <c r="A558" s="794" t="n">
        <v>45664</v>
      </c>
      <c r="B558" t="n">
        <v>343.2</v>
      </c>
      <c r="C558" t="n">
        <v>449.8</v>
      </c>
      <c r="D558" t="n">
        <v>14.6</v>
      </c>
      <c r="E558" t="n">
        <v>63.6</v>
      </c>
      <c r="F558" t="n">
        <v>14.7</v>
      </c>
      <c r="G558" t="n">
        <v>83.5</v>
      </c>
      <c r="H558" t="n">
        <v>10.1</v>
      </c>
      <c r="I558" t="n">
        <v>9.6</v>
      </c>
      <c r="J558" t="n">
        <v>9.699999999999999</v>
      </c>
      <c r="K558">
        <f>SUM(B558:J558)</f>
        <v/>
      </c>
    </row>
    <row r="559">
      <c r="A559" s="794" t="n">
        <v>45665</v>
      </c>
      <c r="B559" t="n">
        <v>355.4</v>
      </c>
      <c r="C559" t="n">
        <v>562.2</v>
      </c>
      <c r="D559" t="n">
        <v>6</v>
      </c>
      <c r="E559" t="n">
        <v>50.6</v>
      </c>
      <c r="F559" t="n">
        <v>5.9</v>
      </c>
      <c r="G559" t="n">
        <v>99.5</v>
      </c>
      <c r="H559" t="n">
        <v>10.9</v>
      </c>
      <c r="I559" t="n">
        <v>35.3</v>
      </c>
      <c r="J559" t="n">
        <v>4</v>
      </c>
      <c r="K559">
        <f>SUM(B559:J559)</f>
        <v/>
      </c>
    </row>
    <row r="560">
      <c r="A560" s="794" t="n">
        <v>45666</v>
      </c>
      <c r="B560" t="n">
        <v>341.9</v>
      </c>
      <c r="C560" t="n">
        <v>485.6</v>
      </c>
      <c r="D560" t="n">
        <v>2.4</v>
      </c>
      <c r="E560" t="n">
        <v>60.9</v>
      </c>
      <c r="F560" t="n">
        <v>9.5</v>
      </c>
      <c r="G560" t="n">
        <v>95.90000000000001</v>
      </c>
      <c r="H560" t="n">
        <v>9.800000000000001</v>
      </c>
      <c r="I560" t="n">
        <v>13.5</v>
      </c>
      <c r="J560" t="n">
        <v>13</v>
      </c>
      <c r="K560">
        <f>SUM(B560:J560)</f>
        <v/>
      </c>
    </row>
    <row r="561">
      <c r="A561" s="794" t="n">
        <v>45667</v>
      </c>
      <c r="B561" t="n">
        <v>418.6</v>
      </c>
      <c r="C561" t="n">
        <v>498.4</v>
      </c>
      <c r="D561" t="n">
        <v>13.8</v>
      </c>
      <c r="E561" t="n">
        <v>60</v>
      </c>
      <c r="F561" t="n">
        <v>1.1</v>
      </c>
      <c r="G561" t="n">
        <v>92.3</v>
      </c>
      <c r="H561" t="n">
        <v>11.1</v>
      </c>
      <c r="I561" t="n">
        <v>30.4</v>
      </c>
      <c r="J561" t="n">
        <v>8.6</v>
      </c>
      <c r="K561">
        <f>SUM(B561:J561)</f>
        <v/>
      </c>
    </row>
    <row r="562">
      <c r="A562" s="794" t="n">
        <v>45668</v>
      </c>
      <c r="B562" t="n">
        <v>414.9</v>
      </c>
      <c r="C562" t="n">
        <v>577.1</v>
      </c>
      <c r="D562" t="n">
        <v>7.4</v>
      </c>
      <c r="E562" t="n">
        <v>57.3</v>
      </c>
      <c r="F562" t="n">
        <v>19.8</v>
      </c>
      <c r="G562" t="n">
        <v>98.2</v>
      </c>
      <c r="H562" t="n">
        <v>11</v>
      </c>
      <c r="I562" t="n">
        <v>17.9</v>
      </c>
      <c r="J562" t="n">
        <v>5.3</v>
      </c>
      <c r="K562">
        <f>SUM(B562:J562)</f>
        <v/>
      </c>
    </row>
    <row r="563">
      <c r="A563" s="794" t="n">
        <v>45669</v>
      </c>
      <c r="B563" t="n">
        <v>375.6</v>
      </c>
      <c r="C563" t="n">
        <v>474.2</v>
      </c>
      <c r="D563" t="n">
        <v>18.8</v>
      </c>
      <c r="E563" t="n">
        <v>22.9</v>
      </c>
      <c r="F563" t="n">
        <v>5.6</v>
      </c>
      <c r="G563" t="n">
        <v>80.5</v>
      </c>
      <c r="I563" t="n">
        <v>45.8</v>
      </c>
      <c r="J563" t="n">
        <v>2.8</v>
      </c>
      <c r="K563">
        <f>SUM(B563:J563)</f>
        <v/>
      </c>
    </row>
    <row r="564">
      <c r="A564" s="794" t="n">
        <v>45670</v>
      </c>
      <c r="B564" t="n">
        <v>340.7</v>
      </c>
      <c r="C564" t="n">
        <v>162.6</v>
      </c>
      <c r="D564" t="n">
        <v>3.7</v>
      </c>
      <c r="F564" t="n">
        <v>14.8</v>
      </c>
      <c r="H564" t="n">
        <v>6</v>
      </c>
      <c r="I564" t="n">
        <v>41.1</v>
      </c>
      <c r="J564" t="n">
        <v>4.1</v>
      </c>
      <c r="K564">
        <f>SUM(B564:J564)</f>
        <v/>
      </c>
    </row>
    <row r="565">
      <c r="A565" s="794" t="n">
        <v>45671</v>
      </c>
      <c r="B565" t="n">
        <v>443.5</v>
      </c>
      <c r="C565" t="n">
        <v>629.1</v>
      </c>
      <c r="D565" t="n">
        <v>6.7</v>
      </c>
      <c r="E565" t="n">
        <v>53.8</v>
      </c>
      <c r="F565" t="n">
        <v>3.9</v>
      </c>
      <c r="G565" t="n">
        <v>95.7</v>
      </c>
      <c r="H565" t="n">
        <v>11.3</v>
      </c>
      <c r="I565" t="n">
        <v>34.2</v>
      </c>
      <c r="J565" t="n">
        <v>6.9</v>
      </c>
      <c r="K565">
        <f>SUM(B565:J565)</f>
        <v/>
      </c>
    </row>
    <row r="566">
      <c r="A566" s="794" t="n">
        <v>45672</v>
      </c>
      <c r="B566" t="n">
        <v>447.5</v>
      </c>
      <c r="C566" t="n">
        <v>526.3</v>
      </c>
      <c r="D566" t="n">
        <v>10.7</v>
      </c>
      <c r="E566" t="n">
        <v>64.2</v>
      </c>
      <c r="F566" t="n">
        <v>20.9</v>
      </c>
      <c r="G566" t="n">
        <v>102.3</v>
      </c>
      <c r="H566" t="n">
        <v>7</v>
      </c>
      <c r="I566" t="n">
        <v>29.4</v>
      </c>
      <c r="J566" t="n">
        <v>4</v>
      </c>
      <c r="K566">
        <f>SUM(B566:J566)</f>
        <v/>
      </c>
    </row>
    <row r="567">
      <c r="A567" s="794" t="n">
        <v>45673</v>
      </c>
      <c r="B567" t="n">
        <v>434.1</v>
      </c>
      <c r="C567" t="n">
        <v>502.8</v>
      </c>
      <c r="D567" t="n">
        <v>11.4</v>
      </c>
      <c r="E567" t="n">
        <v>53.8</v>
      </c>
      <c r="F567" t="n">
        <v>8.6</v>
      </c>
      <c r="G567" t="n">
        <v>100.4</v>
      </c>
      <c r="H567" t="n">
        <v>5.4</v>
      </c>
      <c r="I567" t="n">
        <v>29.4</v>
      </c>
      <c r="J567" t="n">
        <v>3.9</v>
      </c>
      <c r="K567">
        <f>SUM(B567:J567)</f>
        <v/>
      </c>
    </row>
    <row r="568">
      <c r="A568" s="794" t="n">
        <v>45674</v>
      </c>
      <c r="B568" t="n">
        <v>424.8</v>
      </c>
      <c r="C568" t="n">
        <v>514.1</v>
      </c>
      <c r="D568" t="n">
        <v>13.5</v>
      </c>
      <c r="E568" t="n">
        <v>43.6</v>
      </c>
      <c r="F568" t="n">
        <v>21.8</v>
      </c>
      <c r="G568" t="n">
        <v>101.8</v>
      </c>
      <c r="H568" t="n">
        <v>7.8</v>
      </c>
      <c r="I568" t="n">
        <v>10.3</v>
      </c>
      <c r="J568" t="n">
        <v>4.5</v>
      </c>
      <c r="K568">
        <f>SUM(B568:J568)</f>
        <v/>
      </c>
    </row>
    <row r="569">
      <c r="A569" s="794" t="n">
        <v>45675</v>
      </c>
      <c r="B569" t="n">
        <v>433.2</v>
      </c>
      <c r="C569" t="n">
        <v>454.9</v>
      </c>
      <c r="D569" t="n">
        <v>2.9</v>
      </c>
      <c r="E569" t="n">
        <v>59.8</v>
      </c>
      <c r="F569" t="n">
        <v>17.1</v>
      </c>
      <c r="G569" t="n">
        <v>91</v>
      </c>
      <c r="H569" t="n">
        <v>9.9</v>
      </c>
      <c r="I569" t="n">
        <v>28.5</v>
      </c>
      <c r="J569" t="n">
        <v>4.9</v>
      </c>
      <c r="K569">
        <f>SUM(B569:J569)</f>
        <v/>
      </c>
    </row>
    <row r="570">
      <c r="A570" s="794" t="n">
        <v>45676</v>
      </c>
      <c r="B570" t="n">
        <v>349.1</v>
      </c>
      <c r="C570" t="n">
        <v>401.2</v>
      </c>
      <c r="D570" t="n">
        <v>36.2</v>
      </c>
      <c r="E570" t="n">
        <v>16.7</v>
      </c>
      <c r="F570" t="n">
        <v>8</v>
      </c>
      <c r="G570" t="n">
        <v>90.2</v>
      </c>
      <c r="I570" t="n">
        <v>26.8</v>
      </c>
      <c r="J570" t="n">
        <v>3.2</v>
      </c>
      <c r="K570">
        <f>SUM(B570:J570)</f>
        <v/>
      </c>
    </row>
    <row r="571">
      <c r="A571" s="794" t="n">
        <v>45677</v>
      </c>
      <c r="B571" t="n">
        <v>292.3</v>
      </c>
      <c r="C571" t="n">
        <v>342.7</v>
      </c>
      <c r="D571" t="n">
        <v>3.5</v>
      </c>
      <c r="F571" t="n">
        <v>5.7</v>
      </c>
      <c r="H571" t="n">
        <v>6.7</v>
      </c>
      <c r="I571" t="n">
        <v>60.8</v>
      </c>
      <c r="J571" t="n">
        <v>3.7</v>
      </c>
      <c r="K571">
        <f>SUM(B571:J571)</f>
        <v/>
      </c>
    </row>
    <row r="572">
      <c r="A572" s="794" t="n">
        <v>45678</v>
      </c>
      <c r="B572" t="n">
        <v>435.7</v>
      </c>
      <c r="C572" t="n">
        <v>516.3</v>
      </c>
      <c r="D572" t="n">
        <v>2.7</v>
      </c>
      <c r="E572" t="n">
        <v>63</v>
      </c>
      <c r="F572" t="n">
        <v>5.5</v>
      </c>
      <c r="G572" t="n">
        <v>97.3</v>
      </c>
      <c r="H572" t="n">
        <v>8.4</v>
      </c>
      <c r="I572" t="n">
        <v>38.8</v>
      </c>
      <c r="J572" t="n">
        <v>3.8</v>
      </c>
      <c r="K572">
        <f>SUM(B572:J572)</f>
        <v/>
      </c>
    </row>
    <row r="573">
      <c r="A573" s="794" t="n">
        <v>45679</v>
      </c>
      <c r="B573" t="n">
        <v>453</v>
      </c>
      <c r="C573" t="n">
        <v>687.7</v>
      </c>
      <c r="D573" t="n">
        <v>13.4</v>
      </c>
      <c r="E573" t="n">
        <v>53.1</v>
      </c>
      <c r="F573" t="n">
        <v>2.7</v>
      </c>
      <c r="G573" t="n">
        <v>92.40000000000001</v>
      </c>
      <c r="H573" t="n">
        <v>7.3</v>
      </c>
      <c r="I573" t="n">
        <v>39.8</v>
      </c>
      <c r="J573" t="n">
        <v>4.6</v>
      </c>
      <c r="K573">
        <f>SUM(B573:J573)</f>
        <v/>
      </c>
    </row>
    <row r="574">
      <c r="A574" s="794" t="n">
        <v>45680</v>
      </c>
      <c r="B574" t="n">
        <v>479.5</v>
      </c>
      <c r="C574" t="n">
        <v>426.9</v>
      </c>
      <c r="D574" t="n">
        <v>4.8</v>
      </c>
      <c r="E574" t="n">
        <v>49.4</v>
      </c>
      <c r="F574" t="n">
        <v>25.8</v>
      </c>
      <c r="G574" t="n">
        <v>83.09999999999999</v>
      </c>
      <c r="H574" t="n">
        <v>7.3</v>
      </c>
      <c r="I574" t="n">
        <v>32.5</v>
      </c>
      <c r="J574" t="n">
        <v>2.6</v>
      </c>
      <c r="K574">
        <f>SUM(B574:J574)</f>
        <v/>
      </c>
    </row>
    <row r="575">
      <c r="A575" s="794" t="n">
        <v>45681</v>
      </c>
      <c r="B575" t="n">
        <v>393.8</v>
      </c>
      <c r="C575" t="n">
        <v>580.1</v>
      </c>
      <c r="D575" t="n">
        <v>12</v>
      </c>
      <c r="E575" t="n">
        <v>57.8</v>
      </c>
      <c r="F575" t="n">
        <v>6.7</v>
      </c>
      <c r="G575" t="n">
        <v>88.59999999999999</v>
      </c>
      <c r="H575" t="n">
        <v>9.1</v>
      </c>
      <c r="I575" t="n">
        <v>25.6</v>
      </c>
      <c r="J575" t="n">
        <v>4.6</v>
      </c>
      <c r="K575">
        <f>SUM(B575:J575)</f>
        <v/>
      </c>
    </row>
    <row r="576">
      <c r="A576" s="794" t="n">
        <v>45682</v>
      </c>
      <c r="B576" t="n">
        <v>506.8</v>
      </c>
      <c r="C576" t="n">
        <v>263.8</v>
      </c>
      <c r="D576" t="n">
        <v>8</v>
      </c>
      <c r="E576" t="n">
        <v>66.09999999999999</v>
      </c>
      <c r="F576" t="n">
        <v>14.9</v>
      </c>
      <c r="G576" t="n">
        <v>79.40000000000001</v>
      </c>
      <c r="H576" t="n">
        <v>13.5</v>
      </c>
      <c r="I576" t="n">
        <v>27.5</v>
      </c>
      <c r="J576" t="n">
        <v>5.4</v>
      </c>
      <c r="K576">
        <f>SUM(B576:J576)</f>
        <v/>
      </c>
    </row>
    <row r="577">
      <c r="A577" s="794" t="n">
        <v>45683</v>
      </c>
      <c r="B577" t="n">
        <v>422.5</v>
      </c>
      <c r="C577" t="n">
        <v>490.1</v>
      </c>
      <c r="D577" t="n">
        <v>23.3</v>
      </c>
      <c r="E577" t="n">
        <v>30.9</v>
      </c>
      <c r="F577" t="n">
        <v>1.1</v>
      </c>
      <c r="G577" t="n">
        <v>82.5</v>
      </c>
      <c r="I577" t="n">
        <v>38.4</v>
      </c>
      <c r="J577" t="n">
        <v>4.8</v>
      </c>
      <c r="K577">
        <f>SUM(B577:J577)</f>
        <v/>
      </c>
    </row>
    <row r="578">
      <c r="A578" s="794" t="n">
        <v>45684</v>
      </c>
      <c r="B578" t="n">
        <v>355.1</v>
      </c>
      <c r="C578" t="n">
        <v>223.6</v>
      </c>
      <c r="D578" t="n">
        <v>9.4</v>
      </c>
      <c r="F578" t="n">
        <v>11.2</v>
      </c>
      <c r="I578" t="n">
        <v>22.7</v>
      </c>
      <c r="J578" t="n">
        <v>6.5</v>
      </c>
      <c r="K578">
        <f>SUM(B578:J578)</f>
        <v/>
      </c>
    </row>
    <row r="579">
      <c r="A579" s="794" t="n">
        <v>45685</v>
      </c>
      <c r="B579" t="n">
        <v>320.5</v>
      </c>
      <c r="C579" t="n">
        <v>464.7</v>
      </c>
      <c r="D579" t="n">
        <v>21.3</v>
      </c>
      <c r="E579" t="n">
        <v>23.7</v>
      </c>
      <c r="F579" t="n">
        <v>14.3</v>
      </c>
      <c r="G579" t="n">
        <v>70.40000000000001</v>
      </c>
      <c r="H579" t="n">
        <v>6.9</v>
      </c>
      <c r="I579" t="n">
        <v>14.9</v>
      </c>
      <c r="J579" t="n">
        <v>6</v>
      </c>
      <c r="K579">
        <f>SUM(B579:J579)</f>
        <v/>
      </c>
    </row>
    <row r="580">
      <c r="A580" s="794" t="n">
        <v>45686</v>
      </c>
      <c r="B580" t="n">
        <v>387.4</v>
      </c>
      <c r="C580" t="n">
        <v>367.6</v>
      </c>
      <c r="D580" t="n">
        <v>68.59999999999999</v>
      </c>
      <c r="E580" t="n">
        <v>111.6</v>
      </c>
      <c r="F580" t="n">
        <v>7.4</v>
      </c>
      <c r="G580" t="n">
        <v>86.5</v>
      </c>
      <c r="H580" t="n">
        <v>5.5</v>
      </c>
      <c r="I580" t="n">
        <v>40.8</v>
      </c>
      <c r="J580" t="n">
        <v>5.7</v>
      </c>
      <c r="K580">
        <f>SUM(B580:J580)</f>
        <v/>
      </c>
    </row>
    <row r="581">
      <c r="A581" s="794" t="n">
        <v>45687</v>
      </c>
      <c r="B581" t="n">
        <v>103.2</v>
      </c>
      <c r="I581" t="n">
        <v>19</v>
      </c>
      <c r="J581" t="n">
        <v>1.7</v>
      </c>
      <c r="K581">
        <f>SUM(B581:J581)</f>
        <v/>
      </c>
    </row>
    <row r="582">
      <c r="A582" s="794" t="n">
        <v>45688</v>
      </c>
      <c r="B582" t="n">
        <v>145.1</v>
      </c>
      <c r="C582" t="n">
        <v>70</v>
      </c>
      <c r="D582" t="n">
        <v>7.8</v>
      </c>
      <c r="I582" t="n">
        <v>20.8</v>
      </c>
      <c r="J582" t="n">
        <v>0.7</v>
      </c>
      <c r="K582">
        <f>SUM(B582:J582)</f>
        <v/>
      </c>
    </row>
    <row r="583">
      <c r="A583" s="794" t="n">
        <v>45689</v>
      </c>
      <c r="B583" t="n">
        <v>181.6</v>
      </c>
      <c r="C583" t="n">
        <v>10.9</v>
      </c>
      <c r="D583" t="n">
        <v>18.5</v>
      </c>
      <c r="I583" t="n">
        <v>3.8</v>
      </c>
      <c r="J583" t="n">
        <v>3.7</v>
      </c>
      <c r="K583">
        <f>SUM(B583:J583)</f>
        <v/>
      </c>
    </row>
    <row r="584">
      <c r="A584" s="794" t="n">
        <v>45690</v>
      </c>
      <c r="B584" t="n">
        <v>322.7</v>
      </c>
      <c r="C584" t="n">
        <v>227.4</v>
      </c>
      <c r="D584" t="n">
        <v>20.8</v>
      </c>
      <c r="E584" t="n">
        <v>23.6</v>
      </c>
      <c r="F584" t="n">
        <v>24.7</v>
      </c>
      <c r="G584" t="n">
        <v>15.6</v>
      </c>
      <c r="I584" t="n">
        <v>17.3</v>
      </c>
      <c r="J584" t="n">
        <v>8</v>
      </c>
      <c r="K584">
        <f>SUM(B584:J584)</f>
        <v/>
      </c>
    </row>
    <row r="585">
      <c r="A585" s="794" t="n">
        <v>45691</v>
      </c>
      <c r="B585" t="n">
        <v>295.7</v>
      </c>
      <c r="C585" t="n">
        <v>154.9</v>
      </c>
      <c r="D585" t="n">
        <v>38.5</v>
      </c>
      <c r="F585" t="n">
        <v>11.3</v>
      </c>
      <c r="H585" t="n">
        <v>17</v>
      </c>
      <c r="J585" t="n">
        <v>4.9</v>
      </c>
      <c r="K585">
        <f>SUM(B585:J585)</f>
        <v/>
      </c>
    </row>
    <row r="586">
      <c r="A586" s="794" t="n">
        <v>45692</v>
      </c>
      <c r="B586" t="n">
        <v>490.6</v>
      </c>
      <c r="C586" t="n">
        <v>773.1</v>
      </c>
      <c r="D586" t="n">
        <v>11</v>
      </c>
      <c r="E586" t="n">
        <v>94.8</v>
      </c>
      <c r="F586" t="n">
        <v>8.300000000000001</v>
      </c>
      <c r="G586" t="n">
        <v>135.1</v>
      </c>
      <c r="H586" t="n">
        <v>19.2</v>
      </c>
      <c r="I586" t="n">
        <v>22.7</v>
      </c>
      <c r="J586" t="n">
        <v>7</v>
      </c>
      <c r="K586">
        <f>SUM(B586:J586)</f>
        <v/>
      </c>
    </row>
    <row r="587">
      <c r="A587" s="794" t="n">
        <v>45693</v>
      </c>
      <c r="B587" t="n">
        <v>447</v>
      </c>
      <c r="C587" t="n">
        <v>702.9</v>
      </c>
      <c r="D587" t="n">
        <v>2.7</v>
      </c>
      <c r="E587" t="n">
        <v>100.9</v>
      </c>
      <c r="F587" t="n">
        <v>17.5</v>
      </c>
      <c r="G587" t="n">
        <v>118.2</v>
      </c>
      <c r="H587" t="n">
        <v>20.1</v>
      </c>
      <c r="I587" t="n">
        <v>33.4</v>
      </c>
      <c r="J587" t="n">
        <v>5.9</v>
      </c>
      <c r="K587">
        <f>SUM(B587:J587)</f>
        <v/>
      </c>
    </row>
    <row r="588">
      <c r="A588" s="794" t="n">
        <v>45694</v>
      </c>
      <c r="B588" t="n">
        <v>511.5</v>
      </c>
      <c r="C588" t="n">
        <v>674.8</v>
      </c>
      <c r="D588" t="n">
        <v>7.1</v>
      </c>
      <c r="E588" t="n">
        <v>108.4</v>
      </c>
      <c r="F588" t="n">
        <v>3.1</v>
      </c>
      <c r="G588" t="n">
        <v>120.1</v>
      </c>
      <c r="H588" t="n">
        <v>25.4</v>
      </c>
      <c r="I588" t="n">
        <v>52.2</v>
      </c>
      <c r="J588" t="n">
        <v>6.2</v>
      </c>
      <c r="K588">
        <f>SUM(B588:J588)</f>
        <v/>
      </c>
    </row>
    <row r="589">
      <c r="A589" s="794" t="n">
        <v>45695</v>
      </c>
      <c r="B589" t="n">
        <v>549.9</v>
      </c>
      <c r="C589" t="n">
        <v>779</v>
      </c>
      <c r="D589" t="n">
        <v>3</v>
      </c>
      <c r="E589" t="n">
        <v>90.3</v>
      </c>
      <c r="F589" t="n">
        <v>11.1</v>
      </c>
      <c r="G589" t="n">
        <v>140.6</v>
      </c>
      <c r="H589" t="n">
        <v>27.6</v>
      </c>
      <c r="I589" t="n">
        <v>25.3</v>
      </c>
      <c r="J589" t="n">
        <v>14.2</v>
      </c>
      <c r="K589">
        <f>SUM(B589:J589)</f>
        <v/>
      </c>
    </row>
    <row r="590">
      <c r="A590" s="794" t="n">
        <v>45696</v>
      </c>
      <c r="B590" t="n">
        <v>650.2</v>
      </c>
      <c r="C590" t="n">
        <v>630.8</v>
      </c>
      <c r="D590" t="n">
        <v>1.3</v>
      </c>
      <c r="E590" t="n">
        <v>54.1</v>
      </c>
      <c r="F590" t="n">
        <v>29</v>
      </c>
      <c r="G590" t="n">
        <v>131.1</v>
      </c>
      <c r="H590" t="n">
        <v>15.1</v>
      </c>
      <c r="I590" t="n">
        <v>28.7</v>
      </c>
      <c r="J590" t="n">
        <v>11.3</v>
      </c>
      <c r="K590">
        <f>SUM(B590:J590)</f>
        <v/>
      </c>
    </row>
    <row r="591">
      <c r="A591" s="794" t="n">
        <v>45697</v>
      </c>
      <c r="B591" t="n">
        <v>506.5</v>
      </c>
      <c r="C591" t="n">
        <v>453.4</v>
      </c>
      <c r="D591" t="n">
        <v>4.7</v>
      </c>
      <c r="E591" t="n">
        <v>22.5</v>
      </c>
      <c r="F591" t="n">
        <v>19.3</v>
      </c>
      <c r="G591" t="n">
        <v>100.9</v>
      </c>
      <c r="I591" t="n">
        <v>28.5</v>
      </c>
      <c r="J591" t="n">
        <v>3.8</v>
      </c>
      <c r="K591">
        <f>SUM(B591:J591)</f>
        <v/>
      </c>
    </row>
    <row r="592">
      <c r="A592" s="794" t="n">
        <v>45698</v>
      </c>
      <c r="B592" t="n">
        <v>388.7</v>
      </c>
      <c r="C592" t="n">
        <v>430.4</v>
      </c>
      <c r="D592" t="n">
        <v>15</v>
      </c>
      <c r="F592" t="n">
        <v>23.3</v>
      </c>
      <c r="H592" t="n">
        <v>11</v>
      </c>
      <c r="I592" t="n">
        <v>48.9</v>
      </c>
      <c r="J592" t="n">
        <v>3.7</v>
      </c>
      <c r="K592">
        <f>SUM(B592:J592)</f>
        <v/>
      </c>
    </row>
    <row r="593">
      <c r="A593" s="794" t="n">
        <v>45699</v>
      </c>
      <c r="B593" t="n">
        <v>638</v>
      </c>
      <c r="C593" t="n">
        <v>809.4</v>
      </c>
      <c r="D593" t="n">
        <v>10.6</v>
      </c>
      <c r="E593" t="n">
        <v>107.9</v>
      </c>
      <c r="F593" t="n">
        <v>7.1</v>
      </c>
      <c r="G593" t="n">
        <v>148.2</v>
      </c>
      <c r="H593" t="n">
        <v>25.8</v>
      </c>
      <c r="I593" t="n">
        <v>27.6</v>
      </c>
      <c r="J593" t="n">
        <v>11.9</v>
      </c>
      <c r="K593">
        <f>SUM(B593:J593)</f>
        <v/>
      </c>
    </row>
    <row r="594">
      <c r="A594" s="794" t="n">
        <v>45700</v>
      </c>
      <c r="B594" t="n">
        <v>530</v>
      </c>
      <c r="C594" t="n">
        <v>712</v>
      </c>
      <c r="D594" t="n">
        <v>11.5</v>
      </c>
      <c r="E594" t="n">
        <v>131.8</v>
      </c>
      <c r="F594" t="n">
        <v>45.5</v>
      </c>
      <c r="G594" t="n">
        <v>162.6</v>
      </c>
      <c r="H594" t="n">
        <v>27.9</v>
      </c>
      <c r="I594" t="n">
        <v>53.4</v>
      </c>
      <c r="J594" t="n">
        <v>3.5</v>
      </c>
      <c r="K594">
        <f>SUM(B594:J594)</f>
        <v/>
      </c>
    </row>
    <row r="595">
      <c r="A595" s="794" t="n">
        <v>45701</v>
      </c>
      <c r="B595" t="n">
        <v>662</v>
      </c>
      <c r="C595" t="n">
        <v>756.3</v>
      </c>
      <c r="D595" t="n">
        <v>16</v>
      </c>
      <c r="E595" t="n">
        <v>106.1</v>
      </c>
      <c r="F595" t="n">
        <v>17.8</v>
      </c>
      <c r="G595" t="n">
        <v>131.3</v>
      </c>
      <c r="H595" t="n">
        <v>21.3</v>
      </c>
      <c r="I595" t="n">
        <v>39.7</v>
      </c>
      <c r="J595" t="n">
        <v>3.9</v>
      </c>
      <c r="K595">
        <f>SUM(B595:J595)</f>
        <v/>
      </c>
    </row>
    <row r="596">
      <c r="A596" s="794" t="n">
        <v>45702</v>
      </c>
      <c r="B596" t="n">
        <v>629.4</v>
      </c>
      <c r="C596" t="n">
        <v>859.3</v>
      </c>
      <c r="D596" t="n">
        <v>11.9</v>
      </c>
      <c r="E596" t="n">
        <v>116.5</v>
      </c>
      <c r="F596" t="n">
        <v>26.8</v>
      </c>
      <c r="G596" t="n">
        <v>153.1</v>
      </c>
      <c r="H596" t="n">
        <v>26.8</v>
      </c>
      <c r="I596" t="n">
        <v>28.8</v>
      </c>
      <c r="J596" t="n">
        <v>3.9</v>
      </c>
      <c r="K596">
        <f>SUM(B596:J596)</f>
        <v/>
      </c>
    </row>
    <row r="597">
      <c r="A597" s="794" t="n">
        <v>45703</v>
      </c>
      <c r="B597" t="n">
        <v>523.2</v>
      </c>
      <c r="C597" t="n">
        <v>690.8</v>
      </c>
      <c r="D597" t="n">
        <v>4.8</v>
      </c>
      <c r="E597" t="n">
        <v>101.6</v>
      </c>
      <c r="F597" t="n">
        <v>42.9</v>
      </c>
      <c r="G597" t="n">
        <v>134.7</v>
      </c>
      <c r="H597" t="n">
        <v>11.7</v>
      </c>
      <c r="I597" t="n">
        <v>36.2</v>
      </c>
      <c r="J597" t="n">
        <v>4.7</v>
      </c>
      <c r="K597">
        <f>SUM(B597:J597)</f>
        <v/>
      </c>
    </row>
    <row r="598">
      <c r="A598" s="794" t="n">
        <v>45704</v>
      </c>
      <c r="B598" t="n">
        <v>369.8</v>
      </c>
      <c r="C598" t="n">
        <v>429.6</v>
      </c>
      <c r="D598" t="n">
        <v>27.3</v>
      </c>
      <c r="E598" t="n">
        <v>11.8</v>
      </c>
      <c r="F598" t="n">
        <v>16.6</v>
      </c>
      <c r="G598" t="n">
        <v>112.4</v>
      </c>
      <c r="H598" t="n">
        <v>6.2</v>
      </c>
      <c r="I598" t="n">
        <v>15.6</v>
      </c>
      <c r="J598" t="n">
        <v>12.8</v>
      </c>
      <c r="K598">
        <f>SUM(B598:J598)</f>
        <v/>
      </c>
    </row>
    <row r="599">
      <c r="A599" s="794" t="n">
        <v>45705</v>
      </c>
      <c r="B599" t="n">
        <v>428.8</v>
      </c>
      <c r="C599" t="n">
        <v>434.2</v>
      </c>
      <c r="D599" t="n">
        <v>17.3</v>
      </c>
      <c r="F599" t="n">
        <v>14.2</v>
      </c>
      <c r="H599" t="n">
        <v>20.1</v>
      </c>
      <c r="I599" t="n">
        <v>24.4</v>
      </c>
      <c r="J599" t="n">
        <v>10.4</v>
      </c>
      <c r="K599">
        <f>SUM(B599:J599)</f>
        <v/>
      </c>
    </row>
    <row r="600">
      <c r="A600" s="794" t="n">
        <v>45706</v>
      </c>
      <c r="B600" t="n">
        <v>666.5</v>
      </c>
      <c r="C600" t="n">
        <v>725.4</v>
      </c>
      <c r="D600" t="n">
        <v>3.5</v>
      </c>
      <c r="E600" t="n">
        <v>110.7</v>
      </c>
      <c r="F600" t="n">
        <v>9.300000000000001</v>
      </c>
      <c r="G600" t="n">
        <v>166.4</v>
      </c>
      <c r="H600" t="n">
        <v>24.1</v>
      </c>
      <c r="I600" t="n">
        <v>37.8</v>
      </c>
      <c r="J600" t="n">
        <v>11.8</v>
      </c>
      <c r="K600">
        <f>SUM(B600:J600)</f>
        <v/>
      </c>
    </row>
    <row r="601">
      <c r="A601" s="794" t="n">
        <v>45707</v>
      </c>
      <c r="B601" t="n">
        <v>604.7</v>
      </c>
      <c r="C601" t="n">
        <v>737.2</v>
      </c>
      <c r="D601" t="n">
        <v>2.1</v>
      </c>
      <c r="E601" t="n">
        <v>142.3</v>
      </c>
      <c r="F601" t="n">
        <v>20.9</v>
      </c>
      <c r="G601" t="n">
        <v>165.7</v>
      </c>
      <c r="H601" t="n">
        <v>27.6</v>
      </c>
      <c r="I601" t="n">
        <v>36.6</v>
      </c>
      <c r="J601" t="n">
        <v>9.199999999999999</v>
      </c>
      <c r="K601">
        <f>SUM(B601:J601)</f>
        <v/>
      </c>
    </row>
    <row r="602">
      <c r="A602" s="794" t="n">
        <v>45708</v>
      </c>
      <c r="B602" t="n">
        <v>564.9</v>
      </c>
      <c r="C602" t="n">
        <v>833</v>
      </c>
      <c r="D602" t="n">
        <v>4.9</v>
      </c>
      <c r="E602" t="n">
        <v>120.9</v>
      </c>
      <c r="F602" t="n">
        <v>3.5</v>
      </c>
      <c r="G602" t="n">
        <v>154.1</v>
      </c>
      <c r="H602" t="n">
        <v>23.4</v>
      </c>
      <c r="I602" t="n">
        <v>38.1</v>
      </c>
      <c r="J602" t="n">
        <v>4.6</v>
      </c>
      <c r="K602">
        <f>SUM(B602:J602)</f>
        <v/>
      </c>
    </row>
    <row r="603">
      <c r="A603" s="794" t="n">
        <v>45709</v>
      </c>
      <c r="B603" t="n">
        <v>578.9</v>
      </c>
      <c r="C603" t="n">
        <v>810.2</v>
      </c>
      <c r="D603" t="n">
        <v>12.4</v>
      </c>
      <c r="E603" t="n">
        <v>128.9</v>
      </c>
      <c r="F603" t="n">
        <v>14.6</v>
      </c>
      <c r="G603" t="n">
        <v>146.5</v>
      </c>
      <c r="H603" t="n">
        <v>27.4</v>
      </c>
      <c r="I603" t="n">
        <v>27.4</v>
      </c>
      <c r="J603" t="n">
        <v>3</v>
      </c>
      <c r="K603">
        <f>SUM(B603:J603)</f>
        <v/>
      </c>
    </row>
    <row r="604">
      <c r="A604" s="794" t="n">
        <v>45710</v>
      </c>
      <c r="B604" t="n">
        <v>577.7</v>
      </c>
      <c r="C604" t="n">
        <v>624.2</v>
      </c>
      <c r="D604" t="n">
        <v>2.7</v>
      </c>
      <c r="E604" t="n">
        <v>120.8</v>
      </c>
      <c r="F604" t="n">
        <v>44.7</v>
      </c>
      <c r="G604" t="n">
        <v>154.4</v>
      </c>
      <c r="H604" t="n">
        <v>15.2</v>
      </c>
      <c r="I604" t="n">
        <v>34.7</v>
      </c>
      <c r="J604" t="n">
        <v>4.2</v>
      </c>
      <c r="K604">
        <f>SUM(B604:J604)</f>
        <v/>
      </c>
    </row>
    <row r="605">
      <c r="A605" s="794" t="n">
        <v>45711</v>
      </c>
      <c r="B605" t="n">
        <v>436.9</v>
      </c>
      <c r="C605" t="n">
        <v>510.9</v>
      </c>
      <c r="D605" t="n">
        <v>9.1</v>
      </c>
      <c r="E605" t="n">
        <v>26.2</v>
      </c>
      <c r="F605" t="n">
        <v>19.1</v>
      </c>
      <c r="G605" t="n">
        <v>108.2</v>
      </c>
      <c r="H605" t="n">
        <v>6</v>
      </c>
      <c r="I605" t="n">
        <v>15.7</v>
      </c>
      <c r="J605" t="n">
        <v>4</v>
      </c>
      <c r="K605">
        <f>SUM(B605:J605)</f>
        <v/>
      </c>
    </row>
    <row r="606">
      <c r="A606" s="794" t="n">
        <v>45712</v>
      </c>
      <c r="B606" t="n">
        <v>439</v>
      </c>
      <c r="C606" t="n">
        <v>471.9</v>
      </c>
      <c r="D606" t="n">
        <v>3.1</v>
      </c>
      <c r="F606" t="n">
        <v>8.699999999999999</v>
      </c>
      <c r="H606" t="n">
        <v>21.2</v>
      </c>
      <c r="I606" t="n">
        <v>45.8</v>
      </c>
      <c r="J606" t="n">
        <v>10.4</v>
      </c>
      <c r="K606">
        <f>SUM(B606:J606)</f>
        <v/>
      </c>
    </row>
    <row r="607">
      <c r="A607" s="794" t="n">
        <v>45713</v>
      </c>
      <c r="B607" t="n">
        <v>585.9</v>
      </c>
      <c r="C607" t="n">
        <v>808.3</v>
      </c>
      <c r="D607" t="n">
        <v>11.7</v>
      </c>
      <c r="E607" t="n">
        <v>130.9</v>
      </c>
      <c r="F607" t="n">
        <v>39.2</v>
      </c>
      <c r="G607" t="n">
        <v>160.8</v>
      </c>
      <c r="H607" t="n">
        <v>34.1</v>
      </c>
      <c r="I607" t="n">
        <v>18.6</v>
      </c>
      <c r="J607" t="n">
        <v>10.1</v>
      </c>
      <c r="K607">
        <f>SUM(B607:J607)</f>
        <v/>
      </c>
    </row>
    <row r="608">
      <c r="A608" s="794" t="n">
        <v>45714</v>
      </c>
      <c r="B608" t="n">
        <v>570</v>
      </c>
      <c r="C608" t="n">
        <v>811.1</v>
      </c>
      <c r="D608" t="n">
        <v>5.9</v>
      </c>
      <c r="E608" t="n">
        <v>108.5</v>
      </c>
      <c r="F608" t="n">
        <v>22.8</v>
      </c>
      <c r="G608" t="n">
        <v>152.9</v>
      </c>
      <c r="H608" t="n">
        <v>27</v>
      </c>
      <c r="I608" t="n">
        <v>15.4</v>
      </c>
      <c r="J608" t="n">
        <v>6.3</v>
      </c>
      <c r="K608">
        <f>SUM(B608:J608)</f>
        <v/>
      </c>
    </row>
    <row r="609">
      <c r="A609" s="794" t="n">
        <v>45715</v>
      </c>
      <c r="B609" t="n">
        <v>610.6</v>
      </c>
      <c r="C609" t="n">
        <v>840.8</v>
      </c>
      <c r="D609" t="n">
        <v>7.7</v>
      </c>
      <c r="E609" t="n">
        <v>121.2</v>
      </c>
      <c r="F609" t="n">
        <v>5.9</v>
      </c>
      <c r="G609" t="n">
        <v>162.6</v>
      </c>
      <c r="H609" t="n">
        <v>23.1</v>
      </c>
      <c r="I609" t="n">
        <v>36.4</v>
      </c>
      <c r="J609" t="n">
        <v>2.9</v>
      </c>
      <c r="K609">
        <f>SUM(B609:J609)</f>
        <v/>
      </c>
    </row>
    <row r="610">
      <c r="A610" s="794" t="n">
        <v>45716</v>
      </c>
      <c r="B610" t="n">
        <v>531</v>
      </c>
      <c r="C610" t="n">
        <v>661.8</v>
      </c>
      <c r="D610" t="n">
        <v>5.9</v>
      </c>
      <c r="E610" t="n">
        <v>119.4</v>
      </c>
      <c r="F610" t="n">
        <v>14.1</v>
      </c>
      <c r="G610" t="n">
        <v>153.1</v>
      </c>
      <c r="H610" t="n">
        <v>29.6</v>
      </c>
      <c r="I610" t="n">
        <v>27.9</v>
      </c>
      <c r="J610" t="n">
        <v>5.3</v>
      </c>
      <c r="K610">
        <f>SUM(B610:J610)</f>
        <v/>
      </c>
    </row>
    <row r="611">
      <c r="A611" s="794" t="n">
        <v>45717</v>
      </c>
      <c r="B611" t="n">
        <v>563.8</v>
      </c>
      <c r="C611" t="n">
        <v>880.5</v>
      </c>
      <c r="D611" t="n">
        <v>4.7</v>
      </c>
      <c r="E611" t="n">
        <v>128.2</v>
      </c>
      <c r="F611" t="n">
        <v>6</v>
      </c>
      <c r="G611" t="n">
        <v>152.8</v>
      </c>
      <c r="H611" t="n">
        <v>20.3</v>
      </c>
      <c r="I611" t="n">
        <v>20.1</v>
      </c>
      <c r="J611" t="n">
        <v>3.3</v>
      </c>
      <c r="K611">
        <f>SUM(B611:J611)</f>
        <v/>
      </c>
    </row>
    <row r="612">
      <c r="A612" s="794" t="n">
        <v>45718</v>
      </c>
      <c r="B612" t="n">
        <v>475</v>
      </c>
      <c r="C612" t="n">
        <v>310.9</v>
      </c>
      <c r="D612" t="n">
        <v>9.199999999999999</v>
      </c>
      <c r="E612" t="n">
        <v>27.5</v>
      </c>
      <c r="F612" t="n">
        <v>9.300000000000001</v>
      </c>
      <c r="G612" t="n">
        <v>114.7</v>
      </c>
      <c r="H612" t="n">
        <v>4.2</v>
      </c>
      <c r="I612" t="n">
        <v>13</v>
      </c>
      <c r="J612" t="n">
        <v>5.5</v>
      </c>
      <c r="K612">
        <f>SUM(B612:J612)</f>
        <v/>
      </c>
    </row>
    <row r="613">
      <c r="A613" s="794" t="n">
        <v>45719</v>
      </c>
      <c r="B613" t="n">
        <v>392.5</v>
      </c>
      <c r="C613" t="n">
        <v>414.7</v>
      </c>
      <c r="D613" t="n">
        <v>2.8</v>
      </c>
      <c r="F613" t="n">
        <v>32.5</v>
      </c>
      <c r="H613" t="n">
        <v>16.1</v>
      </c>
      <c r="I613" t="n">
        <v>9.199999999999999</v>
      </c>
      <c r="J613" t="n">
        <v>0.9</v>
      </c>
      <c r="K613">
        <f>SUM(B613:J613)</f>
        <v/>
      </c>
    </row>
    <row r="614">
      <c r="A614" s="794" t="n">
        <v>45720</v>
      </c>
      <c r="B614" t="n">
        <v>627.6</v>
      </c>
      <c r="C614" t="n">
        <v>769.8</v>
      </c>
      <c r="D614" t="n">
        <v>7.3</v>
      </c>
      <c r="E614" t="n">
        <v>126.2</v>
      </c>
      <c r="F614" t="n">
        <v>6.5</v>
      </c>
      <c r="G614" t="n">
        <v>151.9</v>
      </c>
      <c r="H614" t="n">
        <v>28.8</v>
      </c>
      <c r="I614" t="n">
        <v>14.7</v>
      </c>
      <c r="J614" t="n">
        <v>7.3</v>
      </c>
      <c r="K614">
        <f>SUM(B614:J614)</f>
        <v/>
      </c>
    </row>
    <row r="615">
      <c r="A615" s="794" t="n">
        <v>45721</v>
      </c>
      <c r="B615" t="n">
        <v>562.2</v>
      </c>
      <c r="C615" t="n">
        <v>678.6</v>
      </c>
      <c r="D615" t="n">
        <v>4.7</v>
      </c>
      <c r="E615" t="n">
        <v>149.6</v>
      </c>
      <c r="F615" t="n">
        <v>22.4</v>
      </c>
      <c r="G615" t="n">
        <v>156.7</v>
      </c>
      <c r="H615" t="n">
        <v>37.9</v>
      </c>
      <c r="I615" t="n">
        <v>36.2</v>
      </c>
      <c r="J615" t="n">
        <v>4.7</v>
      </c>
      <c r="K615">
        <f>SUM(B615:J615)</f>
        <v/>
      </c>
    </row>
    <row r="616">
      <c r="A616" s="794" t="n">
        <v>45722</v>
      </c>
      <c r="B616" t="n">
        <v>566.1</v>
      </c>
      <c r="C616" t="n">
        <v>867.9</v>
      </c>
      <c r="D616" t="n">
        <v>5.1</v>
      </c>
      <c r="E616" t="n">
        <v>132.1</v>
      </c>
      <c r="F616" t="n">
        <v>32.8</v>
      </c>
      <c r="G616" t="n">
        <v>166.7</v>
      </c>
      <c r="H616" t="n">
        <v>29.2</v>
      </c>
      <c r="I616" t="n">
        <v>23.3</v>
      </c>
      <c r="J616" t="n">
        <v>6.2</v>
      </c>
      <c r="K616">
        <f>SUM(B616:J616)</f>
        <v/>
      </c>
    </row>
    <row r="617">
      <c r="A617" s="794" t="n">
        <v>45723</v>
      </c>
      <c r="B617" t="n">
        <v>564.3</v>
      </c>
      <c r="C617" t="n">
        <v>784.7</v>
      </c>
      <c r="D617" t="n">
        <v>6.6</v>
      </c>
      <c r="E617" t="n">
        <v>137.5</v>
      </c>
      <c r="F617" t="n">
        <v>8.4</v>
      </c>
      <c r="G617" t="n">
        <v>151.6</v>
      </c>
      <c r="H617" t="n">
        <v>23.5</v>
      </c>
      <c r="I617" t="n">
        <v>25.2</v>
      </c>
      <c r="J617" t="n">
        <v>5.5</v>
      </c>
      <c r="K617">
        <f>SUM(B617:J617)</f>
        <v/>
      </c>
    </row>
    <row r="618">
      <c r="A618" s="794" t="n">
        <v>45724</v>
      </c>
      <c r="B618" t="n">
        <v>531.6</v>
      </c>
      <c r="C618" t="n">
        <v>714.9</v>
      </c>
      <c r="D618" t="n">
        <v>2.8</v>
      </c>
      <c r="E618" t="n">
        <v>142.7</v>
      </c>
      <c r="F618" t="n">
        <v>7.9</v>
      </c>
      <c r="G618" t="n">
        <v>156.5</v>
      </c>
      <c r="H618" t="n">
        <v>17.9</v>
      </c>
      <c r="I618" t="n">
        <v>25.4</v>
      </c>
      <c r="J618" t="n">
        <v>7.6</v>
      </c>
      <c r="K618">
        <f>SUM(B618:J618)</f>
        <v/>
      </c>
    </row>
    <row r="619">
      <c r="A619" s="794" t="n">
        <v>45725</v>
      </c>
      <c r="B619" t="n">
        <v>398.2</v>
      </c>
      <c r="C619" t="n">
        <v>440.2</v>
      </c>
      <c r="D619" t="n">
        <v>9.4</v>
      </c>
      <c r="E619" t="n">
        <v>57.7</v>
      </c>
      <c r="F619" t="n">
        <v>23.8</v>
      </c>
      <c r="G619" t="n">
        <v>137.6</v>
      </c>
      <c r="H619" t="n">
        <v>14.1</v>
      </c>
      <c r="I619" t="n">
        <v>44.7</v>
      </c>
      <c r="J619" t="n">
        <v>7.8</v>
      </c>
      <c r="K619">
        <f>SUM(B619:J619)</f>
        <v/>
      </c>
    </row>
    <row r="620">
      <c r="A620" s="794" t="n">
        <v>45726</v>
      </c>
      <c r="B620" t="n">
        <v>419</v>
      </c>
      <c r="C620" t="n">
        <v>458.4</v>
      </c>
      <c r="D620" t="n">
        <v>14.3</v>
      </c>
      <c r="F620" t="n">
        <v>15.7</v>
      </c>
      <c r="H620" t="n">
        <v>18.6</v>
      </c>
      <c r="I620" t="n">
        <v>29.1</v>
      </c>
      <c r="J620" t="n">
        <v>2.1</v>
      </c>
      <c r="K620">
        <f>SUM(B620:J620)</f>
        <v/>
      </c>
    </row>
    <row r="621">
      <c r="A621" s="794" t="n">
        <v>45727</v>
      </c>
      <c r="B621" t="n">
        <v>566.8</v>
      </c>
      <c r="C621" t="n">
        <v>839.2</v>
      </c>
      <c r="D621" t="n">
        <v>4.9</v>
      </c>
      <c r="E621" t="n">
        <v>117.8</v>
      </c>
      <c r="F621" t="n">
        <v>15.5</v>
      </c>
      <c r="G621" t="n">
        <v>166.8</v>
      </c>
      <c r="H621" t="n">
        <v>35</v>
      </c>
      <c r="I621" t="n">
        <v>27.6</v>
      </c>
      <c r="J621" t="n">
        <v>8.1</v>
      </c>
      <c r="K621">
        <f>SUM(B621:J621)</f>
        <v/>
      </c>
    </row>
    <row r="622">
      <c r="A622" s="794" t="n">
        <v>45728</v>
      </c>
      <c r="B622" t="n">
        <v>591.4</v>
      </c>
      <c r="C622" t="n">
        <v>917.9</v>
      </c>
      <c r="D622" t="n">
        <v>3.1</v>
      </c>
      <c r="E622" t="n">
        <v>143</v>
      </c>
      <c r="F622" t="n">
        <v>29.4</v>
      </c>
      <c r="G622" t="n">
        <v>156.7</v>
      </c>
      <c r="H622" t="n">
        <v>25.2</v>
      </c>
      <c r="I622" t="n">
        <v>28.3</v>
      </c>
      <c r="J622" t="n">
        <v>6.7</v>
      </c>
      <c r="K622">
        <f>SUM(B622:J622)</f>
        <v/>
      </c>
    </row>
    <row r="623">
      <c r="A623" s="794" t="n">
        <v>45729</v>
      </c>
      <c r="B623" t="n">
        <v>630.7</v>
      </c>
      <c r="C623" t="n">
        <v>720.8</v>
      </c>
      <c r="D623" t="n">
        <v>7.4</v>
      </c>
      <c r="E623" t="n">
        <v>135.3</v>
      </c>
      <c r="F623" t="n">
        <v>21</v>
      </c>
      <c r="G623" t="n">
        <v>155.9</v>
      </c>
      <c r="H623" t="n">
        <v>27.6</v>
      </c>
      <c r="I623" t="n">
        <v>11.6</v>
      </c>
      <c r="J623" t="n">
        <v>3.6</v>
      </c>
      <c r="K623">
        <f>SUM(B623:J623)</f>
        <v/>
      </c>
    </row>
    <row r="624">
      <c r="A624" s="794" t="n">
        <v>45730</v>
      </c>
      <c r="B624" t="n">
        <v>630.7</v>
      </c>
      <c r="C624" t="n">
        <v>786.1</v>
      </c>
      <c r="D624" t="n">
        <v>4.4</v>
      </c>
      <c r="E624" t="n">
        <v>141.1</v>
      </c>
      <c r="F624" t="n">
        <v>3.3</v>
      </c>
      <c r="G624" t="n">
        <v>147.5</v>
      </c>
      <c r="H624" t="n">
        <v>28.2</v>
      </c>
      <c r="I624" t="n">
        <v>28.7</v>
      </c>
      <c r="J624" t="n">
        <v>3.4</v>
      </c>
      <c r="K624">
        <f>SUM(B624:J624)</f>
        <v/>
      </c>
    </row>
    <row r="625">
      <c r="A625" s="794" t="n">
        <v>45731</v>
      </c>
      <c r="B625" t="n">
        <v>566.1</v>
      </c>
      <c r="C625" t="n">
        <v>728.6</v>
      </c>
      <c r="D625" t="n">
        <v>3.7</v>
      </c>
      <c r="E625" t="n">
        <v>142</v>
      </c>
      <c r="F625" t="n">
        <v>23.6</v>
      </c>
      <c r="G625" t="n">
        <v>151.9</v>
      </c>
      <c r="H625" t="n">
        <v>22.4</v>
      </c>
      <c r="I625" t="n">
        <v>64.40000000000001</v>
      </c>
      <c r="J625" t="n">
        <v>7.9</v>
      </c>
      <c r="K625">
        <f>SUM(B625:J625)</f>
        <v/>
      </c>
    </row>
    <row r="626">
      <c r="A626" s="794" t="n">
        <v>45732</v>
      </c>
      <c r="B626" t="n">
        <v>454.4</v>
      </c>
      <c r="C626" t="n">
        <v>471.5</v>
      </c>
      <c r="D626" t="n">
        <v>4.5</v>
      </c>
      <c r="E626" t="n">
        <v>38.9</v>
      </c>
      <c r="F626" t="n">
        <v>10.9</v>
      </c>
      <c r="G626" t="n">
        <v>122.3</v>
      </c>
      <c r="H626" t="n">
        <v>3.9</v>
      </c>
      <c r="I626" t="n">
        <v>47.3</v>
      </c>
      <c r="J626" t="n">
        <v>6.4</v>
      </c>
      <c r="K626">
        <f>SUM(B626:J626)</f>
        <v/>
      </c>
    </row>
    <row r="627">
      <c r="A627" s="794" t="n">
        <v>45733</v>
      </c>
      <c r="B627" t="n">
        <v>408.6</v>
      </c>
      <c r="C627" t="n">
        <v>376.3</v>
      </c>
      <c r="D627" t="n">
        <v>4.2</v>
      </c>
      <c r="F627" t="n">
        <v>11.5</v>
      </c>
      <c r="H627" t="n">
        <v>20.3</v>
      </c>
      <c r="I627" t="n">
        <v>19</v>
      </c>
      <c r="J627" t="n">
        <v>9.300000000000001</v>
      </c>
      <c r="K627">
        <f>SUM(B627:J627)</f>
        <v/>
      </c>
    </row>
    <row r="628">
      <c r="A628" s="794" t="n">
        <v>45734</v>
      </c>
      <c r="B628" t="n">
        <v>761.4</v>
      </c>
      <c r="C628" t="n">
        <v>850.3</v>
      </c>
      <c r="D628" t="n">
        <v>4.6</v>
      </c>
      <c r="E628" t="n">
        <v>142.7</v>
      </c>
      <c r="F628" t="n">
        <v>13.2</v>
      </c>
      <c r="G628" t="n">
        <v>163</v>
      </c>
      <c r="H628" t="n">
        <v>36.2</v>
      </c>
      <c r="I628" t="n">
        <v>56.3</v>
      </c>
      <c r="J628" t="n">
        <v>6.6</v>
      </c>
      <c r="K628">
        <f>SUM(B628:J628)</f>
        <v/>
      </c>
    </row>
    <row r="629">
      <c r="A629" s="794" t="n">
        <v>45735</v>
      </c>
      <c r="B629" t="n">
        <v>494.3</v>
      </c>
      <c r="C629" t="n">
        <v>698</v>
      </c>
      <c r="D629" t="n">
        <v>5.2</v>
      </c>
      <c r="E629" t="n">
        <v>133</v>
      </c>
      <c r="F629" t="n">
        <v>19.2</v>
      </c>
      <c r="G629" t="n">
        <v>152.9</v>
      </c>
      <c r="H629" t="n">
        <v>29.9</v>
      </c>
      <c r="I629" t="n">
        <v>22.2</v>
      </c>
      <c r="J629" t="n">
        <v>0.5</v>
      </c>
      <c r="K629">
        <f>SUM(B629:J629)</f>
        <v/>
      </c>
    </row>
    <row r="630">
      <c r="A630" s="794" t="n">
        <v>45736</v>
      </c>
      <c r="B630" t="n">
        <v>636.6</v>
      </c>
      <c r="C630" t="n">
        <v>885.5</v>
      </c>
      <c r="D630" t="n">
        <v>3.2</v>
      </c>
      <c r="E630" t="n">
        <v>149.7</v>
      </c>
      <c r="F630" t="n">
        <v>28</v>
      </c>
      <c r="G630" t="n">
        <v>161.4</v>
      </c>
      <c r="H630" t="n">
        <v>27.4</v>
      </c>
      <c r="I630" t="n">
        <v>23</v>
      </c>
      <c r="J630" t="n">
        <v>3.3</v>
      </c>
      <c r="K630">
        <f>SUM(B630:J630)</f>
        <v/>
      </c>
    </row>
    <row r="631">
      <c r="A631" s="794" t="n">
        <v>45737</v>
      </c>
      <c r="B631" t="n">
        <v>552.8</v>
      </c>
      <c r="C631" t="n">
        <v>832.4</v>
      </c>
      <c r="D631" t="n">
        <v>14.7</v>
      </c>
      <c r="E631" t="n">
        <v>119.3</v>
      </c>
      <c r="F631" t="n">
        <v>19.5</v>
      </c>
      <c r="G631" t="n">
        <v>166.8</v>
      </c>
      <c r="H631" t="n">
        <v>30.4</v>
      </c>
      <c r="I631" t="n">
        <v>23.6</v>
      </c>
      <c r="J631" t="n">
        <v>5</v>
      </c>
      <c r="K631">
        <f>SUM(B631:J631)</f>
        <v/>
      </c>
    </row>
    <row r="632">
      <c r="A632" s="794" t="n">
        <v>45738</v>
      </c>
      <c r="B632" t="n">
        <v>594</v>
      </c>
      <c r="C632" t="n">
        <v>768.2</v>
      </c>
      <c r="D632" t="n">
        <v>13.3</v>
      </c>
      <c r="E632" t="n">
        <v>136.8</v>
      </c>
      <c r="F632" t="n">
        <v>42</v>
      </c>
      <c r="G632" t="n">
        <v>157.8</v>
      </c>
      <c r="H632" t="n">
        <v>22.6</v>
      </c>
      <c r="I632" t="n">
        <v>13.6</v>
      </c>
      <c r="J632" t="n">
        <v>6.5</v>
      </c>
      <c r="K632">
        <f>SUM(B632:J632)</f>
        <v/>
      </c>
    </row>
    <row r="633">
      <c r="A633" s="794" t="n">
        <v>45739</v>
      </c>
      <c r="B633" t="n">
        <v>466.2</v>
      </c>
      <c r="C633" t="n">
        <v>431.2</v>
      </c>
      <c r="D633" t="n">
        <v>41.6</v>
      </c>
      <c r="E633" t="n">
        <v>25.4</v>
      </c>
      <c r="F633" t="n">
        <v>12.2</v>
      </c>
      <c r="G633" t="n">
        <v>135.6</v>
      </c>
      <c r="H633" t="n">
        <v>3.9</v>
      </c>
      <c r="I633" t="n">
        <v>37.2</v>
      </c>
      <c r="J633" t="n">
        <v>5.2</v>
      </c>
      <c r="K633">
        <f>SUM(B633:J633)</f>
        <v/>
      </c>
    </row>
    <row r="634">
      <c r="A634" s="794" t="n">
        <v>45740</v>
      </c>
      <c r="B634" t="n">
        <v>401.3</v>
      </c>
      <c r="C634" t="n">
        <v>371.7</v>
      </c>
      <c r="D634" t="n">
        <v>2.9</v>
      </c>
      <c r="F634" t="n">
        <v>6.6</v>
      </c>
      <c r="G634" t="n">
        <v>9.1</v>
      </c>
      <c r="H634" t="n">
        <v>14.4</v>
      </c>
      <c r="I634" t="n">
        <v>36.9</v>
      </c>
      <c r="J634" t="n">
        <v>5.3</v>
      </c>
      <c r="K634">
        <f>SUM(B634:J634)</f>
        <v/>
      </c>
    </row>
    <row r="635">
      <c r="A635" s="794" t="n">
        <v>45741</v>
      </c>
      <c r="B635" t="n">
        <v>590.9</v>
      </c>
      <c r="C635" t="n">
        <v>723.8</v>
      </c>
      <c r="D635" t="n">
        <v>6.4</v>
      </c>
      <c r="E635" t="n">
        <v>144.5</v>
      </c>
      <c r="F635" t="n">
        <v>25.6</v>
      </c>
      <c r="G635" t="n">
        <v>162.7</v>
      </c>
      <c r="H635" t="n">
        <v>35.8</v>
      </c>
      <c r="I635" t="n">
        <v>27.7</v>
      </c>
      <c r="J635" t="n">
        <v>3.8</v>
      </c>
      <c r="K635">
        <f>SUM(B635:J635)</f>
        <v/>
      </c>
    </row>
    <row r="636">
      <c r="A636" s="794" t="n">
        <v>45742</v>
      </c>
      <c r="B636" t="n">
        <v>510.5</v>
      </c>
      <c r="C636" t="n">
        <v>822.3</v>
      </c>
      <c r="D636" t="n">
        <v>1.7</v>
      </c>
      <c r="E636" t="n">
        <v>143</v>
      </c>
      <c r="F636" t="n">
        <v>10.4</v>
      </c>
      <c r="G636" t="n">
        <v>166.7</v>
      </c>
      <c r="H636" t="n">
        <v>31.2</v>
      </c>
      <c r="I636" t="n">
        <v>18.9</v>
      </c>
      <c r="J636" t="n">
        <v>4.1</v>
      </c>
      <c r="K636">
        <f>SUM(B636:J636)</f>
        <v/>
      </c>
    </row>
    <row r="637">
      <c r="A637" s="794" t="n">
        <v>45743</v>
      </c>
      <c r="B637" t="n">
        <v>479.2</v>
      </c>
      <c r="C637" t="n">
        <v>881.6</v>
      </c>
      <c r="D637" t="n">
        <v>4</v>
      </c>
      <c r="E637" t="n">
        <v>136.8</v>
      </c>
      <c r="F637" t="n">
        <v>19.9</v>
      </c>
      <c r="G637" t="n">
        <v>159.8</v>
      </c>
      <c r="H637" t="n">
        <v>26.9</v>
      </c>
      <c r="I637" t="n">
        <v>40.6</v>
      </c>
      <c r="J637" t="n">
        <v>7.8</v>
      </c>
      <c r="K637">
        <f>SUM(B637:J637)</f>
        <v/>
      </c>
    </row>
    <row r="638">
      <c r="A638" s="794" t="n">
        <v>45744</v>
      </c>
      <c r="B638" t="n">
        <v>631.8</v>
      </c>
      <c r="C638" t="n">
        <v>947.2</v>
      </c>
      <c r="D638" t="n">
        <v>9.199999999999999</v>
      </c>
      <c r="E638" t="n">
        <v>131.1</v>
      </c>
      <c r="F638" t="n">
        <v>13.9</v>
      </c>
      <c r="G638" t="n">
        <v>168</v>
      </c>
      <c r="H638" t="n">
        <v>30.1</v>
      </c>
      <c r="I638" t="n">
        <v>43.2</v>
      </c>
      <c r="J638" t="n">
        <v>0.9</v>
      </c>
      <c r="K638">
        <f>SUM(B638:J638)</f>
        <v/>
      </c>
    </row>
    <row r="639">
      <c r="A639" s="794" t="n">
        <v>45745</v>
      </c>
      <c r="B639" t="n">
        <v>627.5</v>
      </c>
      <c r="C639" t="n">
        <v>633.2</v>
      </c>
      <c r="D639" t="n">
        <v>7.7</v>
      </c>
      <c r="E639" t="n">
        <v>133.1</v>
      </c>
      <c r="F639" t="n">
        <v>21.8</v>
      </c>
      <c r="G639" t="n">
        <v>157.2</v>
      </c>
      <c r="H639" t="n">
        <v>22.3</v>
      </c>
      <c r="I639" t="n">
        <v>3.1</v>
      </c>
      <c r="J639" t="n">
        <v>2.3</v>
      </c>
      <c r="K639">
        <f>SUM(B639:J639)</f>
        <v/>
      </c>
    </row>
    <row r="640">
      <c r="A640" s="794" t="n">
        <v>45746</v>
      </c>
      <c r="B640" t="n">
        <v>555.3</v>
      </c>
      <c r="C640" t="n">
        <v>450.1</v>
      </c>
      <c r="D640" t="n">
        <v>2.3</v>
      </c>
      <c r="E640" t="n">
        <v>25.7</v>
      </c>
      <c r="F640" t="n">
        <v>24.7</v>
      </c>
      <c r="G640" t="n">
        <v>155.9</v>
      </c>
      <c r="H640" t="n">
        <v>9.300000000000001</v>
      </c>
      <c r="I640" t="n">
        <v>10.6</v>
      </c>
      <c r="J640" t="n">
        <v>1</v>
      </c>
      <c r="K640">
        <f>SUM(B640:J640)</f>
        <v/>
      </c>
    </row>
    <row r="641">
      <c r="A641" s="794" t="n">
        <v>45747</v>
      </c>
      <c r="B641" t="n">
        <v>438.7</v>
      </c>
      <c r="C641" t="n">
        <v>417</v>
      </c>
      <c r="D641" t="n">
        <v>2</v>
      </c>
      <c r="F641" t="n">
        <v>6.1</v>
      </c>
      <c r="H641" t="n">
        <v>14.1</v>
      </c>
      <c r="I641" t="n">
        <v>14.9</v>
      </c>
      <c r="J641" t="n">
        <v>3.9</v>
      </c>
      <c r="K641">
        <f>SUM(B641:J641)</f>
        <v/>
      </c>
    </row>
    <row r="642">
      <c r="A642" s="794" t="n">
        <v>45748</v>
      </c>
      <c r="B642" t="n">
        <v>634.4</v>
      </c>
      <c r="C642" t="n">
        <v>763.6</v>
      </c>
      <c r="D642" t="n">
        <v>7.8</v>
      </c>
      <c r="E642" t="n">
        <v>94.90000000000001</v>
      </c>
      <c r="F642" t="n">
        <v>8.1</v>
      </c>
      <c r="G642" t="n">
        <v>152.6</v>
      </c>
      <c r="H642" t="n">
        <v>26.4</v>
      </c>
      <c r="I642" t="n">
        <v>30.6</v>
      </c>
      <c r="J642" t="n">
        <v>4.8</v>
      </c>
      <c r="K642">
        <f>SUM(B642:J642)</f>
        <v/>
      </c>
    </row>
    <row r="643">
      <c r="A643" s="794" t="n">
        <v>45749</v>
      </c>
      <c r="B643" t="n">
        <v>469</v>
      </c>
      <c r="C643" t="n">
        <v>569.9</v>
      </c>
      <c r="D643" t="n">
        <v>3</v>
      </c>
      <c r="E643" t="n">
        <v>127.1</v>
      </c>
      <c r="F643" t="n">
        <v>25.7</v>
      </c>
      <c r="G643" t="n">
        <v>108.8</v>
      </c>
      <c r="H643" t="n">
        <v>9.1</v>
      </c>
      <c r="I643" t="n">
        <v>41.3</v>
      </c>
      <c r="J643" t="n">
        <v>4.6</v>
      </c>
      <c r="K643">
        <f>SUM(B643:J643)</f>
        <v/>
      </c>
    </row>
    <row r="644">
      <c r="A644" s="794" t="n">
        <v>45750</v>
      </c>
      <c r="B644" t="n">
        <v>412.1</v>
      </c>
      <c r="C644" t="n">
        <v>737.2</v>
      </c>
      <c r="D644" t="n">
        <v>8.5</v>
      </c>
      <c r="E644" t="n">
        <v>66.40000000000001</v>
      </c>
      <c r="F644" t="n">
        <v>9.699999999999999</v>
      </c>
      <c r="G644" t="n">
        <v>121.8</v>
      </c>
      <c r="H644" t="n">
        <v>8.4</v>
      </c>
      <c r="I644" t="n">
        <v>37.9</v>
      </c>
      <c r="J644" t="n">
        <v>3.1</v>
      </c>
      <c r="K644">
        <f>SUM(B644:J644)</f>
        <v/>
      </c>
    </row>
    <row r="645">
      <c r="A645" s="794" t="n">
        <v>45751</v>
      </c>
      <c r="B645" t="n">
        <v>489.5</v>
      </c>
      <c r="C645" t="n">
        <v>515.1</v>
      </c>
      <c r="D645" t="n">
        <v>6.8</v>
      </c>
      <c r="E645" t="n">
        <v>122.6</v>
      </c>
      <c r="F645" t="n">
        <v>10</v>
      </c>
      <c r="G645" t="n">
        <v>142.7</v>
      </c>
      <c r="H645" t="n">
        <v>12.6</v>
      </c>
      <c r="I645" t="n">
        <v>19.4</v>
      </c>
      <c r="J645" t="n">
        <v>3.5</v>
      </c>
      <c r="K645">
        <f>SUM(B645:J645)</f>
        <v/>
      </c>
    </row>
    <row r="646">
      <c r="A646" s="794" t="n">
        <v>45752</v>
      </c>
      <c r="B646" t="n">
        <v>349.7</v>
      </c>
      <c r="C646" t="n">
        <v>348.7</v>
      </c>
      <c r="D646" t="n">
        <v>5.7</v>
      </c>
      <c r="F646" t="n">
        <v>11.1</v>
      </c>
      <c r="H646" t="n">
        <v>2.2</v>
      </c>
      <c r="I646" t="n">
        <v>34.7</v>
      </c>
      <c r="J646" t="n">
        <v>4.3</v>
      </c>
      <c r="K646">
        <f>SUM(B646:J646)</f>
        <v/>
      </c>
    </row>
    <row r="647">
      <c r="A647" s="794" t="n">
        <v>45753</v>
      </c>
      <c r="B647" t="n">
        <v>304.9</v>
      </c>
      <c r="C647" t="n">
        <v>364</v>
      </c>
      <c r="D647" t="n">
        <v>9.6</v>
      </c>
      <c r="E647" t="n">
        <v>23.5</v>
      </c>
      <c r="F647" t="n">
        <v>10.7</v>
      </c>
      <c r="G647" t="n">
        <v>98.59999999999999</v>
      </c>
      <c r="H647" t="n">
        <v>2</v>
      </c>
      <c r="I647" t="n">
        <v>46.9</v>
      </c>
      <c r="J647" t="n">
        <v>2.9</v>
      </c>
      <c r="K647">
        <f>SUM(B647:J647)</f>
        <v/>
      </c>
    </row>
    <row r="648">
      <c r="A648" s="794" t="n">
        <v>45754</v>
      </c>
      <c r="B648" t="n">
        <v>407.5</v>
      </c>
      <c r="C648" t="n">
        <v>338.3</v>
      </c>
      <c r="D648" t="n">
        <v>2.1</v>
      </c>
      <c r="F648" t="n">
        <v>3.5</v>
      </c>
      <c r="H648" t="n">
        <v>19.9</v>
      </c>
      <c r="I648" t="n">
        <v>53.6</v>
      </c>
      <c r="J648" t="n">
        <v>5.9</v>
      </c>
      <c r="K648">
        <f>SUM(B648:J648)</f>
        <v/>
      </c>
    </row>
    <row r="649">
      <c r="A649" s="794" t="n">
        <v>45755</v>
      </c>
      <c r="B649" t="n">
        <v>674.2</v>
      </c>
      <c r="C649" t="n">
        <v>698.6</v>
      </c>
      <c r="D649" t="n">
        <v>5.1</v>
      </c>
      <c r="E649" t="n">
        <v>162.5</v>
      </c>
      <c r="F649" t="n">
        <v>10.1</v>
      </c>
      <c r="G649" t="n">
        <v>155.9</v>
      </c>
      <c r="H649" t="n">
        <v>30.1</v>
      </c>
      <c r="I649" t="n">
        <v>33.1</v>
      </c>
      <c r="J649" t="n">
        <v>7.9</v>
      </c>
      <c r="K649">
        <f>SUM(B649:J649)</f>
        <v/>
      </c>
    </row>
    <row r="650">
      <c r="A650" s="794" t="n">
        <v>45756</v>
      </c>
      <c r="B650" t="n">
        <v>599.5</v>
      </c>
      <c r="C650" t="n">
        <v>716.3</v>
      </c>
      <c r="D650" t="n">
        <v>7.5</v>
      </c>
      <c r="E650" t="n">
        <v>136.5</v>
      </c>
      <c r="F650" t="n">
        <v>14.3</v>
      </c>
      <c r="G650" t="n">
        <v>167.8</v>
      </c>
      <c r="H650" t="n">
        <v>25.6</v>
      </c>
      <c r="I650" t="n">
        <v>12.8</v>
      </c>
      <c r="J650" t="n">
        <v>3.9</v>
      </c>
      <c r="K650">
        <f>SUM(B650:J650)</f>
        <v/>
      </c>
    </row>
    <row r="651">
      <c r="A651" s="794" t="n">
        <v>45757</v>
      </c>
      <c r="B651" t="n">
        <v>569.9</v>
      </c>
      <c r="C651" t="n">
        <v>788.8</v>
      </c>
      <c r="D651" t="n">
        <v>7.2</v>
      </c>
      <c r="E651" t="n">
        <v>142.7</v>
      </c>
      <c r="F651" t="n">
        <v>27.4</v>
      </c>
      <c r="G651" t="n">
        <v>153.1</v>
      </c>
      <c r="H651" t="n">
        <v>35.3</v>
      </c>
      <c r="I651" t="n">
        <v>25.5</v>
      </c>
      <c r="J651" t="n">
        <v>4.5</v>
      </c>
      <c r="K651">
        <f>SUM(B651:J651)</f>
        <v/>
      </c>
    </row>
    <row r="652">
      <c r="A652" s="794" t="n">
        <v>45758</v>
      </c>
      <c r="B652" t="n">
        <v>516.6</v>
      </c>
      <c r="C652" t="n">
        <v>598.1</v>
      </c>
      <c r="D652" t="n">
        <v>2.8</v>
      </c>
      <c r="E652" t="n">
        <v>142.6</v>
      </c>
      <c r="F652" t="n">
        <v>7.2</v>
      </c>
      <c r="G652" t="n">
        <v>154.7</v>
      </c>
      <c r="H652" t="n">
        <v>34.5</v>
      </c>
      <c r="I652" t="n">
        <v>18.4</v>
      </c>
      <c r="J652" t="n">
        <v>3.4</v>
      </c>
      <c r="K652">
        <f>SUM(B652:J652)</f>
        <v/>
      </c>
    </row>
    <row r="653">
      <c r="A653" s="794" t="n">
        <v>45759</v>
      </c>
      <c r="B653" t="n">
        <v>519</v>
      </c>
      <c r="C653" t="n">
        <v>494.5</v>
      </c>
      <c r="D653" t="n">
        <v>7.3</v>
      </c>
      <c r="E653" t="n">
        <v>133.1</v>
      </c>
      <c r="F653" t="n">
        <v>10</v>
      </c>
      <c r="G653" t="n">
        <v>151</v>
      </c>
      <c r="H653" t="n">
        <v>17.8</v>
      </c>
      <c r="I653" t="n">
        <v>36.9</v>
      </c>
      <c r="J653" t="n">
        <v>5</v>
      </c>
      <c r="K653">
        <f>SUM(B653:J653)</f>
        <v/>
      </c>
    </row>
    <row r="654">
      <c r="A654" s="794" t="n">
        <v>45760</v>
      </c>
      <c r="B654" t="n">
        <v>368.6</v>
      </c>
      <c r="C654" t="n">
        <v>691.9</v>
      </c>
      <c r="D654" t="n">
        <v>8.1</v>
      </c>
      <c r="E654" t="n">
        <v>25.4</v>
      </c>
      <c r="F654" t="n">
        <v>8.300000000000001</v>
      </c>
      <c r="G654" t="n">
        <v>129.7</v>
      </c>
      <c r="H654" t="n">
        <v>2.2</v>
      </c>
      <c r="I654" t="n">
        <v>42.5</v>
      </c>
      <c r="J654" t="n">
        <v>3.8</v>
      </c>
      <c r="K654">
        <f>SUM(B654:J654)</f>
        <v/>
      </c>
    </row>
    <row r="655">
      <c r="A655" s="794" t="n">
        <v>45761</v>
      </c>
      <c r="B655" t="n">
        <v>460.4</v>
      </c>
      <c r="C655" t="n">
        <v>406.4</v>
      </c>
      <c r="D655" t="n">
        <v>10</v>
      </c>
      <c r="F655" t="n">
        <v>9.800000000000001</v>
      </c>
      <c r="H655" t="n">
        <v>15.8</v>
      </c>
      <c r="I655" t="n">
        <v>29.2</v>
      </c>
      <c r="J655" t="n">
        <v>9.699999999999999</v>
      </c>
      <c r="K655">
        <f>SUM(B655:J655)</f>
        <v/>
      </c>
    </row>
    <row r="656">
      <c r="A656" s="794" t="n">
        <v>45762</v>
      </c>
      <c r="B656" t="n">
        <v>608.8</v>
      </c>
      <c r="C656" t="n">
        <v>713.3</v>
      </c>
      <c r="D656" t="n">
        <v>4.4</v>
      </c>
      <c r="E656" t="n">
        <v>142.6</v>
      </c>
      <c r="F656" t="n">
        <v>28.2</v>
      </c>
      <c r="G656" t="n">
        <v>172.6</v>
      </c>
      <c r="H656" t="n">
        <v>24.4</v>
      </c>
      <c r="I656" t="n">
        <v>37.6</v>
      </c>
      <c r="J656" t="n">
        <v>3.7</v>
      </c>
      <c r="K656">
        <f>SUM(B656:J656)</f>
        <v/>
      </c>
    </row>
    <row r="657">
      <c r="A657" s="794" t="n">
        <v>45763</v>
      </c>
      <c r="B657" t="n">
        <v>621.3</v>
      </c>
      <c r="C657" t="n">
        <v>765.2</v>
      </c>
      <c r="D657" t="n">
        <v>6</v>
      </c>
      <c r="E657" t="n">
        <v>152.2</v>
      </c>
      <c r="F657" t="n">
        <v>14.3</v>
      </c>
      <c r="G657" t="n">
        <v>156.5</v>
      </c>
      <c r="H657" t="n">
        <v>25</v>
      </c>
      <c r="I657" t="n">
        <v>28.4</v>
      </c>
      <c r="J657" t="n">
        <v>7.5</v>
      </c>
      <c r="K657">
        <f>SUM(B657:J657)</f>
        <v/>
      </c>
    </row>
    <row r="658">
      <c r="A658" s="794" t="n">
        <v>45764</v>
      </c>
      <c r="B658" t="n">
        <v>573.6</v>
      </c>
      <c r="C658" t="n">
        <v>708.1</v>
      </c>
      <c r="D658" t="n">
        <v>3.2</v>
      </c>
      <c r="E658" t="n">
        <v>126.9</v>
      </c>
      <c r="F658" t="n">
        <v>10.9</v>
      </c>
      <c r="G658" t="n">
        <v>150.2</v>
      </c>
      <c r="H658" t="n">
        <v>29.7</v>
      </c>
      <c r="I658" t="n">
        <v>16.5</v>
      </c>
      <c r="J658" t="n">
        <v>2.5</v>
      </c>
      <c r="K658">
        <f>SUM(B658:J658)</f>
        <v/>
      </c>
    </row>
    <row r="659">
      <c r="A659" s="794" t="n">
        <v>45765</v>
      </c>
      <c r="B659" t="n">
        <v>503</v>
      </c>
      <c r="C659" t="n">
        <v>736.9</v>
      </c>
      <c r="D659" t="n">
        <v>8.699999999999999</v>
      </c>
      <c r="E659" t="n">
        <v>131.2</v>
      </c>
      <c r="F659" t="n">
        <v>9</v>
      </c>
      <c r="G659" t="n">
        <v>152.2</v>
      </c>
      <c r="H659" t="n">
        <v>20</v>
      </c>
      <c r="I659" t="n">
        <v>16.4</v>
      </c>
      <c r="J659" t="n">
        <v>6.6</v>
      </c>
      <c r="K659">
        <f>SUM(B659:J659)</f>
        <v/>
      </c>
    </row>
    <row r="660">
      <c r="A660" s="794" t="n">
        <v>45766</v>
      </c>
      <c r="B660" t="n">
        <v>370.4</v>
      </c>
      <c r="C660" t="n">
        <v>304.1</v>
      </c>
      <c r="D660" t="n">
        <v>9</v>
      </c>
      <c r="F660" t="n">
        <v>4.4</v>
      </c>
      <c r="H660" t="n">
        <v>5</v>
      </c>
      <c r="I660" t="n">
        <v>25.9</v>
      </c>
      <c r="J660" t="n">
        <v>5.1</v>
      </c>
      <c r="K660">
        <f>SUM(B660:J660)</f>
        <v/>
      </c>
    </row>
    <row r="661">
      <c r="A661" s="794" t="n">
        <v>45767</v>
      </c>
      <c r="B661" t="n">
        <v>475.8</v>
      </c>
      <c r="C661" t="n">
        <v>234.7</v>
      </c>
      <c r="D661" t="n">
        <v>6.2</v>
      </c>
      <c r="F661" t="n">
        <v>14.8</v>
      </c>
      <c r="H661" t="n">
        <v>2.6</v>
      </c>
      <c r="I661" t="n">
        <v>24.9</v>
      </c>
      <c r="J661" t="n">
        <v>1.2</v>
      </c>
      <c r="K661">
        <f>SUM(B661:J661)</f>
        <v/>
      </c>
    </row>
    <row r="662">
      <c r="A662" s="794" t="n">
        <v>45768</v>
      </c>
      <c r="B662" t="n">
        <v>332.9</v>
      </c>
      <c r="C662" t="n">
        <v>332.4</v>
      </c>
      <c r="D662" t="n">
        <v>3.5</v>
      </c>
      <c r="F662" t="n">
        <v>19.3</v>
      </c>
      <c r="H662" t="n">
        <v>8.6</v>
      </c>
      <c r="I662" t="n">
        <v>26.3</v>
      </c>
      <c r="J662" t="n">
        <v>2.5</v>
      </c>
      <c r="K662">
        <f>SUM(B662:J662)</f>
        <v/>
      </c>
    </row>
    <row r="663">
      <c r="A663" s="794" t="n">
        <v>45769</v>
      </c>
      <c r="B663" t="n">
        <v>393.2</v>
      </c>
      <c r="C663" t="n">
        <v>280.8</v>
      </c>
      <c r="D663" t="n">
        <v>8.9</v>
      </c>
      <c r="F663" t="n">
        <v>6.4</v>
      </c>
      <c r="H663" t="n">
        <v>3.6</v>
      </c>
      <c r="I663" t="n">
        <v>14.1</v>
      </c>
      <c r="J663" t="n">
        <v>4.6</v>
      </c>
      <c r="K663">
        <f>SUM(B663:J663)</f>
        <v/>
      </c>
    </row>
    <row r="664">
      <c r="A664" s="794" t="n">
        <v>45770</v>
      </c>
      <c r="B664" t="n">
        <v>636</v>
      </c>
      <c r="C664" t="n">
        <v>814.8</v>
      </c>
      <c r="D664" t="n">
        <v>3.2</v>
      </c>
      <c r="E664" t="n">
        <v>141.2</v>
      </c>
      <c r="F664" t="n">
        <v>34.1</v>
      </c>
      <c r="G664" t="n">
        <v>156.8</v>
      </c>
      <c r="H664" t="n">
        <v>29.5</v>
      </c>
      <c r="I664" t="n">
        <v>50.4</v>
      </c>
      <c r="J664" t="n">
        <v>6.4</v>
      </c>
      <c r="K664">
        <f>SUM(B664:J664)</f>
        <v/>
      </c>
    </row>
    <row r="665">
      <c r="A665" s="794" t="n">
        <v>45771</v>
      </c>
      <c r="B665" t="n">
        <v>591.2</v>
      </c>
      <c r="C665" t="n">
        <v>833.8</v>
      </c>
      <c r="D665" t="n">
        <v>3.7</v>
      </c>
      <c r="E665" t="n">
        <v>139.2</v>
      </c>
      <c r="F665" t="n">
        <v>8</v>
      </c>
      <c r="G665" t="n">
        <v>162.6</v>
      </c>
      <c r="H665" t="n">
        <v>23.6</v>
      </c>
      <c r="I665" t="n">
        <v>49</v>
      </c>
      <c r="J665" t="n">
        <v>4.5</v>
      </c>
      <c r="K665">
        <f>SUM(B665:J665)</f>
        <v/>
      </c>
    </row>
    <row r="666">
      <c r="A666" s="794" t="n">
        <v>45772</v>
      </c>
      <c r="B666" t="n">
        <v>545.5</v>
      </c>
      <c r="C666" t="n">
        <v>740.3</v>
      </c>
      <c r="D666" t="n">
        <v>2</v>
      </c>
      <c r="E666" t="n">
        <v>140.6</v>
      </c>
      <c r="F666" t="n">
        <v>11.6</v>
      </c>
      <c r="G666" t="n">
        <v>160.2</v>
      </c>
      <c r="H666" t="n">
        <v>27.1</v>
      </c>
      <c r="I666" t="n">
        <v>39.4</v>
      </c>
      <c r="J666" t="n">
        <v>6</v>
      </c>
      <c r="K666">
        <f>SUM(B666:J666)</f>
        <v/>
      </c>
    </row>
    <row r="667">
      <c r="A667" s="794" t="n">
        <v>45773</v>
      </c>
      <c r="B667" t="n">
        <v>496.5</v>
      </c>
      <c r="C667" t="n">
        <v>653.8</v>
      </c>
      <c r="D667" t="n">
        <v>3.8</v>
      </c>
      <c r="E667" t="n">
        <v>140.8</v>
      </c>
      <c r="F667" t="n">
        <v>18.5</v>
      </c>
      <c r="G667" t="n">
        <v>152.2</v>
      </c>
      <c r="H667" t="n">
        <v>19.9</v>
      </c>
      <c r="I667" t="n">
        <v>17.5</v>
      </c>
      <c r="J667" t="n">
        <v>7.9</v>
      </c>
      <c r="K667">
        <f>SUM(B667:J667)</f>
        <v/>
      </c>
    </row>
    <row r="668">
      <c r="A668" s="794" t="n">
        <v>45774</v>
      </c>
      <c r="B668" t="n">
        <v>369</v>
      </c>
      <c r="C668" t="n">
        <v>551.7</v>
      </c>
      <c r="D668" t="n">
        <v>6.6</v>
      </c>
      <c r="E668" t="n">
        <v>22.9</v>
      </c>
      <c r="F668" t="n">
        <v>18.4</v>
      </c>
      <c r="G668" t="n">
        <v>132.4</v>
      </c>
      <c r="H668" t="n">
        <v>3.1</v>
      </c>
      <c r="I668" t="n">
        <v>25.9</v>
      </c>
      <c r="J668" t="n">
        <v>4.5</v>
      </c>
      <c r="K668">
        <f>SUM(B668:J668)</f>
        <v/>
      </c>
    </row>
    <row r="669">
      <c r="A669" s="794" t="n">
        <v>45775</v>
      </c>
      <c r="B669" t="n">
        <v>407.9</v>
      </c>
      <c r="C669" t="n">
        <v>376.7</v>
      </c>
      <c r="D669" t="n">
        <v>5.5</v>
      </c>
      <c r="F669" t="n">
        <v>8.699999999999999</v>
      </c>
      <c r="H669" t="n">
        <v>16.6</v>
      </c>
      <c r="I669" t="n">
        <v>27.7</v>
      </c>
      <c r="J669" t="n">
        <v>11.8</v>
      </c>
      <c r="K669">
        <f>SUM(B669:J669)</f>
        <v/>
      </c>
    </row>
    <row r="670">
      <c r="A670" s="794" t="n">
        <v>45776</v>
      </c>
      <c r="B670" t="n">
        <v>578.4</v>
      </c>
      <c r="C670" t="n">
        <v>746.8</v>
      </c>
      <c r="D670" t="n">
        <v>7.6</v>
      </c>
      <c r="E670" t="n">
        <v>145.9</v>
      </c>
      <c r="F670" t="n">
        <v>7.9</v>
      </c>
      <c r="G670" t="n">
        <v>150.3</v>
      </c>
      <c r="H670" t="n">
        <v>31.9</v>
      </c>
      <c r="I670" t="n">
        <v>22</v>
      </c>
      <c r="J670" t="n">
        <v>6.8</v>
      </c>
      <c r="K670">
        <f>SUM(B670:J670)</f>
        <v/>
      </c>
    </row>
    <row r="671">
      <c r="A671" s="794" t="n">
        <v>45777</v>
      </c>
      <c r="B671" t="n">
        <v>529.5</v>
      </c>
      <c r="C671" t="n">
        <v>762.4</v>
      </c>
      <c r="D671" t="n">
        <v>7.1</v>
      </c>
      <c r="E671" t="n">
        <v>137.8</v>
      </c>
      <c r="F671" t="n">
        <v>15.1</v>
      </c>
      <c r="G671" t="n">
        <v>165.2</v>
      </c>
      <c r="H671" t="n">
        <v>30.6</v>
      </c>
      <c r="I671" t="n">
        <v>20</v>
      </c>
      <c r="J671" t="n">
        <v>4.8</v>
      </c>
      <c r="K671">
        <f>SUM(B671:J671)</f>
        <v/>
      </c>
    </row>
    <row r="672">
      <c r="A672" s="794" t="n">
        <v>45778</v>
      </c>
      <c r="B672" t="n">
        <v>463.2</v>
      </c>
      <c r="C672" t="n">
        <v>722.5</v>
      </c>
      <c r="D672" t="n">
        <v>2.2</v>
      </c>
      <c r="E672" t="n">
        <v>138.2</v>
      </c>
      <c r="F672" t="n">
        <v>13.6</v>
      </c>
      <c r="G672" t="n">
        <v>148.4</v>
      </c>
      <c r="H672" t="n">
        <v>17.6</v>
      </c>
      <c r="I672" t="n">
        <v>37.1</v>
      </c>
      <c r="J672" t="n">
        <v>10.3</v>
      </c>
      <c r="K672">
        <f>SUM(B672:J672)</f>
        <v/>
      </c>
    </row>
    <row r="673">
      <c r="A673" s="794" t="n">
        <v>45779</v>
      </c>
      <c r="B673" t="n">
        <v>331.8</v>
      </c>
      <c r="C673" t="n">
        <v>425.4</v>
      </c>
      <c r="D673" t="n">
        <v>8.6</v>
      </c>
      <c r="F673" t="n">
        <v>24</v>
      </c>
      <c r="H673" t="n">
        <v>4</v>
      </c>
      <c r="I673" t="n">
        <v>33.8</v>
      </c>
      <c r="J673" t="n">
        <v>4.9</v>
      </c>
      <c r="K673">
        <f>SUM(B673:J673)</f>
        <v/>
      </c>
    </row>
    <row r="674">
      <c r="A674" s="794" t="n">
        <v>45780</v>
      </c>
      <c r="B674" t="n">
        <v>448</v>
      </c>
      <c r="C674" t="n">
        <v>590.5</v>
      </c>
      <c r="D674" t="n">
        <v>6.7</v>
      </c>
      <c r="E674" t="n">
        <v>133.1</v>
      </c>
      <c r="F674" t="n">
        <v>34.1</v>
      </c>
      <c r="G674" t="n">
        <v>142.7</v>
      </c>
      <c r="H674" t="n">
        <v>21.5</v>
      </c>
      <c r="I674" t="n">
        <v>25.2</v>
      </c>
      <c r="J674" t="n">
        <v>12.7</v>
      </c>
      <c r="K674">
        <f>SUM(B674:J674)</f>
        <v/>
      </c>
    </row>
    <row r="675">
      <c r="A675" s="794" t="n">
        <v>45781</v>
      </c>
      <c r="B675" t="n">
        <v>431.2</v>
      </c>
      <c r="C675" t="n">
        <v>553.5</v>
      </c>
      <c r="D675" t="n">
        <v>10.3</v>
      </c>
      <c r="E675" t="n">
        <v>33.2</v>
      </c>
      <c r="F675" t="n">
        <v>7.6</v>
      </c>
      <c r="G675" t="n">
        <v>124.4</v>
      </c>
      <c r="H675" t="n">
        <v>1.7</v>
      </c>
      <c r="I675" t="n">
        <v>46.3</v>
      </c>
      <c r="J675" t="n">
        <v>5.4</v>
      </c>
      <c r="K675">
        <f>SUM(B675:J675)</f>
        <v/>
      </c>
    </row>
    <row r="676">
      <c r="A676" s="794" t="n">
        <v>45782</v>
      </c>
      <c r="B676" t="n">
        <v>381.3</v>
      </c>
      <c r="C676" t="n">
        <v>412.6</v>
      </c>
      <c r="D676" t="n">
        <v>11.7</v>
      </c>
      <c r="F676" t="n">
        <v>17.5</v>
      </c>
      <c r="H676" t="n">
        <v>14.9</v>
      </c>
      <c r="I676" t="n">
        <v>16.7</v>
      </c>
      <c r="J676" t="n">
        <v>3.1</v>
      </c>
      <c r="K676">
        <f>SUM(B676:J676)</f>
        <v/>
      </c>
    </row>
    <row r="677">
      <c r="A677" s="794" t="n">
        <v>45783</v>
      </c>
      <c r="B677" t="n">
        <v>404</v>
      </c>
      <c r="C677" t="n">
        <v>484.9</v>
      </c>
      <c r="D677" t="n">
        <v>8.800000000000001</v>
      </c>
      <c r="F677" t="n">
        <v>3.4</v>
      </c>
      <c r="G677" t="n">
        <v>4.5</v>
      </c>
      <c r="H677" t="n">
        <v>2.8</v>
      </c>
      <c r="I677" t="n">
        <v>29.3</v>
      </c>
      <c r="J677" t="n">
        <v>7.5</v>
      </c>
      <c r="K677">
        <f>SUM(B677:J677)</f>
        <v/>
      </c>
    </row>
    <row r="678">
      <c r="A678" s="794" t="n">
        <v>45784</v>
      </c>
      <c r="B678" t="n">
        <v>492.5</v>
      </c>
      <c r="C678" t="n">
        <v>714.3</v>
      </c>
      <c r="D678" t="n">
        <v>2.9</v>
      </c>
      <c r="E678" t="n">
        <v>145.6</v>
      </c>
      <c r="F678" t="n">
        <v>6.5</v>
      </c>
      <c r="G678" t="n">
        <v>166.7</v>
      </c>
      <c r="H678" t="n">
        <v>29.3</v>
      </c>
      <c r="I678" t="n">
        <v>12.3</v>
      </c>
      <c r="J678" t="n">
        <v>9.9</v>
      </c>
      <c r="K678">
        <f>SUM(B678:J678)</f>
        <v/>
      </c>
    </row>
    <row r="679">
      <c r="A679" s="794" t="n">
        <v>45785</v>
      </c>
      <c r="B679" t="n">
        <v>502.3</v>
      </c>
      <c r="C679" t="n">
        <v>783.4</v>
      </c>
      <c r="D679" t="n">
        <v>8.5</v>
      </c>
      <c r="E679" t="n">
        <v>132.9</v>
      </c>
      <c r="F679" t="n">
        <v>8.9</v>
      </c>
      <c r="G679" t="n">
        <v>149.6</v>
      </c>
      <c r="H679" t="n">
        <v>20.7</v>
      </c>
      <c r="I679" t="n">
        <v>20.7</v>
      </c>
      <c r="J679" t="n">
        <v>8</v>
      </c>
      <c r="K679">
        <f>SUM(B679:J679)</f>
        <v/>
      </c>
    </row>
    <row r="680">
      <c r="A680" s="794" t="n">
        <v>45786</v>
      </c>
      <c r="B680" t="n">
        <v>504.2</v>
      </c>
      <c r="C680" t="n">
        <v>605.7</v>
      </c>
      <c r="D680" t="n">
        <v>5.1</v>
      </c>
      <c r="E680" t="n">
        <v>150.6</v>
      </c>
      <c r="F680" t="n">
        <v>22.3</v>
      </c>
      <c r="G680" t="n">
        <v>152.9</v>
      </c>
      <c r="H680" t="n">
        <v>21.7</v>
      </c>
      <c r="I680" t="n">
        <v>18.2</v>
      </c>
      <c r="J680" t="n">
        <v>3.9</v>
      </c>
      <c r="K680">
        <f>SUM(B680:J680)</f>
        <v/>
      </c>
    </row>
    <row r="681">
      <c r="A681" s="794" t="n">
        <v>45787</v>
      </c>
      <c r="B681" t="n">
        <v>539.5</v>
      </c>
      <c r="C681" t="n">
        <v>989.5</v>
      </c>
      <c r="D681" t="n">
        <v>2</v>
      </c>
      <c r="E681" t="n">
        <v>136.5</v>
      </c>
      <c r="F681" t="n">
        <v>49.6</v>
      </c>
      <c r="G681" t="n">
        <v>142.7</v>
      </c>
      <c r="H681" t="n">
        <v>21.7</v>
      </c>
      <c r="I681" t="n">
        <v>39.1</v>
      </c>
      <c r="J681" t="n">
        <v>5</v>
      </c>
      <c r="K681">
        <f>SUM(B681:J681)</f>
        <v/>
      </c>
    </row>
    <row r="682">
      <c r="A682" s="794" t="n">
        <v>45788</v>
      </c>
      <c r="B682" t="n">
        <v>483.2</v>
      </c>
      <c r="C682" t="n">
        <v>497.5</v>
      </c>
      <c r="D682" t="n">
        <v>8.5</v>
      </c>
      <c r="E682" t="n">
        <v>30</v>
      </c>
      <c r="F682" t="n">
        <v>33.1</v>
      </c>
      <c r="G682" t="n">
        <v>134.7</v>
      </c>
      <c r="H682" t="n">
        <v>4.5</v>
      </c>
      <c r="I682" t="n">
        <v>56.8</v>
      </c>
      <c r="J682" t="n">
        <v>9.699999999999999</v>
      </c>
      <c r="K682">
        <f>SUM(B682:J682)</f>
        <v/>
      </c>
    </row>
    <row r="683">
      <c r="A683" s="794" t="n">
        <v>45789</v>
      </c>
      <c r="B683" t="n">
        <v>447.9</v>
      </c>
      <c r="C683" t="n">
        <v>402.7</v>
      </c>
      <c r="D683" t="n">
        <v>6</v>
      </c>
      <c r="F683" t="n">
        <v>31.4</v>
      </c>
      <c r="H683" t="n">
        <v>16.2</v>
      </c>
      <c r="I683" t="n">
        <v>19.7</v>
      </c>
      <c r="J683" t="n">
        <v>7.1</v>
      </c>
      <c r="K683">
        <f>SUM(B683:J683)</f>
        <v/>
      </c>
    </row>
    <row r="684">
      <c r="A684" s="794" t="n">
        <v>45790</v>
      </c>
      <c r="B684" t="n">
        <v>522.1</v>
      </c>
      <c r="C684" t="n">
        <v>738.5</v>
      </c>
      <c r="D684" t="n">
        <v>7.2</v>
      </c>
      <c r="E684" t="n">
        <v>70.59999999999999</v>
      </c>
      <c r="F684" t="n">
        <v>19.9</v>
      </c>
      <c r="G684" t="n">
        <v>152.6</v>
      </c>
      <c r="H684" t="n">
        <v>20.7</v>
      </c>
      <c r="I684" t="n">
        <v>12.9</v>
      </c>
      <c r="J684" t="n">
        <v>12.5</v>
      </c>
      <c r="K684">
        <f>SUM(B684:J684)</f>
        <v/>
      </c>
    </row>
    <row r="685">
      <c r="A685" s="794" t="n">
        <v>45791</v>
      </c>
      <c r="B685" t="n">
        <v>445.8</v>
      </c>
      <c r="C685" t="n">
        <v>724.6</v>
      </c>
      <c r="D685" t="n">
        <v>9.5</v>
      </c>
      <c r="E685" t="n">
        <v>125</v>
      </c>
      <c r="F685" t="n">
        <v>26.9</v>
      </c>
      <c r="G685" t="n">
        <v>141.2</v>
      </c>
      <c r="H685" t="n">
        <v>13.7</v>
      </c>
      <c r="I685" t="n">
        <v>18.3</v>
      </c>
      <c r="J685" t="n">
        <v>3.5</v>
      </c>
      <c r="K685">
        <f>SUM(B685:J685)</f>
        <v/>
      </c>
    </row>
    <row r="686">
      <c r="A686" s="794" t="n">
        <v>45792</v>
      </c>
      <c r="B686" t="n">
        <v>550.4</v>
      </c>
      <c r="C686" t="n">
        <v>793.3</v>
      </c>
      <c r="D686" t="n">
        <v>2.6</v>
      </c>
      <c r="E686" t="n">
        <v>120</v>
      </c>
      <c r="F686" t="n">
        <v>6</v>
      </c>
      <c r="G686" t="n">
        <v>143</v>
      </c>
      <c r="H686" t="n">
        <v>22.2</v>
      </c>
      <c r="I686" t="n">
        <v>25.4</v>
      </c>
      <c r="J686" t="n">
        <v>6.8</v>
      </c>
      <c r="K686">
        <f>SUM(B686:J686)</f>
        <v/>
      </c>
    </row>
    <row r="687">
      <c r="A687" s="794" t="n">
        <v>45793</v>
      </c>
      <c r="B687" t="n">
        <v>506.2</v>
      </c>
      <c r="C687" t="n">
        <v>787.1</v>
      </c>
      <c r="D687" t="n">
        <v>7.1</v>
      </c>
      <c r="E687" t="n">
        <v>123.3</v>
      </c>
      <c r="F687" t="n">
        <v>21.1</v>
      </c>
      <c r="G687" t="n">
        <v>143</v>
      </c>
      <c r="H687" t="n">
        <v>15.8</v>
      </c>
      <c r="I687" t="n">
        <v>37.7</v>
      </c>
      <c r="J687" t="n">
        <v>2.3</v>
      </c>
      <c r="K687">
        <f>SUM(B687:J687)</f>
        <v/>
      </c>
    </row>
    <row r="688">
      <c r="A688" s="794" t="n">
        <v>45794</v>
      </c>
      <c r="B688" t="n">
        <v>524.7</v>
      </c>
      <c r="C688" t="n">
        <v>597.1</v>
      </c>
      <c r="D688" t="n">
        <v>6</v>
      </c>
      <c r="E688" t="n">
        <v>127.6</v>
      </c>
      <c r="F688" t="n">
        <v>20.8</v>
      </c>
      <c r="G688" t="n">
        <v>153.1</v>
      </c>
      <c r="H688" t="n">
        <v>12.7</v>
      </c>
      <c r="I688" t="n">
        <v>43.8</v>
      </c>
      <c r="J688" t="n">
        <v>4.7</v>
      </c>
      <c r="K688">
        <f>SUM(B688:J688)</f>
        <v/>
      </c>
    </row>
    <row r="689">
      <c r="A689" s="794" t="n">
        <v>45795</v>
      </c>
      <c r="B689" t="n">
        <v>447.6</v>
      </c>
      <c r="C689" t="n">
        <v>592.6</v>
      </c>
      <c r="D689" t="n">
        <v>14.8</v>
      </c>
      <c r="E689" t="n">
        <v>26.1</v>
      </c>
      <c r="F689" t="n">
        <v>11.5</v>
      </c>
      <c r="G689" t="n">
        <v>104.9</v>
      </c>
      <c r="H689" t="n">
        <v>5.1</v>
      </c>
      <c r="I689" t="n">
        <v>23.1</v>
      </c>
      <c r="J689" t="n">
        <v>15.6</v>
      </c>
      <c r="K689">
        <f>SUM(B689:J689)</f>
        <v/>
      </c>
    </row>
    <row r="690">
      <c r="A690" s="794" t="n">
        <v>45796</v>
      </c>
      <c r="B690" t="n">
        <v>458.7</v>
      </c>
      <c r="C690" t="n">
        <v>303.1</v>
      </c>
      <c r="D690" t="n">
        <v>2.2</v>
      </c>
      <c r="F690" t="n">
        <v>11.5</v>
      </c>
      <c r="H690" t="n">
        <v>19.1</v>
      </c>
      <c r="I690" t="n">
        <v>23.8</v>
      </c>
      <c r="J690" t="n">
        <v>21.1</v>
      </c>
      <c r="K690">
        <f>SUM(B690:J690)</f>
        <v/>
      </c>
    </row>
    <row r="691">
      <c r="A691" s="794" t="n">
        <v>45797</v>
      </c>
      <c r="B691" t="n">
        <v>495.9</v>
      </c>
      <c r="C691" t="n">
        <v>880</v>
      </c>
      <c r="D691" t="n">
        <v>4.5</v>
      </c>
      <c r="E691" t="n">
        <v>133</v>
      </c>
      <c r="F691" t="n">
        <v>19.3</v>
      </c>
      <c r="G691" t="n">
        <v>154</v>
      </c>
      <c r="H691" t="n">
        <v>20.9</v>
      </c>
      <c r="I691" t="n">
        <v>33.7</v>
      </c>
      <c r="J691" t="n">
        <v>12.1</v>
      </c>
      <c r="K691">
        <f>SUM(B691:J691)</f>
        <v/>
      </c>
    </row>
    <row r="692">
      <c r="A692" s="794" t="n">
        <v>45798</v>
      </c>
      <c r="B692" t="n">
        <v>475.9</v>
      </c>
      <c r="C692" t="n">
        <v>663.1</v>
      </c>
      <c r="D692" t="n">
        <v>4.9</v>
      </c>
      <c r="E692" t="n">
        <v>91.90000000000001</v>
      </c>
      <c r="F692" t="n">
        <v>20.6</v>
      </c>
      <c r="G692" t="n">
        <v>149.8</v>
      </c>
      <c r="H692" t="n">
        <v>18.1</v>
      </c>
      <c r="I692" t="n">
        <v>20.8</v>
      </c>
      <c r="J692" t="n">
        <v>6.5</v>
      </c>
      <c r="K692">
        <f>SUM(B692:J692)</f>
        <v/>
      </c>
    </row>
    <row r="693">
      <c r="A693" s="794" t="n">
        <v>45799</v>
      </c>
      <c r="B693" t="n">
        <v>508.3</v>
      </c>
      <c r="C693" t="n">
        <v>745.1</v>
      </c>
      <c r="D693" t="n">
        <v>1.6</v>
      </c>
      <c r="E693" t="n">
        <v>129.7</v>
      </c>
      <c r="F693" t="n">
        <v>6.5</v>
      </c>
      <c r="G693" t="n">
        <v>146.5</v>
      </c>
      <c r="H693" t="n">
        <v>26.8</v>
      </c>
      <c r="I693" t="n">
        <v>30.5</v>
      </c>
      <c r="J693" t="n">
        <v>11.5</v>
      </c>
      <c r="K693">
        <f>SUM(B693:J693)</f>
        <v/>
      </c>
    </row>
    <row r="694">
      <c r="A694" s="794" t="n">
        <v>45800</v>
      </c>
      <c r="B694" t="n">
        <v>556.1</v>
      </c>
      <c r="C694" t="n">
        <v>723.7</v>
      </c>
      <c r="D694" t="n">
        <v>8</v>
      </c>
      <c r="E694" t="n">
        <v>134.6</v>
      </c>
      <c r="F694" t="n">
        <v>27.8</v>
      </c>
      <c r="G694" t="n">
        <v>150.2</v>
      </c>
      <c r="H694" t="n">
        <v>23.5</v>
      </c>
      <c r="I694" t="n">
        <v>51.7</v>
      </c>
      <c r="J694" t="n">
        <v>8.199999999999999</v>
      </c>
      <c r="K694">
        <f>SUM(B694:J694)</f>
        <v/>
      </c>
    </row>
    <row r="695">
      <c r="A695" s="794" t="n">
        <v>45801</v>
      </c>
      <c r="B695" t="n">
        <v>489.3</v>
      </c>
      <c r="C695" t="n">
        <v>710.3</v>
      </c>
      <c r="D695" t="n">
        <v>4.7</v>
      </c>
      <c r="E695" t="n">
        <v>76.59999999999999</v>
      </c>
      <c r="F695" t="n">
        <v>28.6</v>
      </c>
      <c r="G695" t="n">
        <v>141.7</v>
      </c>
      <c r="H695" t="n">
        <v>18.1</v>
      </c>
      <c r="I695" t="n">
        <v>33.3</v>
      </c>
      <c r="J695" t="n">
        <v>9.5</v>
      </c>
      <c r="K695">
        <f>SUM(B695:J695)</f>
        <v/>
      </c>
    </row>
    <row r="696">
      <c r="A696" s="794" t="n">
        <v>45802</v>
      </c>
      <c r="B696" t="n">
        <v>463.3</v>
      </c>
      <c r="C696" t="n">
        <v>496.2</v>
      </c>
      <c r="D696" t="n">
        <v>3.1</v>
      </c>
      <c r="E696" t="n">
        <v>33.6</v>
      </c>
      <c r="F696" t="n">
        <v>13.9</v>
      </c>
      <c r="G696" t="n">
        <v>142.5</v>
      </c>
      <c r="H696" t="n">
        <v>3.2</v>
      </c>
      <c r="I696" t="n">
        <v>21.4</v>
      </c>
      <c r="J696" t="n">
        <v>4.1</v>
      </c>
      <c r="K696">
        <f>SUM(B696:J696)</f>
        <v/>
      </c>
    </row>
    <row r="697">
      <c r="A697" s="794" t="n">
        <v>45803</v>
      </c>
      <c r="B697" t="n">
        <v>413.7</v>
      </c>
      <c r="C697" t="n">
        <v>343.1</v>
      </c>
      <c r="D697" t="n">
        <v>7.9</v>
      </c>
      <c r="F697" t="n">
        <v>8.6</v>
      </c>
      <c r="H697" t="n">
        <v>17.3</v>
      </c>
      <c r="I697" t="n">
        <v>23.1</v>
      </c>
      <c r="J697" t="n">
        <v>9.199999999999999</v>
      </c>
      <c r="K697">
        <f>SUM(B697:J697)</f>
        <v/>
      </c>
    </row>
    <row r="698">
      <c r="A698" s="794" t="n">
        <v>45804</v>
      </c>
      <c r="B698" t="n">
        <v>444.7</v>
      </c>
      <c r="C698" t="n">
        <v>753.8</v>
      </c>
      <c r="D698" t="n">
        <v>5</v>
      </c>
      <c r="E698" t="n">
        <v>130</v>
      </c>
      <c r="F698" t="n">
        <v>6</v>
      </c>
      <c r="G698" t="n">
        <v>146.7</v>
      </c>
      <c r="H698" t="n">
        <v>17.7</v>
      </c>
      <c r="I698" t="n">
        <v>25.5</v>
      </c>
      <c r="J698" t="n">
        <v>13.6</v>
      </c>
      <c r="K698">
        <f>SUM(B698:J698)</f>
        <v/>
      </c>
    </row>
    <row r="699">
      <c r="A699" s="794" t="n">
        <v>45805</v>
      </c>
      <c r="B699" t="n">
        <v>575.1</v>
      </c>
      <c r="C699" t="n">
        <v>727</v>
      </c>
      <c r="D699" t="n">
        <v>7.6</v>
      </c>
      <c r="E699" t="n">
        <v>75.7</v>
      </c>
      <c r="F699" t="n">
        <v>16.4</v>
      </c>
      <c r="G699" t="n">
        <v>119.2</v>
      </c>
      <c r="H699" t="n">
        <v>20</v>
      </c>
      <c r="I699" t="n">
        <v>18.6</v>
      </c>
      <c r="J699" t="n">
        <v>11.7</v>
      </c>
      <c r="K699">
        <f>SUM(B699:J699)</f>
        <v/>
      </c>
    </row>
    <row r="700">
      <c r="A700" s="794" t="n">
        <v>45806</v>
      </c>
      <c r="B700" t="n">
        <v>527.1</v>
      </c>
      <c r="C700" t="n">
        <v>864.7</v>
      </c>
      <c r="D700" t="n">
        <v>4</v>
      </c>
      <c r="E700" t="n">
        <v>67.59999999999999</v>
      </c>
      <c r="F700" t="n">
        <v>10</v>
      </c>
      <c r="G700" t="n">
        <v>119.7</v>
      </c>
      <c r="H700" t="n">
        <v>12.9</v>
      </c>
      <c r="I700" t="n">
        <v>29.8</v>
      </c>
      <c r="J700" t="n">
        <v>5.6</v>
      </c>
      <c r="K700">
        <f>SUM(B700:J700)</f>
        <v/>
      </c>
    </row>
    <row r="701">
      <c r="A701" s="794" t="n">
        <v>45807</v>
      </c>
      <c r="B701" t="n">
        <v>449.1</v>
      </c>
      <c r="C701" t="n">
        <v>638.7</v>
      </c>
      <c r="D701" t="n">
        <v>2.9</v>
      </c>
      <c r="E701" t="n">
        <v>64.40000000000001</v>
      </c>
      <c r="F701" t="n">
        <v>8.1</v>
      </c>
      <c r="G701" t="n">
        <v>124.2</v>
      </c>
      <c r="H701" t="n">
        <v>10.6</v>
      </c>
      <c r="I701" t="n">
        <v>36.2</v>
      </c>
      <c r="J701" t="n">
        <v>8.199999999999999</v>
      </c>
      <c r="K701">
        <f>SUM(B701:J701)</f>
        <v/>
      </c>
    </row>
    <row r="702">
      <c r="A702" s="794" t="n">
        <v>45808</v>
      </c>
      <c r="B702" t="n">
        <v>414</v>
      </c>
      <c r="C702" t="n">
        <v>533.4</v>
      </c>
      <c r="D702" t="n">
        <v>17</v>
      </c>
      <c r="E702" t="n">
        <v>71.2</v>
      </c>
      <c r="F702" t="n">
        <v>27.5</v>
      </c>
      <c r="G702" t="n">
        <v>106.3</v>
      </c>
      <c r="H702" t="n">
        <v>11.6</v>
      </c>
      <c r="I702" t="n">
        <v>58.4</v>
      </c>
      <c r="J702" t="n">
        <v>12.7</v>
      </c>
      <c r="K702">
        <f>SUM(B702:J702)</f>
        <v/>
      </c>
    </row>
    <row r="703">
      <c r="A703" s="794" t="n">
        <v>45809</v>
      </c>
      <c r="B703" t="n">
        <v>398.8</v>
      </c>
      <c r="C703" t="n">
        <v>133</v>
      </c>
      <c r="D703" t="n">
        <v>9.699999999999999</v>
      </c>
      <c r="F703" t="n">
        <v>12.4</v>
      </c>
      <c r="I703" t="n">
        <v>1.6</v>
      </c>
      <c r="J703" t="n">
        <v>10.6</v>
      </c>
      <c r="K703">
        <f>SUM(B703:J703)</f>
        <v/>
      </c>
    </row>
    <row r="704">
      <c r="A704" s="794" t="n">
        <v>45810</v>
      </c>
      <c r="B704" t="n">
        <v>398.4</v>
      </c>
      <c r="C704" t="n">
        <v>389.9</v>
      </c>
      <c r="D704" t="n">
        <v>9</v>
      </c>
      <c r="F704" t="n">
        <v>11.4</v>
      </c>
      <c r="H704" t="n">
        <v>3.2</v>
      </c>
      <c r="I704" t="n">
        <v>29.4</v>
      </c>
      <c r="J704" t="n">
        <v>10</v>
      </c>
      <c r="K704">
        <f>SUM(B704:J704)</f>
        <v/>
      </c>
    </row>
    <row r="705">
      <c r="A705" s="794" t="n">
        <v>45811</v>
      </c>
      <c r="B705" t="n">
        <v>483.6</v>
      </c>
      <c r="C705" t="n">
        <v>520.7</v>
      </c>
      <c r="D705" t="n">
        <v>15</v>
      </c>
      <c r="E705" t="n">
        <v>56.9</v>
      </c>
      <c r="F705" t="n">
        <v>18.2</v>
      </c>
      <c r="G705" t="n">
        <v>129.9</v>
      </c>
      <c r="H705" t="n">
        <v>8.6</v>
      </c>
      <c r="I705" t="n">
        <v>24.9</v>
      </c>
      <c r="J705" t="n">
        <v>5.7</v>
      </c>
      <c r="K705">
        <f>SUM(B705:J705)</f>
        <v/>
      </c>
    </row>
    <row r="706">
      <c r="A706" s="794" t="n">
        <v>45812</v>
      </c>
      <c r="B706" t="n">
        <v>405.6</v>
      </c>
      <c r="C706" t="n">
        <v>559.9</v>
      </c>
      <c r="D706" t="n">
        <v>7.3</v>
      </c>
      <c r="E706" t="n">
        <v>68.5</v>
      </c>
      <c r="F706" t="n">
        <v>27.8</v>
      </c>
      <c r="G706" t="n">
        <v>117.7</v>
      </c>
      <c r="H706" t="n">
        <v>8.800000000000001</v>
      </c>
      <c r="I706" t="n">
        <v>23.2</v>
      </c>
      <c r="J706" t="n">
        <v>12.3</v>
      </c>
      <c r="K706">
        <f>SUM(B706:J706)</f>
        <v/>
      </c>
    </row>
    <row r="707">
      <c r="A707" s="794" t="n">
        <v>45813</v>
      </c>
      <c r="B707" t="n">
        <v>391.3</v>
      </c>
      <c r="C707" t="n">
        <v>492</v>
      </c>
      <c r="D707" t="n">
        <v>6.1</v>
      </c>
      <c r="E707" t="n">
        <v>70.90000000000001</v>
      </c>
      <c r="F707" t="n">
        <v>28.7</v>
      </c>
      <c r="G707" t="n">
        <v>111.6</v>
      </c>
      <c r="H707" t="n">
        <v>5.2</v>
      </c>
      <c r="I707" t="n">
        <v>26.4</v>
      </c>
      <c r="J707" t="n">
        <v>5</v>
      </c>
      <c r="K707">
        <f>SUM(B707:J707)</f>
        <v/>
      </c>
    </row>
    <row r="708">
      <c r="A708" s="794" t="n">
        <v>45814</v>
      </c>
      <c r="B708" t="n">
        <v>378.4</v>
      </c>
      <c r="C708" t="n">
        <v>588.4</v>
      </c>
      <c r="D708" t="n">
        <v>3.5</v>
      </c>
      <c r="E708" t="n">
        <v>59.6</v>
      </c>
      <c r="F708" t="n">
        <v>15.3</v>
      </c>
      <c r="G708" t="n">
        <v>120.4</v>
      </c>
      <c r="H708" t="n">
        <v>9.4</v>
      </c>
      <c r="I708" t="n">
        <v>55.1</v>
      </c>
      <c r="J708" t="n">
        <v>8.199999999999999</v>
      </c>
      <c r="K708">
        <f>SUM(B708:J708)</f>
        <v/>
      </c>
    </row>
    <row r="709">
      <c r="A709" s="794" t="n">
        <v>45815</v>
      </c>
      <c r="B709" t="n">
        <v>399.8</v>
      </c>
      <c r="C709" t="n">
        <v>388.9</v>
      </c>
      <c r="D709" t="n">
        <v>5.2</v>
      </c>
      <c r="E709" t="n">
        <v>67.40000000000001</v>
      </c>
      <c r="F709" t="n">
        <v>25.5</v>
      </c>
      <c r="G709" t="n">
        <v>113.9</v>
      </c>
      <c r="H709" t="n">
        <v>10.2</v>
      </c>
      <c r="I709" t="n">
        <v>64.5</v>
      </c>
      <c r="J709" t="n">
        <v>10</v>
      </c>
      <c r="K709">
        <f>SUM(B709:J709)</f>
        <v/>
      </c>
    </row>
    <row r="710">
      <c r="A710" s="794" t="n">
        <v>45816</v>
      </c>
      <c r="B710" t="n">
        <v>347</v>
      </c>
      <c r="C710" t="n">
        <v>339.4</v>
      </c>
      <c r="D710" t="n">
        <v>14.7</v>
      </c>
      <c r="E710" t="n">
        <v>41.4</v>
      </c>
      <c r="F710" t="n">
        <v>8</v>
      </c>
      <c r="G710" t="n">
        <v>111.1</v>
      </c>
      <c r="I710" t="n">
        <v>22</v>
      </c>
      <c r="J710" t="n">
        <v>10.5</v>
      </c>
      <c r="K710">
        <f>SUM(B710:J710)</f>
        <v/>
      </c>
    </row>
    <row r="711">
      <c r="A711" s="794" t="n">
        <v>45817</v>
      </c>
      <c r="B711" t="n">
        <v>347.3</v>
      </c>
      <c r="C711" t="n">
        <v>49.1</v>
      </c>
      <c r="D711" t="n">
        <v>12</v>
      </c>
      <c r="F711" t="n">
        <v>35.4</v>
      </c>
      <c r="I711" t="n">
        <v>14.2</v>
      </c>
      <c r="K711">
        <f>SUM(B711:J711)</f>
        <v/>
      </c>
    </row>
    <row r="712">
      <c r="A712" s="794" t="n">
        <v>45818</v>
      </c>
      <c r="B712" t="n">
        <v>391.4</v>
      </c>
      <c r="C712" t="n">
        <v>527.5</v>
      </c>
      <c r="D712" t="n">
        <v>12.9</v>
      </c>
      <c r="E712" t="n">
        <v>46.8</v>
      </c>
      <c r="F712" t="n">
        <v>8.6</v>
      </c>
      <c r="G712" t="n">
        <v>102.4</v>
      </c>
      <c r="H712" t="n">
        <v>8.9</v>
      </c>
      <c r="I712" t="n">
        <v>36.8</v>
      </c>
      <c r="J712" t="n">
        <v>7.3</v>
      </c>
      <c r="K712">
        <f>SUM(B712:J712)</f>
        <v/>
      </c>
    </row>
    <row r="713">
      <c r="A713" s="794" t="n">
        <v>45819</v>
      </c>
      <c r="B713" t="n">
        <v>413.8</v>
      </c>
      <c r="C713" t="n">
        <v>446.2</v>
      </c>
      <c r="D713" t="n">
        <v>7.9</v>
      </c>
      <c r="E713" t="n">
        <v>50.6</v>
      </c>
      <c r="F713" t="n">
        <v>12.4</v>
      </c>
      <c r="G713" t="n">
        <v>115</v>
      </c>
      <c r="H713" t="n">
        <v>9.6</v>
      </c>
      <c r="I713" t="n">
        <v>28.6</v>
      </c>
      <c r="J713" t="n">
        <v>7.4</v>
      </c>
      <c r="K713">
        <f>SUM(B713:J713)</f>
        <v/>
      </c>
    </row>
    <row r="714">
      <c r="A714" s="794" t="n">
        <v>45820</v>
      </c>
      <c r="B714" t="n">
        <v>385.9</v>
      </c>
      <c r="C714" t="n">
        <v>502.5</v>
      </c>
      <c r="D714" t="n">
        <v>6.7</v>
      </c>
      <c r="E714" t="n">
        <v>51.2</v>
      </c>
      <c r="F714" t="n">
        <v>3.8</v>
      </c>
      <c r="G714" t="n">
        <v>117.2</v>
      </c>
      <c r="H714" t="n">
        <v>6.1</v>
      </c>
      <c r="I714" t="n">
        <v>24.1</v>
      </c>
      <c r="J714" t="n">
        <v>9.9</v>
      </c>
      <c r="K714">
        <f>SUM(B714:J714)</f>
        <v/>
      </c>
    </row>
    <row r="715">
      <c r="A715" s="794" t="n">
        <v>45821</v>
      </c>
      <c r="B715" t="n">
        <v>386.8</v>
      </c>
      <c r="C715" t="n">
        <v>525.4</v>
      </c>
      <c r="D715" t="n">
        <v>11.1</v>
      </c>
      <c r="E715" t="n">
        <v>55.7</v>
      </c>
      <c r="F715" t="n">
        <v>19.6</v>
      </c>
      <c r="G715" t="n">
        <v>111.4</v>
      </c>
      <c r="H715" t="n">
        <v>15.1</v>
      </c>
      <c r="I715" t="n">
        <v>25</v>
      </c>
      <c r="J715" t="n">
        <v>8.1</v>
      </c>
      <c r="K715">
        <f>SUM(B715:J715)</f>
        <v/>
      </c>
    </row>
    <row r="716">
      <c r="A716" s="794" t="n">
        <v>45822</v>
      </c>
      <c r="B716" t="n">
        <v>434.7</v>
      </c>
      <c r="C716" t="n">
        <v>438.2</v>
      </c>
      <c r="D716" t="n">
        <v>15.4</v>
      </c>
      <c r="E716" t="n">
        <v>55.1</v>
      </c>
      <c r="F716" t="n">
        <v>9.800000000000001</v>
      </c>
      <c r="G716" t="n">
        <v>91.09999999999999</v>
      </c>
      <c r="H716" t="n">
        <v>5.8</v>
      </c>
      <c r="I716" t="n">
        <v>35.1</v>
      </c>
      <c r="J716" t="n">
        <v>14.2</v>
      </c>
      <c r="K716">
        <f>SUM(B716:J716)</f>
        <v/>
      </c>
    </row>
    <row r="717">
      <c r="A717" s="794" t="n">
        <v>45823</v>
      </c>
      <c r="B717" t="n">
        <v>319.2</v>
      </c>
      <c r="C717" t="n">
        <v>386.3</v>
      </c>
      <c r="D717" t="n">
        <v>12.4</v>
      </c>
      <c r="E717" t="n">
        <v>23.4</v>
      </c>
      <c r="F717" t="n">
        <v>19.7</v>
      </c>
      <c r="G717" t="n">
        <v>99</v>
      </c>
      <c r="J717" t="n">
        <v>9.5</v>
      </c>
      <c r="K717">
        <f>SUM(B717:J717)</f>
        <v/>
      </c>
    </row>
    <row r="718">
      <c r="A718" s="794" t="n">
        <v>45824</v>
      </c>
      <c r="B718" t="n">
        <v>286.9</v>
      </c>
      <c r="C718" t="n">
        <v>149.2</v>
      </c>
      <c r="D718" t="n">
        <v>5</v>
      </c>
      <c r="F718" t="n">
        <v>1.9</v>
      </c>
      <c r="I718" t="n">
        <v>10.2</v>
      </c>
      <c r="J718" t="n">
        <v>8.6</v>
      </c>
      <c r="K718">
        <f>SUM(B718:J718)</f>
        <v/>
      </c>
    </row>
    <row r="719">
      <c r="A719" s="794" t="n">
        <v>45825</v>
      </c>
      <c r="B719" t="n">
        <v>338.8</v>
      </c>
      <c r="C719" t="n">
        <v>437</v>
      </c>
      <c r="D719" t="n">
        <v>4.6</v>
      </c>
      <c r="E719" t="n">
        <v>60.1</v>
      </c>
      <c r="F719" t="n">
        <v>21.3</v>
      </c>
      <c r="G719" t="n">
        <v>120.9</v>
      </c>
      <c r="H719" t="n">
        <v>6.8</v>
      </c>
      <c r="I719" t="n">
        <v>5.5</v>
      </c>
      <c r="J719" t="n">
        <v>13.6</v>
      </c>
      <c r="K719">
        <f>SUM(B719:J719)</f>
        <v/>
      </c>
    </row>
    <row r="720">
      <c r="A720" s="794" t="n">
        <v>45826</v>
      </c>
      <c r="B720" t="n">
        <v>381.7</v>
      </c>
      <c r="C720" t="n">
        <v>416.8</v>
      </c>
      <c r="D720" t="n">
        <v>8.1</v>
      </c>
      <c r="E720" t="n">
        <v>51.3</v>
      </c>
      <c r="F720" t="n">
        <v>3</v>
      </c>
      <c r="G720" t="n">
        <v>121.9</v>
      </c>
      <c r="H720" t="n">
        <v>7.9</v>
      </c>
      <c r="I720" t="n">
        <v>24.3</v>
      </c>
      <c r="J720" t="n">
        <v>3.8</v>
      </c>
      <c r="K720">
        <f>SUM(B720:J720)</f>
        <v/>
      </c>
    </row>
    <row r="721">
      <c r="A721" s="794" t="n">
        <v>45827</v>
      </c>
      <c r="B721" t="n">
        <v>479.7</v>
      </c>
      <c r="C721" t="n">
        <v>517.9</v>
      </c>
      <c r="D721" t="n">
        <v>3.2</v>
      </c>
      <c r="E721" t="n">
        <v>63.2</v>
      </c>
      <c r="F721" t="n">
        <v>2.8</v>
      </c>
      <c r="G721" t="n">
        <v>129.4</v>
      </c>
      <c r="H721" t="n">
        <v>9.4</v>
      </c>
      <c r="I721" t="n">
        <v>22.2</v>
      </c>
      <c r="J721" t="n">
        <v>13.6</v>
      </c>
      <c r="K721">
        <f>SUM(B721:J721)</f>
        <v/>
      </c>
    </row>
    <row r="722">
      <c r="A722" s="794" t="n">
        <v>45828</v>
      </c>
      <c r="B722" t="n">
        <v>365.6</v>
      </c>
      <c r="C722" t="n">
        <v>494.4</v>
      </c>
      <c r="D722" t="n">
        <v>6.4</v>
      </c>
      <c r="E722" t="n">
        <v>63.5</v>
      </c>
      <c r="F722" t="n">
        <v>9.4</v>
      </c>
      <c r="G722" t="n">
        <v>121</v>
      </c>
      <c r="H722" t="n">
        <v>8.1</v>
      </c>
      <c r="I722" t="n">
        <v>28.4</v>
      </c>
      <c r="J722" t="n">
        <v>7.5</v>
      </c>
      <c r="K722">
        <f>SUM(B722:J722)</f>
        <v/>
      </c>
    </row>
    <row r="723">
      <c r="A723" s="794" t="n">
        <v>45829</v>
      </c>
      <c r="B723" t="n">
        <v>415.7</v>
      </c>
      <c r="C723" t="n">
        <v>406.3</v>
      </c>
      <c r="D723" t="n">
        <v>2.3</v>
      </c>
      <c r="E723" t="n">
        <v>49.5</v>
      </c>
      <c r="F723" t="n">
        <v>35.4</v>
      </c>
      <c r="G723" t="n">
        <v>111.2</v>
      </c>
      <c r="H723" t="n">
        <v>10.6</v>
      </c>
      <c r="I723" t="n">
        <v>17.3</v>
      </c>
      <c r="J723" t="n">
        <v>10.2</v>
      </c>
      <c r="K723">
        <f>SUM(B723:J723)</f>
        <v/>
      </c>
    </row>
    <row r="724">
      <c r="A724" s="794" t="n">
        <v>45830</v>
      </c>
      <c r="B724" t="n">
        <v>461.7</v>
      </c>
      <c r="C724" t="n">
        <v>342.4</v>
      </c>
      <c r="D724" t="n">
        <v>8.4</v>
      </c>
      <c r="E724" t="n">
        <v>26.1</v>
      </c>
      <c r="F724" t="n">
        <v>26.9</v>
      </c>
      <c r="G724" t="n">
        <v>92.59999999999999</v>
      </c>
      <c r="H724" t="n">
        <v>4.9</v>
      </c>
      <c r="I724" t="n">
        <v>33.9</v>
      </c>
      <c r="J724" t="n">
        <v>27.4</v>
      </c>
      <c r="K724">
        <f>SUM(B724:J724)</f>
        <v/>
      </c>
    </row>
    <row r="725">
      <c r="A725" s="794" t="n">
        <v>45831</v>
      </c>
      <c r="B725" t="n">
        <v>299.7</v>
      </c>
      <c r="C725" t="n">
        <v>135</v>
      </c>
      <c r="D725" t="n">
        <v>9.800000000000001</v>
      </c>
      <c r="F725" t="n">
        <v>17.5</v>
      </c>
      <c r="H725" t="n">
        <v>3.8</v>
      </c>
      <c r="I725" t="n">
        <v>37.7</v>
      </c>
      <c r="J725" t="n">
        <v>8.699999999999999</v>
      </c>
      <c r="K725">
        <f>SUM(B725:J725)</f>
        <v/>
      </c>
    </row>
    <row r="726">
      <c r="A726" s="794" t="n">
        <v>45832</v>
      </c>
      <c r="B726" t="n">
        <v>414.7</v>
      </c>
      <c r="C726" t="n">
        <v>463.2</v>
      </c>
      <c r="D726" t="n">
        <v>17.6</v>
      </c>
      <c r="E726" t="n">
        <v>48.4</v>
      </c>
      <c r="F726" t="n">
        <v>24.2</v>
      </c>
      <c r="G726" t="n">
        <v>140.5</v>
      </c>
      <c r="H726" t="n">
        <v>8</v>
      </c>
      <c r="I726" t="n">
        <v>11.9</v>
      </c>
      <c r="J726" t="n">
        <v>15.3</v>
      </c>
      <c r="K726">
        <f>SUM(B726:J726)</f>
        <v/>
      </c>
    </row>
    <row r="727">
      <c r="A727" s="794" t="n">
        <v>45833</v>
      </c>
      <c r="B727" t="n">
        <v>456.9</v>
      </c>
      <c r="C727" t="n">
        <v>500.6</v>
      </c>
      <c r="D727" t="n">
        <v>10.3</v>
      </c>
      <c r="E727" t="n">
        <v>64.59999999999999</v>
      </c>
      <c r="F727" t="n">
        <v>5</v>
      </c>
      <c r="G727" t="n">
        <v>107.5</v>
      </c>
      <c r="H727" t="n">
        <v>10.1</v>
      </c>
      <c r="I727" t="n">
        <v>20.9</v>
      </c>
      <c r="J727" t="n">
        <v>10.2</v>
      </c>
      <c r="K727">
        <f>SUM(B727:J727)</f>
        <v/>
      </c>
    </row>
    <row r="728">
      <c r="A728" s="794" t="n">
        <v>45834</v>
      </c>
      <c r="B728" t="n">
        <v>532.6</v>
      </c>
      <c r="C728" t="n">
        <v>534.6</v>
      </c>
      <c r="D728" t="n">
        <v>13.1</v>
      </c>
      <c r="E728" t="n">
        <v>59.2</v>
      </c>
      <c r="F728" t="n">
        <v>3.6</v>
      </c>
      <c r="G728" t="n">
        <v>117.3</v>
      </c>
      <c r="H728" t="n">
        <v>8.6</v>
      </c>
      <c r="I728" t="n">
        <v>4.1</v>
      </c>
      <c r="J728" t="n">
        <v>9</v>
      </c>
      <c r="K728">
        <f>SUM(B728:J728)</f>
        <v/>
      </c>
    </row>
    <row r="729">
      <c r="A729" s="794" t="n">
        <v>45835</v>
      </c>
      <c r="B729" t="n">
        <v>436</v>
      </c>
      <c r="C729" t="n">
        <v>442.4</v>
      </c>
      <c r="D729" t="n">
        <v>6.8</v>
      </c>
      <c r="E729" t="n">
        <v>51.3</v>
      </c>
      <c r="F729" t="n">
        <v>12.5</v>
      </c>
      <c r="G729" t="n">
        <v>116.9</v>
      </c>
      <c r="H729" t="n">
        <v>10.3</v>
      </c>
      <c r="I729" t="n">
        <v>26.1</v>
      </c>
      <c r="J729" t="n">
        <v>11.6</v>
      </c>
      <c r="K729">
        <f>SUM(B729:J729)</f>
        <v/>
      </c>
    </row>
    <row r="730">
      <c r="A730" s="794" t="n">
        <v>45836</v>
      </c>
      <c r="B730" t="n">
        <v>403</v>
      </c>
      <c r="C730" t="n">
        <v>457.5</v>
      </c>
      <c r="D730" t="n">
        <v>9.4</v>
      </c>
      <c r="E730" t="n">
        <v>51.1</v>
      </c>
      <c r="F730" t="n">
        <v>8.1</v>
      </c>
      <c r="G730" t="n">
        <v>105.4</v>
      </c>
      <c r="H730" t="n">
        <v>5.2</v>
      </c>
      <c r="I730" t="n">
        <v>15</v>
      </c>
      <c r="J730" t="n">
        <v>13.2</v>
      </c>
      <c r="K730">
        <f>SUM(B730:J730)</f>
        <v/>
      </c>
    </row>
    <row r="731">
      <c r="A731" s="794" t="n">
        <v>45837</v>
      </c>
      <c r="B731" t="n">
        <v>482.9</v>
      </c>
      <c r="C731" t="n">
        <v>339.6</v>
      </c>
      <c r="D731" t="n">
        <v>9.800000000000001</v>
      </c>
      <c r="E731" t="n">
        <v>14.8</v>
      </c>
      <c r="F731" t="n">
        <v>16.6</v>
      </c>
      <c r="G731" t="n">
        <v>92.3</v>
      </c>
      <c r="I731" t="n">
        <v>28.4</v>
      </c>
      <c r="J731" t="n">
        <v>7.8</v>
      </c>
      <c r="K731">
        <f>SUM(B731:J731)</f>
        <v/>
      </c>
    </row>
    <row r="732">
      <c r="A732" s="794" t="n">
        <v>45838</v>
      </c>
      <c r="B732" t="n">
        <v>316</v>
      </c>
      <c r="C732" t="n">
        <v>101.1</v>
      </c>
      <c r="D732" t="n">
        <v>12.1</v>
      </c>
      <c r="F732" t="n">
        <v>0.8</v>
      </c>
      <c r="H732" t="n">
        <v>10.5</v>
      </c>
      <c r="I732" t="n">
        <v>21.6</v>
      </c>
      <c r="J732" t="n">
        <v>9.6</v>
      </c>
      <c r="K732">
        <f>SUM(B732:J732)</f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3437"/>
  <sheetViews>
    <sheetView workbookViewId="0">
      <pane ySplit="5" topLeftCell="A165" activePane="bottomLeft" state="frozen"/>
      <selection pane="bottomLeft" activeCell="A1" sqref="A1"/>
    </sheetView>
  </sheetViews>
  <sheetFormatPr baseColWidth="10" defaultColWidth="13.6640625" defaultRowHeight="14"/>
  <cols>
    <col width="13.6640625" customWidth="1" style="50" min="1" max="1"/>
    <col width="13.6640625" customWidth="1" style="39" min="2" max="9"/>
    <col width="13.6640625" customWidth="1" style="45" min="10" max="10"/>
    <col width="13.6640625" customWidth="1" style="39" min="11" max="14"/>
    <col width="13.6640625" customWidth="1" style="45" min="15" max="15"/>
    <col width="13.6640625" customWidth="1" style="34" min="16" max="16"/>
    <col width="13.6640625" customWidth="1" style="31" min="17" max="16384"/>
  </cols>
  <sheetData>
    <row r="1" customFormat="1" s="21">
      <c r="A1" s="19" t="inlineStr">
        <is>
          <t>Paper Consumption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</row>
    <row r="2" ht="47.25" customFormat="1" customHeight="1" s="24">
      <c r="A2" s="22" t="inlineStr">
        <is>
          <t>Category</t>
        </is>
      </c>
      <c r="B2" s="795" t="inlineStr">
        <is>
          <t xml:space="preserve">A3 Paper (80gsm) </t>
        </is>
      </c>
      <c r="C2" s="706" t="n"/>
      <c r="D2" s="795" t="inlineStr">
        <is>
          <t>0% Recycled A4 paper</t>
        </is>
      </c>
      <c r="E2" s="706" t="n"/>
      <c r="F2" s="795" t="inlineStr">
        <is>
          <t xml:space="preserve"> 100% Recycled A3 Paper</t>
        </is>
      </c>
      <c r="G2" s="706" t="n"/>
      <c r="H2" s="795" t="inlineStr">
        <is>
          <t xml:space="preserve"> 100% Recycled A4 Paper</t>
        </is>
      </c>
      <c r="I2" s="706" t="n"/>
      <c r="J2" s="23" t="inlineStr">
        <is>
          <t xml:space="preserve">Office Paper Total </t>
        </is>
      </c>
      <c r="K2" s="795" t="inlineStr">
        <is>
          <t>Toilet Roll</t>
        </is>
      </c>
      <c r="L2" s="706" t="n"/>
      <c r="M2" s="795" t="inlineStr">
        <is>
          <t xml:space="preserve">Paper Towel </t>
        </is>
      </c>
      <c r="N2" s="706" t="n"/>
      <c r="O2" s="23" t="inlineStr">
        <is>
          <t>Toilet Paper Total</t>
        </is>
      </c>
      <c r="P2" s="23" t="inlineStr">
        <is>
          <t>Paper Waste Disposed</t>
        </is>
      </c>
    </row>
    <row r="3" customFormat="1" s="21">
      <c r="A3" s="19" t="inlineStr">
        <is>
          <t>Unit</t>
        </is>
      </c>
      <c r="B3" s="20" t="inlineStr">
        <is>
          <t>ream @ 5kg</t>
        </is>
      </c>
      <c r="C3" s="20" t="inlineStr">
        <is>
          <t>Kg</t>
        </is>
      </c>
      <c r="D3" s="20" t="inlineStr">
        <is>
          <t xml:space="preserve">ream  (80gsm) @ 2.5kg </t>
        </is>
      </c>
      <c r="E3" s="20" t="inlineStr">
        <is>
          <t>Kg</t>
        </is>
      </c>
      <c r="F3" s="20" t="inlineStr">
        <is>
          <t>ream @ 5kg</t>
        </is>
      </c>
      <c r="G3" s="20" t="inlineStr">
        <is>
          <t>Kg</t>
        </is>
      </c>
      <c r="H3" s="20" t="inlineStr">
        <is>
          <t xml:space="preserve">ream  (80gsm)  @2.5kg </t>
        </is>
      </c>
      <c r="I3" s="20" t="inlineStr">
        <is>
          <t>Kg</t>
        </is>
      </c>
      <c r="J3" s="20" t="inlineStr">
        <is>
          <t xml:space="preserve">Kg </t>
        </is>
      </c>
      <c r="K3" s="20" t="inlineStr">
        <is>
          <t xml:space="preserve">Roll @1kg </t>
        </is>
      </c>
      <c r="L3" s="20" t="inlineStr">
        <is>
          <t>kg</t>
        </is>
      </c>
      <c r="M3" s="20" t="inlineStr">
        <is>
          <t xml:space="preserve">Roll @1.6kg </t>
        </is>
      </c>
      <c r="N3" s="20" t="inlineStr">
        <is>
          <t xml:space="preserve">kg </t>
        </is>
      </c>
      <c r="O3" s="20" t="inlineStr">
        <is>
          <t>kg</t>
        </is>
      </c>
      <c r="P3" s="20" t="inlineStr">
        <is>
          <t>kg</t>
        </is>
      </c>
    </row>
    <row r="4" customFormat="1" s="21">
      <c r="A4" s="19" t="inlineStr">
        <is>
          <t>Contact ppl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</row>
    <row r="5" customFormat="1" s="21">
      <c r="A5" s="19" t="inlineStr">
        <is>
          <t xml:space="preserve">Working 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</row>
    <row r="6">
      <c r="A6" s="25" t="n">
        <v>40544</v>
      </c>
      <c r="B6" s="26" t="n">
        <v>30</v>
      </c>
      <c r="C6" s="26">
        <f>B6*5</f>
        <v/>
      </c>
      <c r="D6" s="26" t="n">
        <v>3285</v>
      </c>
      <c r="E6" s="26">
        <f>D6*2.5</f>
        <v/>
      </c>
      <c r="F6" s="26" t="n"/>
      <c r="G6" s="26" t="n"/>
      <c r="H6" s="26" t="n">
        <v>290</v>
      </c>
      <c r="I6" s="26">
        <f>H6*2.5</f>
        <v/>
      </c>
      <c r="J6" s="27">
        <f>C6+E6+I6</f>
        <v/>
      </c>
      <c r="K6" s="28" t="n"/>
      <c r="L6" s="28" t="n"/>
      <c r="M6" s="28" t="n"/>
      <c r="N6" s="28" t="n"/>
      <c r="O6" s="29" t="n"/>
      <c r="P6" s="30">
        <f>J6+O6</f>
        <v/>
      </c>
    </row>
    <row r="7">
      <c r="A7" s="25" t="n">
        <v>40575</v>
      </c>
      <c r="B7" s="26" t="n">
        <v>10</v>
      </c>
      <c r="C7" s="26">
        <f>B7*5</f>
        <v/>
      </c>
      <c r="D7" s="26" t="n">
        <v>2690</v>
      </c>
      <c r="E7" s="26">
        <f>D7*2.5</f>
        <v/>
      </c>
      <c r="F7" s="26" t="n"/>
      <c r="G7" s="26" t="n"/>
      <c r="H7" s="26" t="n">
        <v>100</v>
      </c>
      <c r="I7" s="26">
        <f>H7*2.5</f>
        <v/>
      </c>
      <c r="J7" s="27">
        <f>C7+E7+I7</f>
        <v/>
      </c>
      <c r="K7" s="28" t="n"/>
      <c r="L7" s="28" t="n"/>
      <c r="M7" s="28" t="n"/>
      <c r="N7" s="28" t="n"/>
      <c r="O7" s="29" t="n"/>
      <c r="P7" s="30">
        <f>J7+O7</f>
        <v/>
      </c>
    </row>
    <row r="8">
      <c r="A8" s="25" t="n">
        <v>40603</v>
      </c>
      <c r="B8" s="26" t="n">
        <v>15</v>
      </c>
      <c r="C8" s="26">
        <f>B8*5</f>
        <v/>
      </c>
      <c r="D8" s="26" t="n">
        <v>3040</v>
      </c>
      <c r="E8" s="26">
        <f>D8*2.5</f>
        <v/>
      </c>
      <c r="F8" s="26" t="n"/>
      <c r="G8" s="26" t="n"/>
      <c r="H8" s="26" t="n">
        <v>240</v>
      </c>
      <c r="I8" s="26">
        <f>H8*2.5</f>
        <v/>
      </c>
      <c r="J8" s="27">
        <f>C8+E8+I8</f>
        <v/>
      </c>
      <c r="K8" s="28" t="n"/>
      <c r="L8" s="28" t="n"/>
      <c r="M8" s="28" t="n"/>
      <c r="N8" s="28" t="n"/>
      <c r="O8" s="29" t="n"/>
      <c r="P8" s="30">
        <f>J8+O8</f>
        <v/>
      </c>
    </row>
    <row r="9">
      <c r="A9" s="25" t="n">
        <v>40634</v>
      </c>
      <c r="B9" s="26" t="n">
        <v>25</v>
      </c>
      <c r="C9" s="26">
        <f>B9*5</f>
        <v/>
      </c>
      <c r="D9" s="26" t="n">
        <v>3495</v>
      </c>
      <c r="E9" s="26">
        <f>D9*2.5</f>
        <v/>
      </c>
      <c r="F9" s="26" t="n"/>
      <c r="G9" s="26" t="n"/>
      <c r="H9" s="26" t="n">
        <v>255</v>
      </c>
      <c r="I9" s="26">
        <f>H9*2.5</f>
        <v/>
      </c>
      <c r="J9" s="27">
        <f>C9+E9+I9</f>
        <v/>
      </c>
      <c r="K9" s="28" t="n"/>
      <c r="L9" s="28" t="n"/>
      <c r="M9" s="28" t="n"/>
      <c r="N9" s="28" t="n"/>
      <c r="O9" s="29" t="n"/>
      <c r="P9" s="30">
        <f>J9+O9</f>
        <v/>
      </c>
    </row>
    <row r="10">
      <c r="A10" s="25" t="n">
        <v>40664</v>
      </c>
      <c r="B10" s="26" t="n">
        <v>35</v>
      </c>
      <c r="C10" s="26">
        <f>B10*5</f>
        <v/>
      </c>
      <c r="D10" s="26" t="n">
        <v>3295</v>
      </c>
      <c r="E10" s="26">
        <f>D10*2.5</f>
        <v/>
      </c>
      <c r="F10" s="26" t="n"/>
      <c r="G10" s="26" t="n"/>
      <c r="H10" s="26" t="n">
        <v>235</v>
      </c>
      <c r="I10" s="26">
        <f>H10*2.5</f>
        <v/>
      </c>
      <c r="J10" s="27">
        <f>C10+E10+I10</f>
        <v/>
      </c>
      <c r="K10" s="28" t="n"/>
      <c r="L10" s="28" t="n"/>
      <c r="M10" s="28" t="n"/>
      <c r="N10" s="28" t="n"/>
      <c r="O10" s="29" t="n"/>
      <c r="P10" s="30">
        <f>J10+O10</f>
        <v/>
      </c>
    </row>
    <row r="11">
      <c r="A11" s="25" t="n">
        <v>40695</v>
      </c>
      <c r="B11" s="26" t="n">
        <v>45</v>
      </c>
      <c r="C11" s="26">
        <f>B11*5</f>
        <v/>
      </c>
      <c r="D11" s="26" t="n">
        <v>4720</v>
      </c>
      <c r="E11" s="26">
        <f>D11*2.5</f>
        <v/>
      </c>
      <c r="F11" s="26" t="n"/>
      <c r="G11" s="26" t="n"/>
      <c r="H11" s="26" t="n">
        <v>285</v>
      </c>
      <c r="I11" s="26">
        <f>H11*2.5</f>
        <v/>
      </c>
      <c r="J11" s="27">
        <f>C11+E11+I11</f>
        <v/>
      </c>
      <c r="K11" s="28" t="n"/>
      <c r="L11" s="28" t="n"/>
      <c r="M11" s="28" t="n"/>
      <c r="N11" s="28" t="n"/>
      <c r="O11" s="29" t="n"/>
      <c r="P11" s="30">
        <f>J11+O11</f>
        <v/>
      </c>
    </row>
    <row r="12">
      <c r="A12" s="25" t="n">
        <v>40725</v>
      </c>
      <c r="B12" s="26" t="n">
        <v>45</v>
      </c>
      <c r="C12" s="26">
        <f>B12*5</f>
        <v/>
      </c>
      <c r="D12" s="26" t="n">
        <v>2490</v>
      </c>
      <c r="E12" s="26">
        <f>D12*2.5</f>
        <v/>
      </c>
      <c r="F12" s="26" t="n"/>
      <c r="G12" s="26" t="n"/>
      <c r="H12" s="26" t="n">
        <v>190</v>
      </c>
      <c r="I12" s="26">
        <f>H12*2.5</f>
        <v/>
      </c>
      <c r="J12" s="27">
        <f>C12+E12+I12</f>
        <v/>
      </c>
      <c r="K12" s="28" t="n"/>
      <c r="L12" s="28" t="n"/>
      <c r="M12" s="28" t="n"/>
      <c r="N12" s="28" t="n"/>
      <c r="O12" s="29" t="n"/>
      <c r="P12" s="30">
        <f>J12+O12</f>
        <v/>
      </c>
    </row>
    <row r="13">
      <c r="A13" s="25" t="n">
        <v>40756</v>
      </c>
      <c r="B13" s="26" t="n">
        <v>30</v>
      </c>
      <c r="C13" s="26">
        <f>B13*5</f>
        <v/>
      </c>
      <c r="D13" s="26" t="n">
        <v>2245</v>
      </c>
      <c r="E13" s="26">
        <f>D13*2.5</f>
        <v/>
      </c>
      <c r="F13" s="26" t="n"/>
      <c r="G13" s="26" t="n"/>
      <c r="H13" s="26" t="n">
        <v>160</v>
      </c>
      <c r="I13" s="26">
        <f>H13*2.5</f>
        <v/>
      </c>
      <c r="J13" s="27">
        <f>C13+E13+I13</f>
        <v/>
      </c>
      <c r="K13" s="28" t="n"/>
      <c r="L13" s="28" t="n"/>
      <c r="M13" s="28" t="n"/>
      <c r="N13" s="28" t="n"/>
      <c r="O13" s="29" t="n"/>
      <c r="P13" s="30">
        <f>J13+O13</f>
        <v/>
      </c>
    </row>
    <row r="14">
      <c r="A14" s="25" t="n">
        <v>40787</v>
      </c>
      <c r="B14" s="26" t="n">
        <v>30</v>
      </c>
      <c r="C14" s="26">
        <f>B14*5</f>
        <v/>
      </c>
      <c r="D14" s="26" t="n">
        <v>2390</v>
      </c>
      <c r="E14" s="26">
        <f>D14*2.5</f>
        <v/>
      </c>
      <c r="F14" s="26" t="n"/>
      <c r="G14" s="26" t="n"/>
      <c r="H14" s="26" t="n">
        <v>385</v>
      </c>
      <c r="I14" s="26">
        <f>H14*2.5</f>
        <v/>
      </c>
      <c r="J14" s="27">
        <f>C14+E14+I14</f>
        <v/>
      </c>
      <c r="K14" s="28" t="n"/>
      <c r="L14" s="28" t="n"/>
      <c r="M14" s="28" t="n"/>
      <c r="N14" s="28" t="n"/>
      <c r="O14" s="29" t="n"/>
      <c r="P14" s="30">
        <f>J14+O14</f>
        <v/>
      </c>
    </row>
    <row r="15">
      <c r="A15" s="25" t="n">
        <v>40817</v>
      </c>
      <c r="B15" s="26" t="n">
        <v>45</v>
      </c>
      <c r="C15" s="26">
        <f>B15*5</f>
        <v/>
      </c>
      <c r="D15" s="26" t="n">
        <v>3845</v>
      </c>
      <c r="E15" s="26">
        <f>D15*2.5</f>
        <v/>
      </c>
      <c r="F15" s="26" t="n"/>
      <c r="G15" s="26" t="n"/>
      <c r="H15" s="26" t="n">
        <v>470</v>
      </c>
      <c r="I15" s="26">
        <f>H15*2.5</f>
        <v/>
      </c>
      <c r="J15" s="27">
        <f>C15+E15+I15</f>
        <v/>
      </c>
      <c r="K15" s="28" t="n"/>
      <c r="L15" s="28" t="n"/>
      <c r="M15" s="28" t="n"/>
      <c r="N15" s="28" t="n"/>
      <c r="O15" s="29" t="n"/>
      <c r="P15" s="30">
        <f>J15+O15</f>
        <v/>
      </c>
    </row>
    <row r="16">
      <c r="A16" s="25" t="n">
        <v>40848</v>
      </c>
      <c r="B16" s="26" t="n">
        <v>55</v>
      </c>
      <c r="C16" s="26">
        <f>B16*5</f>
        <v/>
      </c>
      <c r="D16" s="26" t="n">
        <v>3630</v>
      </c>
      <c r="E16" s="26">
        <f>D16*2.5</f>
        <v/>
      </c>
      <c r="F16" s="26" t="n"/>
      <c r="G16" s="26" t="n"/>
      <c r="H16" s="26" t="n">
        <v>240</v>
      </c>
      <c r="I16" s="26">
        <f>H16*2.5</f>
        <v/>
      </c>
      <c r="J16" s="27">
        <f>C16+E16+I16</f>
        <v/>
      </c>
      <c r="K16" s="28" t="n"/>
      <c r="L16" s="28" t="n"/>
      <c r="M16" s="28" t="n"/>
      <c r="N16" s="28" t="n"/>
      <c r="O16" s="29" t="n"/>
      <c r="P16" s="30">
        <f>J16+O16</f>
        <v/>
      </c>
    </row>
    <row r="17">
      <c r="A17" s="25" t="n">
        <v>40878</v>
      </c>
      <c r="B17" s="26" t="n">
        <v>30</v>
      </c>
      <c r="C17" s="26">
        <f>B17*5</f>
        <v/>
      </c>
      <c r="D17" s="26" t="n">
        <v>3595</v>
      </c>
      <c r="E17" s="26">
        <f>D17*2.5</f>
        <v/>
      </c>
      <c r="F17" s="26" t="n"/>
      <c r="G17" s="26" t="n"/>
      <c r="H17" s="26" t="n">
        <v>210</v>
      </c>
      <c r="I17" s="26">
        <f>H17*2.5</f>
        <v/>
      </c>
      <c r="J17" s="27">
        <f>C17+E17+I17</f>
        <v/>
      </c>
      <c r="K17" s="28" t="n"/>
      <c r="L17" s="28" t="n"/>
      <c r="M17" s="28" t="n"/>
      <c r="N17" s="28" t="n"/>
      <c r="O17" s="29" t="n"/>
      <c r="P17" s="30">
        <f>J17+O17</f>
        <v/>
      </c>
    </row>
    <row r="18">
      <c r="A18" s="25" t="n">
        <v>40909</v>
      </c>
      <c r="B18" s="26" t="n">
        <v>27</v>
      </c>
      <c r="C18" s="26">
        <f>B18*5</f>
        <v/>
      </c>
      <c r="D18" s="26" t="n">
        <v>3180</v>
      </c>
      <c r="E18" s="26">
        <f>D18*2.5</f>
        <v/>
      </c>
      <c r="F18" s="26" t="n"/>
      <c r="G18" s="26" t="n"/>
      <c r="H18" s="26" t="n">
        <v>205</v>
      </c>
      <c r="I18" s="26">
        <f>H18*2.5</f>
        <v/>
      </c>
      <c r="J18" s="27">
        <f>C18+E18+I18</f>
        <v/>
      </c>
      <c r="K18" s="28" t="n"/>
      <c r="L18" s="28" t="n"/>
      <c r="M18" s="28" t="n"/>
      <c r="N18" s="28" t="n"/>
      <c r="O18" s="29" t="n"/>
      <c r="P18" s="30">
        <f>J18+O18</f>
        <v/>
      </c>
    </row>
    <row r="19">
      <c r="A19" s="25" t="n">
        <v>40940</v>
      </c>
      <c r="B19" s="26" t="n">
        <v>33</v>
      </c>
      <c r="C19" s="26">
        <f>B19*5</f>
        <v/>
      </c>
      <c r="D19" s="26" t="n">
        <v>2385</v>
      </c>
      <c r="E19" s="26">
        <f>D19*2.5</f>
        <v/>
      </c>
      <c r="F19" s="26" t="n"/>
      <c r="G19" s="26" t="n"/>
      <c r="H19" s="26" t="n">
        <v>180</v>
      </c>
      <c r="I19" s="26">
        <f>H19*2.5</f>
        <v/>
      </c>
      <c r="J19" s="27">
        <f>C19+E19+I19</f>
        <v/>
      </c>
      <c r="K19" s="28" t="n"/>
      <c r="L19" s="28" t="n"/>
      <c r="M19" s="28" t="n"/>
      <c r="N19" s="28" t="n"/>
      <c r="O19" s="29" t="n"/>
      <c r="P19" s="30">
        <f>J19+O19</f>
        <v/>
      </c>
    </row>
    <row r="20">
      <c r="A20" s="25" t="n">
        <v>40969</v>
      </c>
      <c r="B20" s="26" t="n">
        <v>33</v>
      </c>
      <c r="C20" s="26">
        <f>B20*5</f>
        <v/>
      </c>
      <c r="D20" s="26" t="n">
        <v>3610</v>
      </c>
      <c r="E20" s="26">
        <f>D20*2.5</f>
        <v/>
      </c>
      <c r="F20" s="26" t="n"/>
      <c r="G20" s="26" t="n"/>
      <c r="H20" s="26" t="n">
        <v>300</v>
      </c>
      <c r="I20" s="26">
        <f>H20*2.5</f>
        <v/>
      </c>
      <c r="J20" s="27">
        <f>C20+E20+I20</f>
        <v/>
      </c>
      <c r="K20" s="28" t="n"/>
      <c r="L20" s="28" t="n"/>
      <c r="M20" s="28" t="n"/>
      <c r="N20" s="28" t="n"/>
      <c r="O20" s="29" t="n"/>
      <c r="P20" s="30">
        <f>J20+O20</f>
        <v/>
      </c>
    </row>
    <row r="21">
      <c r="A21" s="25" t="n">
        <v>41000</v>
      </c>
      <c r="B21" s="26" t="n">
        <v>15</v>
      </c>
      <c r="C21" s="26">
        <f>B21*5</f>
        <v/>
      </c>
      <c r="D21" s="26" t="n">
        <v>3050</v>
      </c>
      <c r="E21" s="26">
        <f>D21*2.5</f>
        <v/>
      </c>
      <c r="F21" s="26" t="n"/>
      <c r="G21" s="26" t="n"/>
      <c r="H21" s="26" t="n">
        <v>485</v>
      </c>
      <c r="I21" s="26">
        <f>H21*2.5</f>
        <v/>
      </c>
      <c r="J21" s="27">
        <f>C21+E21+I21</f>
        <v/>
      </c>
      <c r="K21" s="28" t="n"/>
      <c r="L21" s="28" t="n"/>
      <c r="M21" s="28" t="n"/>
      <c r="N21" s="28" t="n"/>
      <c r="O21" s="29" t="n"/>
      <c r="P21" s="30">
        <f>J21+O21</f>
        <v/>
      </c>
    </row>
    <row r="22">
      <c r="A22" s="25" t="n">
        <v>41030</v>
      </c>
      <c r="B22" s="26" t="n">
        <v>36</v>
      </c>
      <c r="C22" s="26">
        <f>B22*5</f>
        <v/>
      </c>
      <c r="D22" s="26" t="n">
        <v>3235</v>
      </c>
      <c r="E22" s="26">
        <f>D22*2.5</f>
        <v/>
      </c>
      <c r="F22" s="26" t="n"/>
      <c r="G22" s="26" t="n"/>
      <c r="H22" s="26" t="n">
        <v>220</v>
      </c>
      <c r="I22" s="26">
        <f>H22*2.5</f>
        <v/>
      </c>
      <c r="J22" s="27">
        <f>C22+E22+I22</f>
        <v/>
      </c>
      <c r="K22" s="28" t="n"/>
      <c r="L22" s="28" t="n"/>
      <c r="M22" s="28" t="n"/>
      <c r="N22" s="28" t="n"/>
      <c r="O22" s="29" t="n"/>
      <c r="P22" s="30">
        <f>J22+O22</f>
        <v/>
      </c>
    </row>
    <row r="23">
      <c r="A23" s="25" t="n">
        <v>41061</v>
      </c>
      <c r="B23" s="26" t="n">
        <v>66</v>
      </c>
      <c r="C23" s="26">
        <f>B23*5</f>
        <v/>
      </c>
      <c r="D23" s="26" t="n">
        <v>3345</v>
      </c>
      <c r="E23" s="26">
        <f>D23*2.5</f>
        <v/>
      </c>
      <c r="F23" s="26" t="n"/>
      <c r="G23" s="26" t="n"/>
      <c r="H23" s="26" t="n">
        <v>220</v>
      </c>
      <c r="I23" s="26">
        <f>H23*2.5</f>
        <v/>
      </c>
      <c r="J23" s="27">
        <f>C23+E23+I23</f>
        <v/>
      </c>
      <c r="K23" s="28" t="n"/>
      <c r="L23" s="28" t="n"/>
      <c r="M23" s="28" t="n"/>
      <c r="N23" s="28" t="n"/>
      <c r="O23" s="29" t="n"/>
      <c r="P23" s="30">
        <f>J23+O23</f>
        <v/>
      </c>
    </row>
    <row r="24">
      <c r="A24" s="25" t="n">
        <v>41091</v>
      </c>
      <c r="B24" s="26" t="n">
        <v>18</v>
      </c>
      <c r="C24" s="26">
        <f>B24*5</f>
        <v/>
      </c>
      <c r="D24" s="26" t="n">
        <v>2535</v>
      </c>
      <c r="E24" s="26">
        <f>D24*2.5</f>
        <v/>
      </c>
      <c r="F24" s="26" t="n"/>
      <c r="G24" s="26" t="n"/>
      <c r="H24" s="26" t="n">
        <v>195</v>
      </c>
      <c r="I24" s="26">
        <f>H24*2.5</f>
        <v/>
      </c>
      <c r="J24" s="27">
        <f>C24+E24+I24</f>
        <v/>
      </c>
      <c r="K24" s="28" t="n"/>
      <c r="L24" s="28" t="n"/>
      <c r="M24" s="28" t="n"/>
      <c r="N24" s="28" t="n"/>
      <c r="O24" s="29" t="n"/>
      <c r="P24" s="30">
        <f>J24+O24</f>
        <v/>
      </c>
    </row>
    <row r="25">
      <c r="A25" s="25" t="n">
        <v>41122</v>
      </c>
      <c r="B25" s="26" t="n">
        <v>48</v>
      </c>
      <c r="C25" s="26">
        <f>B25*5</f>
        <v/>
      </c>
      <c r="D25" s="26" t="n">
        <v>2485</v>
      </c>
      <c r="E25" s="26">
        <f>D25*2.5</f>
        <v/>
      </c>
      <c r="F25" s="26" t="n"/>
      <c r="G25" s="26" t="n"/>
      <c r="H25" s="26" t="n">
        <v>320</v>
      </c>
      <c r="I25" s="26">
        <f>H25*2.5</f>
        <v/>
      </c>
      <c r="J25" s="27">
        <f>C25+E25+I25</f>
        <v/>
      </c>
      <c r="K25" s="28" t="n"/>
      <c r="L25" s="28" t="n"/>
      <c r="M25" s="28" t="n"/>
      <c r="N25" s="28" t="n"/>
      <c r="O25" s="29" t="n"/>
      <c r="P25" s="30">
        <f>J25+O25</f>
        <v/>
      </c>
    </row>
    <row r="26">
      <c r="A26" s="25" t="n">
        <v>41153</v>
      </c>
      <c r="B26" s="26" t="n">
        <v>30</v>
      </c>
      <c r="C26" s="26">
        <f>B26*5</f>
        <v/>
      </c>
      <c r="D26" s="26" t="n">
        <v>2955</v>
      </c>
      <c r="E26" s="26">
        <f>D26*2.5</f>
        <v/>
      </c>
      <c r="F26" s="26" t="n"/>
      <c r="G26" s="26" t="n"/>
      <c r="H26" s="26" t="n">
        <v>850</v>
      </c>
      <c r="I26" s="26">
        <f>H26*2.5</f>
        <v/>
      </c>
      <c r="J26" s="27">
        <f>C26+E26+I26</f>
        <v/>
      </c>
      <c r="K26" s="28" t="n"/>
      <c r="L26" s="28" t="n"/>
      <c r="M26" s="28" t="n"/>
      <c r="N26" s="28" t="n"/>
      <c r="O26" s="29" t="n"/>
      <c r="P26" s="30">
        <f>J26+O26</f>
        <v/>
      </c>
    </row>
    <row r="27">
      <c r="A27" s="25" t="n">
        <v>41183</v>
      </c>
      <c r="B27" s="26" t="n">
        <v>42</v>
      </c>
      <c r="C27" s="26">
        <f>B27*5</f>
        <v/>
      </c>
      <c r="D27" s="26" t="n">
        <v>2775</v>
      </c>
      <c r="E27" s="26">
        <f>D27*2.5</f>
        <v/>
      </c>
      <c r="F27" s="26" t="n"/>
      <c r="G27" s="26" t="n"/>
      <c r="H27" s="26" t="n">
        <v>400</v>
      </c>
      <c r="I27" s="26">
        <f>H27*2.5</f>
        <v/>
      </c>
      <c r="J27" s="27">
        <f>C27+E27+I27</f>
        <v/>
      </c>
      <c r="K27" s="28" t="n"/>
      <c r="L27" s="28" t="n"/>
      <c r="M27" s="28" t="n"/>
      <c r="N27" s="28" t="n"/>
      <c r="O27" s="29" t="n"/>
      <c r="P27" s="30">
        <f>J27+O27</f>
        <v/>
      </c>
    </row>
    <row r="28">
      <c r="A28" s="25" t="n">
        <v>41214</v>
      </c>
      <c r="B28" s="26" t="n">
        <v>24</v>
      </c>
      <c r="C28" s="26">
        <f>B28*5</f>
        <v/>
      </c>
      <c r="D28" s="26" t="n">
        <v>3220</v>
      </c>
      <c r="E28" s="26">
        <f>D28*2.5</f>
        <v/>
      </c>
      <c r="F28" s="26" t="n"/>
      <c r="G28" s="26" t="n"/>
      <c r="H28" s="26" t="n">
        <v>940</v>
      </c>
      <c r="I28" s="26">
        <f>H28*2.5</f>
        <v/>
      </c>
      <c r="J28" s="27">
        <f>C28+E28+I28</f>
        <v/>
      </c>
      <c r="K28" s="28" t="n"/>
      <c r="L28" s="28" t="n"/>
      <c r="M28" s="28" t="n"/>
      <c r="N28" s="28" t="n"/>
      <c r="O28" s="29" t="n"/>
      <c r="P28" s="30">
        <f>J28+O28</f>
        <v/>
      </c>
    </row>
    <row r="29">
      <c r="A29" s="25" t="n">
        <v>41244</v>
      </c>
      <c r="B29" s="26" t="n">
        <v>36</v>
      </c>
      <c r="C29" s="26">
        <f>B29*5</f>
        <v/>
      </c>
      <c r="D29" s="26" t="n">
        <v>3835</v>
      </c>
      <c r="E29" s="26">
        <f>D29*2.5</f>
        <v/>
      </c>
      <c r="F29" s="26" t="n"/>
      <c r="G29" s="26" t="n"/>
      <c r="H29" s="26" t="n">
        <v>810</v>
      </c>
      <c r="I29" s="26">
        <f>H29*2.5</f>
        <v/>
      </c>
      <c r="J29" s="27">
        <f>C29+E29+I29</f>
        <v/>
      </c>
      <c r="K29" s="28" t="n"/>
      <c r="L29" s="28" t="n"/>
      <c r="M29" s="28" t="n"/>
      <c r="N29" s="28" t="n"/>
      <c r="O29" s="29" t="n"/>
      <c r="P29" s="30">
        <f>J29+O29</f>
        <v/>
      </c>
    </row>
    <row r="30">
      <c r="A30" s="25" t="n">
        <v>41275</v>
      </c>
      <c r="B30" s="26" t="n">
        <v>33</v>
      </c>
      <c r="C30" s="26">
        <f>B30*5</f>
        <v/>
      </c>
      <c r="D30" s="26" t="n">
        <v>2995</v>
      </c>
      <c r="E30" s="26">
        <f>D30*2.5</f>
        <v/>
      </c>
      <c r="F30" s="26" t="n"/>
      <c r="G30" s="26" t="n"/>
      <c r="H30" s="26" t="n">
        <v>730</v>
      </c>
      <c r="I30" s="26">
        <f>H30*2.5</f>
        <v/>
      </c>
      <c r="J30" s="27">
        <f>C30+E30+I30</f>
        <v/>
      </c>
      <c r="K30" s="28" t="n"/>
      <c r="L30" s="28" t="n"/>
      <c r="M30" s="28" t="n"/>
      <c r="N30" s="28" t="n"/>
      <c r="O30" s="29" t="n"/>
      <c r="P30" s="30">
        <f>J30+O30</f>
        <v/>
      </c>
    </row>
    <row r="31">
      <c r="A31" s="25" t="n">
        <v>41306</v>
      </c>
      <c r="B31" s="26" t="n">
        <v>21</v>
      </c>
      <c r="C31" s="26">
        <f>B31*5</f>
        <v/>
      </c>
      <c r="D31" s="26" t="n">
        <v>2665</v>
      </c>
      <c r="E31" s="26">
        <f>D31*2.5</f>
        <v/>
      </c>
      <c r="F31" s="26" t="n"/>
      <c r="G31" s="26" t="n"/>
      <c r="H31" s="26" t="n">
        <v>180</v>
      </c>
      <c r="I31" s="26">
        <f>H31*2.5</f>
        <v/>
      </c>
      <c r="J31" s="27">
        <f>C31+E31+I31</f>
        <v/>
      </c>
      <c r="K31" s="28" t="n"/>
      <c r="L31" s="28" t="n"/>
      <c r="M31" s="28" t="n"/>
      <c r="N31" s="28" t="n"/>
      <c r="O31" s="29" t="n"/>
      <c r="P31" s="30">
        <f>J31+O31</f>
        <v/>
      </c>
    </row>
    <row r="32">
      <c r="A32" s="25" t="n">
        <v>41334</v>
      </c>
      <c r="B32" s="26" t="n">
        <v>54</v>
      </c>
      <c r="C32" s="26">
        <f>B32*5</f>
        <v/>
      </c>
      <c r="D32" s="26" t="n">
        <v>2825</v>
      </c>
      <c r="E32" s="26">
        <f>D32*2.5</f>
        <v/>
      </c>
      <c r="F32" s="26" t="n"/>
      <c r="G32" s="26" t="n"/>
      <c r="H32" s="26" t="n">
        <v>380</v>
      </c>
      <c r="I32" s="26">
        <f>H32*2.5</f>
        <v/>
      </c>
      <c r="J32" s="27">
        <f>C32+E32+I32</f>
        <v/>
      </c>
      <c r="K32" s="28" t="n"/>
      <c r="L32" s="28" t="n"/>
      <c r="M32" s="28" t="n"/>
      <c r="N32" s="28" t="n"/>
      <c r="O32" s="29" t="n"/>
      <c r="P32" s="30">
        <f>J32+O32</f>
        <v/>
      </c>
    </row>
    <row r="33">
      <c r="A33" s="25" t="n">
        <v>41365</v>
      </c>
      <c r="B33" s="26" t="n">
        <v>36</v>
      </c>
      <c r="C33" s="26">
        <f>B33*5</f>
        <v/>
      </c>
      <c r="D33" s="26" t="n">
        <v>2920</v>
      </c>
      <c r="E33" s="26">
        <f>D33*2.5</f>
        <v/>
      </c>
      <c r="F33" s="26" t="n"/>
      <c r="G33" s="26" t="n"/>
      <c r="H33" s="26" t="n">
        <v>500</v>
      </c>
      <c r="I33" s="26">
        <f>H33*2.5</f>
        <v/>
      </c>
      <c r="J33" s="27">
        <f>C33+E33+I33</f>
        <v/>
      </c>
      <c r="K33" s="28" t="n"/>
      <c r="L33" s="28" t="n"/>
      <c r="M33" s="28" t="n"/>
      <c r="N33" s="28" t="n"/>
      <c r="O33" s="29" t="n"/>
      <c r="P33" s="30">
        <f>J33+O33</f>
        <v/>
      </c>
    </row>
    <row r="34">
      <c r="A34" s="25" t="n">
        <v>41395</v>
      </c>
      <c r="B34" s="26" t="n">
        <v>33</v>
      </c>
      <c r="C34" s="26">
        <f>B34*5</f>
        <v/>
      </c>
      <c r="D34" s="26" t="n">
        <v>3535</v>
      </c>
      <c r="E34" s="26">
        <f>D34*2.5</f>
        <v/>
      </c>
      <c r="F34" s="26" t="n"/>
      <c r="G34" s="26" t="n"/>
      <c r="H34" s="26" t="n">
        <v>1310</v>
      </c>
      <c r="I34" s="26">
        <f>H34*2.5</f>
        <v/>
      </c>
      <c r="J34" s="27">
        <f>C34+E34+I34</f>
        <v/>
      </c>
      <c r="K34" s="28" t="n"/>
      <c r="L34" s="28" t="n"/>
      <c r="M34" s="28" t="n"/>
      <c r="N34" s="28" t="n"/>
      <c r="O34" s="29" t="n"/>
      <c r="P34" s="30">
        <f>J34+O34</f>
        <v/>
      </c>
    </row>
    <row r="35">
      <c r="A35" s="25" t="n">
        <v>41426</v>
      </c>
      <c r="B35" s="26" t="n">
        <v>30</v>
      </c>
      <c r="C35" s="26">
        <f>B35*5</f>
        <v/>
      </c>
      <c r="D35" s="26" t="n">
        <v>3105</v>
      </c>
      <c r="E35" s="26">
        <f>D35*2.5</f>
        <v/>
      </c>
      <c r="F35" s="26" t="n"/>
      <c r="G35" s="26" t="n"/>
      <c r="H35" s="26" t="n">
        <v>275</v>
      </c>
      <c r="I35" s="26">
        <f>H35*2.5</f>
        <v/>
      </c>
      <c r="J35" s="27">
        <f>C35+E35+I35</f>
        <v/>
      </c>
      <c r="K35" s="28" t="n"/>
      <c r="L35" s="28" t="n"/>
      <c r="M35" s="28" t="n"/>
      <c r="N35" s="28" t="n"/>
      <c r="O35" s="29" t="n"/>
      <c r="P35" s="30">
        <f>J35+O35</f>
        <v/>
      </c>
    </row>
    <row r="36">
      <c r="A36" s="25" t="n">
        <v>41456</v>
      </c>
      <c r="B36" s="26" t="n">
        <v>30</v>
      </c>
      <c r="C36" s="26">
        <f>B36*5</f>
        <v/>
      </c>
      <c r="D36" s="26" t="n">
        <v>2740</v>
      </c>
      <c r="E36" s="26">
        <f>D36*2.5</f>
        <v/>
      </c>
      <c r="F36" s="26" t="n"/>
      <c r="G36" s="26" t="n"/>
      <c r="H36" s="26" t="n">
        <v>350</v>
      </c>
      <c r="I36" s="26">
        <f>H36*2.5</f>
        <v/>
      </c>
      <c r="J36" s="27">
        <f>C36+E36+I36</f>
        <v/>
      </c>
      <c r="K36" s="26" t="n">
        <v>1838</v>
      </c>
      <c r="L36" s="26">
        <f>K36</f>
        <v/>
      </c>
      <c r="M36" s="26" t="n">
        <v>1768</v>
      </c>
      <c r="N36" s="26">
        <f>M36*1.6</f>
        <v/>
      </c>
      <c r="O36" s="32">
        <f>L36+N36</f>
        <v/>
      </c>
      <c r="P36" s="30">
        <f>J36+O36</f>
        <v/>
      </c>
    </row>
    <row r="37">
      <c r="A37" s="25" t="n">
        <v>41487</v>
      </c>
      <c r="B37" s="26" t="n">
        <v>42</v>
      </c>
      <c r="C37" s="26">
        <f>B37*5</f>
        <v/>
      </c>
      <c r="D37" s="26" t="n">
        <v>3055</v>
      </c>
      <c r="E37" s="26">
        <f>D37*2.5</f>
        <v/>
      </c>
      <c r="F37" s="26" t="n"/>
      <c r="G37" s="26" t="n"/>
      <c r="H37" s="26" t="n">
        <v>295</v>
      </c>
      <c r="I37" s="26">
        <f>H37*2.5</f>
        <v/>
      </c>
      <c r="J37" s="27">
        <f>C37+E37+I37</f>
        <v/>
      </c>
      <c r="K37" s="26" t="n">
        <v>3852</v>
      </c>
      <c r="L37" s="26">
        <f>K37</f>
        <v/>
      </c>
      <c r="M37" s="26" t="n">
        <v>2376</v>
      </c>
      <c r="N37" s="26">
        <f>M37*1.6</f>
        <v/>
      </c>
      <c r="O37" s="32">
        <f>L37+N37</f>
        <v/>
      </c>
      <c r="P37" s="30">
        <f>J37+O37</f>
        <v/>
      </c>
    </row>
    <row r="38">
      <c r="A38" s="25" t="n">
        <v>41518</v>
      </c>
      <c r="B38" s="26" t="n">
        <v>24</v>
      </c>
      <c r="C38" s="26">
        <f>B38*5</f>
        <v/>
      </c>
      <c r="D38" s="26" t="n">
        <v>2740</v>
      </c>
      <c r="E38" s="26">
        <f>D38*2.5</f>
        <v/>
      </c>
      <c r="F38" s="26" t="n"/>
      <c r="G38" s="26" t="n"/>
      <c r="H38" s="26" t="n">
        <v>365</v>
      </c>
      <c r="I38" s="26">
        <f>H38*2.5</f>
        <v/>
      </c>
      <c r="J38" s="27">
        <f>C38+E38+I38</f>
        <v/>
      </c>
      <c r="K38" s="26" t="n">
        <v>3660</v>
      </c>
      <c r="L38" s="26">
        <f>K38</f>
        <v/>
      </c>
      <c r="M38" s="26" t="n">
        <v>2462</v>
      </c>
      <c r="N38" s="26">
        <f>M38*1.6</f>
        <v/>
      </c>
      <c r="O38" s="32">
        <f>L38+N38</f>
        <v/>
      </c>
      <c r="P38" s="30">
        <f>J38+O38</f>
        <v/>
      </c>
    </row>
    <row r="39">
      <c r="A39" s="25" t="n">
        <v>41548</v>
      </c>
      <c r="B39" s="26" t="n">
        <v>70</v>
      </c>
      <c r="C39" s="26">
        <f>B39*5</f>
        <v/>
      </c>
      <c r="D39" s="26" t="n">
        <v>3175</v>
      </c>
      <c r="E39" s="26">
        <f>D39*2.5</f>
        <v/>
      </c>
      <c r="F39" s="26" t="n"/>
      <c r="G39" s="26" t="n"/>
      <c r="H39" s="26" t="n">
        <v>390</v>
      </c>
      <c r="I39" s="26">
        <f>H39*2.5</f>
        <v/>
      </c>
      <c r="J39" s="27">
        <f>C39+E39+I39</f>
        <v/>
      </c>
      <c r="K39" s="26" t="n">
        <v>4692</v>
      </c>
      <c r="L39" s="26">
        <f>K39</f>
        <v/>
      </c>
      <c r="M39" s="26" t="n">
        <v>3447</v>
      </c>
      <c r="N39" s="26">
        <f>M39*1.6</f>
        <v/>
      </c>
      <c r="O39" s="32">
        <f>L39+N39</f>
        <v/>
      </c>
      <c r="P39" s="30">
        <f>J39+O39</f>
        <v/>
      </c>
    </row>
    <row r="40">
      <c r="A40" s="25" t="n">
        <v>41579</v>
      </c>
      <c r="B40" s="26" t="n">
        <v>45</v>
      </c>
      <c r="C40" s="26">
        <f>B40*5</f>
        <v/>
      </c>
      <c r="D40" s="26" t="n">
        <v>4155</v>
      </c>
      <c r="E40" s="26">
        <f>D40*2.5</f>
        <v/>
      </c>
      <c r="F40" s="26" t="n"/>
      <c r="G40" s="26" t="n"/>
      <c r="H40" s="26" t="n">
        <v>675</v>
      </c>
      <c r="I40" s="26">
        <f>H40*2.5</f>
        <v/>
      </c>
      <c r="J40" s="27">
        <f>C40+E40+I40</f>
        <v/>
      </c>
      <c r="K40" s="26" t="n">
        <v>3721</v>
      </c>
      <c r="L40" s="26">
        <f>K40</f>
        <v/>
      </c>
      <c r="M40" s="26" t="n">
        <v>1672</v>
      </c>
      <c r="N40" s="26">
        <f>M40*1.6</f>
        <v/>
      </c>
      <c r="O40" s="32">
        <f>L40+N40</f>
        <v/>
      </c>
      <c r="P40" s="30">
        <f>J40+O40</f>
        <v/>
      </c>
    </row>
    <row r="41">
      <c r="A41" s="25" t="n">
        <v>41609</v>
      </c>
      <c r="B41" s="26" t="n">
        <v>25</v>
      </c>
      <c r="C41" s="26">
        <f>B41*5</f>
        <v/>
      </c>
      <c r="D41" s="26" t="n">
        <v>3275</v>
      </c>
      <c r="E41" s="26">
        <f>D41*2.5</f>
        <v/>
      </c>
      <c r="F41" s="26" t="n"/>
      <c r="G41" s="26" t="n"/>
      <c r="H41" s="26" t="n">
        <v>500</v>
      </c>
      <c r="I41" s="26">
        <f>H41*2.5</f>
        <v/>
      </c>
      <c r="J41" s="27">
        <f>C41+E41+I41</f>
        <v/>
      </c>
      <c r="K41" s="26" t="n">
        <v>3720</v>
      </c>
      <c r="L41" s="26">
        <f>K41</f>
        <v/>
      </c>
      <c r="M41" s="26" t="n">
        <v>3240</v>
      </c>
      <c r="N41" s="26">
        <f>M41*1.6</f>
        <v/>
      </c>
      <c r="O41" s="32">
        <f>L41+N41</f>
        <v/>
      </c>
      <c r="P41" s="30">
        <f>J41+O41</f>
        <v/>
      </c>
    </row>
    <row r="42">
      <c r="A42" s="25" t="n">
        <v>41640</v>
      </c>
      <c r="B42" s="26" t="n">
        <v>20</v>
      </c>
      <c r="C42" s="26">
        <f>B42*5</f>
        <v/>
      </c>
      <c r="D42" s="26" t="n">
        <v>3075</v>
      </c>
      <c r="E42" s="26">
        <f>D42*2.5</f>
        <v/>
      </c>
      <c r="F42" s="26" t="n"/>
      <c r="G42" s="26" t="n"/>
      <c r="H42" s="26" t="n">
        <v>890</v>
      </c>
      <c r="I42" s="26">
        <f>H42*2.5</f>
        <v/>
      </c>
      <c r="J42" s="27">
        <f>C42+E42+I42</f>
        <v/>
      </c>
      <c r="K42" s="26" t="n">
        <v>4140</v>
      </c>
      <c r="L42" s="26">
        <f>K42</f>
        <v/>
      </c>
      <c r="M42" s="26" t="n">
        <v>2550</v>
      </c>
      <c r="N42" s="26">
        <f>M42*1.6</f>
        <v/>
      </c>
      <c r="O42" s="32">
        <f>L42+N42</f>
        <v/>
      </c>
      <c r="P42" s="30">
        <f>J42+O42</f>
        <v/>
      </c>
    </row>
    <row r="43">
      <c r="A43" s="25" t="n">
        <v>41671</v>
      </c>
      <c r="B43" s="26" t="n">
        <v>83</v>
      </c>
      <c r="C43" s="26">
        <f>B43*5</f>
        <v/>
      </c>
      <c r="D43" s="26" t="n">
        <v>2695</v>
      </c>
      <c r="E43" s="26">
        <f>D43*2.5</f>
        <v/>
      </c>
      <c r="F43" s="26" t="n"/>
      <c r="G43" s="26" t="n"/>
      <c r="H43" s="26" t="n">
        <v>655</v>
      </c>
      <c r="I43" s="26">
        <f>H43*2.5</f>
        <v/>
      </c>
      <c r="J43" s="27">
        <f>C43+E43+I43</f>
        <v/>
      </c>
      <c r="K43" s="26" t="n">
        <v>3264</v>
      </c>
      <c r="L43" s="26">
        <f>K43</f>
        <v/>
      </c>
      <c r="M43" s="26" t="n">
        <v>1908</v>
      </c>
      <c r="N43" s="26">
        <f>M43*1.6</f>
        <v/>
      </c>
      <c r="O43" s="32">
        <f>L43+N43</f>
        <v/>
      </c>
      <c r="P43" s="30">
        <f>J43+O43</f>
        <v/>
      </c>
    </row>
    <row r="44">
      <c r="A44" s="25" t="n">
        <v>41699</v>
      </c>
      <c r="B44" s="26" t="n">
        <v>70</v>
      </c>
      <c r="C44" s="26">
        <f>B44*5</f>
        <v/>
      </c>
      <c r="D44" s="26" t="n">
        <v>2765</v>
      </c>
      <c r="E44" s="26">
        <f>D44*2.5</f>
        <v/>
      </c>
      <c r="F44" s="26" t="n"/>
      <c r="G44" s="26" t="n"/>
      <c r="H44" s="26" t="n">
        <v>260</v>
      </c>
      <c r="I44" s="26">
        <f>H44*2.5</f>
        <v/>
      </c>
      <c r="J44" s="27">
        <f>C44+E44+I44</f>
        <v/>
      </c>
      <c r="K44" s="26" t="n">
        <v>5208</v>
      </c>
      <c r="L44" s="26">
        <f>K44</f>
        <v/>
      </c>
      <c r="M44" s="26" t="n">
        <v>2956</v>
      </c>
      <c r="N44" s="26">
        <f>M44*1.6</f>
        <v/>
      </c>
      <c r="O44" s="32">
        <f>L44+N44</f>
        <v/>
      </c>
      <c r="P44" s="30">
        <f>J44+O44</f>
        <v/>
      </c>
    </row>
    <row r="45">
      <c r="A45" s="25" t="n">
        <v>41730</v>
      </c>
      <c r="B45" s="26" t="n">
        <v>25</v>
      </c>
      <c r="C45" s="26">
        <f>B45*5</f>
        <v/>
      </c>
      <c r="D45" s="26" t="n">
        <v>3055</v>
      </c>
      <c r="E45" s="26">
        <f>D45*2.5</f>
        <v/>
      </c>
      <c r="F45" s="26" t="n"/>
      <c r="G45" s="26" t="n"/>
      <c r="H45" s="26" t="n">
        <v>700</v>
      </c>
      <c r="I45" s="26">
        <f>H45*2.5</f>
        <v/>
      </c>
      <c r="J45" s="27">
        <f>C45+E45+I45</f>
        <v/>
      </c>
      <c r="K45" s="26" t="n">
        <v>4428</v>
      </c>
      <c r="L45" s="26">
        <f>K45</f>
        <v/>
      </c>
      <c r="M45" s="26" t="n">
        <v>2244</v>
      </c>
      <c r="N45" s="26">
        <f>M45*1.6</f>
        <v/>
      </c>
      <c r="O45" s="32">
        <f>L45+N45</f>
        <v/>
      </c>
      <c r="P45" s="30">
        <f>J45+O45</f>
        <v/>
      </c>
    </row>
    <row r="46">
      <c r="A46" s="25" t="n">
        <v>41760</v>
      </c>
      <c r="B46" s="26" t="n">
        <v>30</v>
      </c>
      <c r="C46" s="26">
        <f>B46*5</f>
        <v/>
      </c>
      <c r="D46" s="26" t="n">
        <v>3340</v>
      </c>
      <c r="E46" s="26">
        <f>D46*2.5</f>
        <v/>
      </c>
      <c r="F46" s="26" t="n"/>
      <c r="G46" s="26" t="n"/>
      <c r="H46" s="26" t="n">
        <v>865</v>
      </c>
      <c r="I46" s="26">
        <f>H46*2.5</f>
        <v/>
      </c>
      <c r="J46" s="27">
        <f>C46+E46+I46</f>
        <v/>
      </c>
      <c r="K46" s="26" t="n">
        <v>4862</v>
      </c>
      <c r="L46" s="26">
        <f>K46</f>
        <v/>
      </c>
      <c r="M46" s="26" t="n">
        <v>3068</v>
      </c>
      <c r="N46" s="26">
        <f>M46*1.6</f>
        <v/>
      </c>
      <c r="O46" s="32">
        <f>L46+N46</f>
        <v/>
      </c>
      <c r="P46" s="30">
        <f>J46+O46</f>
        <v/>
      </c>
    </row>
    <row r="47">
      <c r="A47" s="25" t="n">
        <v>41791</v>
      </c>
      <c r="B47" s="26" t="n">
        <v>45</v>
      </c>
      <c r="C47" s="26">
        <f>B47*5</f>
        <v/>
      </c>
      <c r="D47" s="26" t="n">
        <v>2695</v>
      </c>
      <c r="E47" s="26">
        <f>D47*2.5</f>
        <v/>
      </c>
      <c r="F47" s="26" t="n"/>
      <c r="G47" s="26" t="n"/>
      <c r="H47" s="26" t="n">
        <v>830</v>
      </c>
      <c r="I47" s="26">
        <f>H47*2.5</f>
        <v/>
      </c>
      <c r="J47" s="27">
        <f>C47+E47+I47</f>
        <v/>
      </c>
      <c r="K47" s="26" t="n">
        <v>3756</v>
      </c>
      <c r="L47" s="26">
        <f>K47</f>
        <v/>
      </c>
      <c r="M47" s="26" t="n">
        <v>2556</v>
      </c>
      <c r="N47" s="26">
        <f>M47*1.6</f>
        <v/>
      </c>
      <c r="O47" s="32">
        <f>L47+N47</f>
        <v/>
      </c>
      <c r="P47" s="30">
        <f>J47+O47</f>
        <v/>
      </c>
    </row>
    <row r="48">
      <c r="A48" s="25" t="n">
        <v>41821</v>
      </c>
      <c r="B48" s="33" t="n">
        <v>60</v>
      </c>
      <c r="C48" s="34">
        <f>B48*5</f>
        <v/>
      </c>
      <c r="D48" s="34" t="n">
        <v>2315</v>
      </c>
      <c r="E48" s="35">
        <f>D48*2.5</f>
        <v/>
      </c>
      <c r="F48" s="35" t="n"/>
      <c r="G48" s="35" t="n"/>
      <c r="H48" s="34" t="n">
        <v>210</v>
      </c>
      <c r="I48" s="35">
        <f>H48*2.5</f>
        <v/>
      </c>
      <c r="J48" s="36">
        <f>C48+E48+I48</f>
        <v/>
      </c>
      <c r="K48" s="34" t="n">
        <v>1956</v>
      </c>
      <c r="L48" s="35">
        <f>K48</f>
        <v/>
      </c>
      <c r="M48" s="34" t="n">
        <v>2928</v>
      </c>
      <c r="N48" s="35">
        <f>M48*1.6</f>
        <v/>
      </c>
      <c r="O48" s="37">
        <f>L48+N48</f>
        <v/>
      </c>
      <c r="P48" s="38">
        <f>J48+O48</f>
        <v/>
      </c>
    </row>
    <row r="49">
      <c r="A49" s="25" t="n">
        <v>41852</v>
      </c>
      <c r="B49" s="33" t="n">
        <v>35</v>
      </c>
      <c r="C49" s="35">
        <f>B49*5</f>
        <v/>
      </c>
      <c r="D49" s="34" t="n">
        <v>2515</v>
      </c>
      <c r="E49" s="35">
        <f>D49*2.5</f>
        <v/>
      </c>
      <c r="F49" s="35" t="n"/>
      <c r="G49" s="35" t="n"/>
      <c r="H49" s="34" t="n">
        <v>360</v>
      </c>
      <c r="I49" s="35">
        <f>H49*2.5</f>
        <v/>
      </c>
      <c r="J49" s="36">
        <f>C49+E49+I49</f>
        <v/>
      </c>
      <c r="K49" s="34" t="n">
        <v>1980</v>
      </c>
      <c r="L49" s="35">
        <f>K49</f>
        <v/>
      </c>
      <c r="M49" s="34" t="n">
        <v>1464</v>
      </c>
      <c r="N49" s="35">
        <f>M49*1.6</f>
        <v/>
      </c>
      <c r="O49" s="37">
        <f>L49+N49</f>
        <v/>
      </c>
      <c r="P49" s="38">
        <f>J49+O49</f>
        <v/>
      </c>
    </row>
    <row r="50">
      <c r="A50" s="25" t="n">
        <v>41883</v>
      </c>
      <c r="B50" s="33" t="n">
        <v>30</v>
      </c>
      <c r="C50" s="35">
        <f>B50*5</f>
        <v/>
      </c>
      <c r="D50" s="34" t="n">
        <v>3075</v>
      </c>
      <c r="E50" s="35">
        <f>D50*2.5</f>
        <v/>
      </c>
      <c r="F50" s="35" t="n"/>
      <c r="G50" s="35" t="n"/>
      <c r="H50" s="34" t="n">
        <v>520</v>
      </c>
      <c r="I50" s="35">
        <f>H50*2.5</f>
        <v/>
      </c>
      <c r="J50" s="36">
        <f>C50+E50+I50</f>
        <v/>
      </c>
      <c r="K50" s="34" t="n">
        <v>5364</v>
      </c>
      <c r="L50" s="35">
        <f>K50</f>
        <v/>
      </c>
      <c r="M50" s="34" t="n">
        <v>3156</v>
      </c>
      <c r="N50" s="35">
        <f>M50*1.6</f>
        <v/>
      </c>
      <c r="O50" s="37">
        <f>L50+N50</f>
        <v/>
      </c>
      <c r="P50" s="38">
        <f>J50+O50</f>
        <v/>
      </c>
    </row>
    <row r="51">
      <c r="A51" s="25" t="n">
        <v>41913</v>
      </c>
      <c r="B51" s="33" t="n">
        <v>35</v>
      </c>
      <c r="C51" s="35">
        <f>B51*5</f>
        <v/>
      </c>
      <c r="D51" s="34" t="n">
        <v>2790</v>
      </c>
      <c r="E51" s="35">
        <f>D51*2.5</f>
        <v/>
      </c>
      <c r="F51" s="35" t="n"/>
      <c r="G51" s="35" t="n"/>
      <c r="H51" s="34" t="n">
        <v>1055</v>
      </c>
      <c r="I51" s="35">
        <f>H51*2.5</f>
        <v/>
      </c>
      <c r="J51" s="36">
        <f>C51+E51+I51</f>
        <v/>
      </c>
      <c r="K51" s="34" t="n">
        <v>4716</v>
      </c>
      <c r="L51" s="35">
        <f>K51</f>
        <v/>
      </c>
      <c r="M51" s="34" t="n">
        <v>2712</v>
      </c>
      <c r="N51" s="35">
        <f>M51*1.6</f>
        <v/>
      </c>
      <c r="O51" s="37">
        <f>L51+N51</f>
        <v/>
      </c>
      <c r="P51" s="38">
        <f>J51+O51</f>
        <v/>
      </c>
    </row>
    <row r="52">
      <c r="A52" s="25" t="n">
        <v>41944</v>
      </c>
      <c r="B52" s="33" t="n">
        <v>45</v>
      </c>
      <c r="C52" s="35">
        <f>B52*5</f>
        <v/>
      </c>
      <c r="D52" s="34" t="n">
        <v>2985</v>
      </c>
      <c r="E52" s="35">
        <f>D52*2.5</f>
        <v/>
      </c>
      <c r="F52" s="35" t="n"/>
      <c r="G52" s="35" t="n"/>
      <c r="H52" s="34" t="n">
        <v>1215</v>
      </c>
      <c r="I52" s="35">
        <f>H52*2.5</f>
        <v/>
      </c>
      <c r="J52" s="36">
        <f>C52+E52+I52</f>
        <v/>
      </c>
      <c r="K52" s="34" t="n">
        <v>4603</v>
      </c>
      <c r="L52" s="35">
        <f>K52</f>
        <v/>
      </c>
      <c r="M52" s="34" t="n">
        <v>3039</v>
      </c>
      <c r="N52" s="35">
        <f>M52*1.6</f>
        <v/>
      </c>
      <c r="O52" s="37">
        <f>L52+N52</f>
        <v/>
      </c>
      <c r="P52" s="38">
        <f>J52+O52</f>
        <v/>
      </c>
    </row>
    <row r="53">
      <c r="A53" s="25" t="n">
        <v>41974</v>
      </c>
      <c r="B53" s="33" t="n">
        <v>65</v>
      </c>
      <c r="C53" s="35">
        <f>B53*5</f>
        <v/>
      </c>
      <c r="D53" s="34" t="n">
        <v>3030</v>
      </c>
      <c r="E53" s="35">
        <f>D53*2.5</f>
        <v/>
      </c>
      <c r="F53" s="35" t="n"/>
      <c r="G53" s="35" t="n"/>
      <c r="H53" s="34" t="n">
        <v>890</v>
      </c>
      <c r="I53" s="35">
        <f>H53*2.5</f>
        <v/>
      </c>
      <c r="J53" s="36">
        <f>C53+E53+I53</f>
        <v/>
      </c>
      <c r="K53" s="34" t="n">
        <v>4800</v>
      </c>
      <c r="L53" s="35">
        <f>K53</f>
        <v/>
      </c>
      <c r="M53" s="34" t="n">
        <v>1848</v>
      </c>
      <c r="N53" s="35">
        <f>M53*1.6</f>
        <v/>
      </c>
      <c r="O53" s="37">
        <f>L53+N53</f>
        <v/>
      </c>
      <c r="P53" s="38">
        <f>J53+O53</f>
        <v/>
      </c>
    </row>
    <row r="54">
      <c r="A54" s="25" t="n">
        <v>42005</v>
      </c>
      <c r="B54" s="33" t="n">
        <v>65</v>
      </c>
      <c r="C54" s="35">
        <f>B54*5</f>
        <v/>
      </c>
      <c r="D54" s="34" t="n">
        <v>2710</v>
      </c>
      <c r="E54" s="35">
        <f>D54*2.5</f>
        <v/>
      </c>
      <c r="F54" s="35" t="n"/>
      <c r="G54" s="35" t="n"/>
      <c r="H54" s="34" t="n">
        <v>490</v>
      </c>
      <c r="I54" s="35">
        <f>H54*2.5</f>
        <v/>
      </c>
      <c r="J54" s="36">
        <f>C54+E54+I54</f>
        <v/>
      </c>
      <c r="K54" s="34" t="n">
        <v>3540</v>
      </c>
      <c r="L54" s="35">
        <f>K54</f>
        <v/>
      </c>
      <c r="M54" s="34" t="n">
        <v>1624</v>
      </c>
      <c r="N54" s="35">
        <f>M54*1.6</f>
        <v/>
      </c>
      <c r="O54" s="37">
        <f>L54+N54</f>
        <v/>
      </c>
      <c r="P54" s="38">
        <f>J54+O54</f>
        <v/>
      </c>
    </row>
    <row r="55">
      <c r="A55" s="25" t="n">
        <v>42036</v>
      </c>
      <c r="B55" s="33" t="n">
        <v>20</v>
      </c>
      <c r="C55" s="34">
        <f>B55*5</f>
        <v/>
      </c>
      <c r="D55" s="34" t="n">
        <v>2295</v>
      </c>
      <c r="E55" s="35">
        <f>D55*2.5</f>
        <v/>
      </c>
      <c r="F55" s="35" t="n"/>
      <c r="G55" s="35" t="n"/>
      <c r="H55" s="34" t="n">
        <v>580</v>
      </c>
      <c r="I55" s="35">
        <f>H55*2.5</f>
        <v/>
      </c>
      <c r="J55" s="36">
        <f>C55+E55+I55</f>
        <v/>
      </c>
      <c r="K55" s="34" t="n">
        <v>6060</v>
      </c>
      <c r="L55" s="35">
        <f>K55</f>
        <v/>
      </c>
      <c r="M55" s="34" t="n">
        <v>3387</v>
      </c>
      <c r="N55" s="35">
        <f>M55*1.6</f>
        <v/>
      </c>
      <c r="O55" s="37">
        <f>L55+N55</f>
        <v/>
      </c>
      <c r="P55" s="38">
        <f>J55+O55</f>
        <v/>
      </c>
    </row>
    <row r="56">
      <c r="A56" s="25" t="n">
        <v>42064</v>
      </c>
      <c r="B56" s="33" t="n">
        <v>70</v>
      </c>
      <c r="C56" s="35">
        <f>B56*5</f>
        <v/>
      </c>
      <c r="D56" s="34" t="n">
        <v>2265</v>
      </c>
      <c r="E56" s="35">
        <f>D56*2.5</f>
        <v/>
      </c>
      <c r="F56" s="35" t="n"/>
      <c r="G56" s="35" t="n"/>
      <c r="H56" s="34" t="n">
        <v>605</v>
      </c>
      <c r="I56" s="35">
        <f>H56*2.5</f>
        <v/>
      </c>
      <c r="J56" s="36">
        <f>C56+E56+I56</f>
        <v/>
      </c>
      <c r="K56" s="34" t="n">
        <v>5088</v>
      </c>
      <c r="L56" s="35">
        <f>K56</f>
        <v/>
      </c>
      <c r="M56" s="34" t="n">
        <v>2701</v>
      </c>
      <c r="N56" s="35">
        <f>M56*1.6</f>
        <v/>
      </c>
      <c r="O56" s="37">
        <f>L56+N56</f>
        <v/>
      </c>
      <c r="P56" s="38">
        <f>J56+O56</f>
        <v/>
      </c>
    </row>
    <row r="57">
      <c r="A57" s="25" t="n">
        <v>42095</v>
      </c>
      <c r="B57" s="33" t="n">
        <v>45</v>
      </c>
      <c r="C57" s="35">
        <f>B57*5</f>
        <v/>
      </c>
      <c r="D57" s="34" t="n">
        <v>2465</v>
      </c>
      <c r="E57" s="35">
        <f>D57*2.5</f>
        <v/>
      </c>
      <c r="F57" s="35" t="n"/>
      <c r="G57" s="35" t="n"/>
      <c r="H57" s="34" t="n">
        <v>665</v>
      </c>
      <c r="I57" s="35">
        <f>H57*2.5</f>
        <v/>
      </c>
      <c r="J57" s="36">
        <f>C57+E57+I57</f>
        <v/>
      </c>
      <c r="K57" s="34" t="n">
        <v>2448</v>
      </c>
      <c r="L57" s="35">
        <f>K57</f>
        <v/>
      </c>
      <c r="M57" s="34" t="n">
        <v>1368</v>
      </c>
      <c r="N57" s="35">
        <f>M57*1.6</f>
        <v/>
      </c>
      <c r="O57" s="37">
        <f>L57+N57</f>
        <v/>
      </c>
      <c r="P57" s="38">
        <f>J57+O57</f>
        <v/>
      </c>
    </row>
    <row r="58">
      <c r="A58" s="25" t="n">
        <v>42125</v>
      </c>
      <c r="B58" s="33" t="n">
        <v>45</v>
      </c>
      <c r="C58" s="35">
        <f>B58*5</f>
        <v/>
      </c>
      <c r="D58" s="34" t="n">
        <v>2830</v>
      </c>
      <c r="E58" s="35">
        <f>D58*2.5</f>
        <v/>
      </c>
      <c r="F58" s="35" t="n"/>
      <c r="G58" s="35" t="n"/>
      <c r="H58" s="34" t="n">
        <v>600</v>
      </c>
      <c r="I58" s="35">
        <f>H58*2.5</f>
        <v/>
      </c>
      <c r="J58" s="36">
        <f>C58+E58+I58</f>
        <v/>
      </c>
      <c r="K58" s="34" t="n">
        <v>5604</v>
      </c>
      <c r="L58" s="35">
        <f>K58</f>
        <v/>
      </c>
      <c r="M58" s="34" t="n">
        <v>2907</v>
      </c>
      <c r="N58" s="35">
        <f>M58*1.6</f>
        <v/>
      </c>
      <c r="O58" s="37">
        <f>L58+N58</f>
        <v/>
      </c>
      <c r="P58" s="38">
        <f>J58+O58</f>
        <v/>
      </c>
    </row>
    <row r="59">
      <c r="A59" s="25" t="n">
        <v>42156</v>
      </c>
      <c r="B59" s="33" t="n">
        <v>45</v>
      </c>
      <c r="C59" s="35">
        <f>B59*5</f>
        <v/>
      </c>
      <c r="D59" s="34" t="n">
        <v>2445</v>
      </c>
      <c r="E59" s="35">
        <f>D59*2.5</f>
        <v/>
      </c>
      <c r="F59" s="35" t="n"/>
      <c r="G59" s="35" t="n"/>
      <c r="H59" s="34" t="n">
        <v>410</v>
      </c>
      <c r="I59" s="35">
        <f>H59*2.5</f>
        <v/>
      </c>
      <c r="J59" s="36">
        <f>C59+E59+I59</f>
        <v/>
      </c>
      <c r="K59" s="34" t="n">
        <v>3876</v>
      </c>
      <c r="L59" s="35">
        <f>K59</f>
        <v/>
      </c>
      <c r="M59" s="34" t="n">
        <v>1956</v>
      </c>
      <c r="N59" s="35">
        <f>M59*1.6</f>
        <v/>
      </c>
      <c r="O59" s="37">
        <f>L59+N59</f>
        <v/>
      </c>
      <c r="P59" s="38">
        <f>J59+O59</f>
        <v/>
      </c>
    </row>
    <row r="60">
      <c r="A60" s="25" t="n">
        <v>42186</v>
      </c>
      <c r="B60" s="26" t="n">
        <v>75</v>
      </c>
      <c r="C60" s="39">
        <f>B60*5</f>
        <v/>
      </c>
      <c r="D60" s="39" t="n">
        <v>2020</v>
      </c>
      <c r="E60" s="40">
        <f>D60*2.5</f>
        <v/>
      </c>
      <c r="F60" s="40" t="n"/>
      <c r="G60" s="40" t="n"/>
      <c r="H60" s="39" t="n">
        <v>210</v>
      </c>
      <c r="I60" s="40">
        <f>H60*2.5</f>
        <v/>
      </c>
      <c r="J60" s="41">
        <f>C60+E60+I60</f>
        <v/>
      </c>
      <c r="K60" s="39" t="n">
        <v>6432</v>
      </c>
      <c r="L60" s="40">
        <f>K60</f>
        <v/>
      </c>
      <c r="M60" s="39" t="n">
        <v>2796</v>
      </c>
      <c r="N60" s="40">
        <f>M60*1.6</f>
        <v/>
      </c>
      <c r="O60" s="42">
        <f>L60+N60</f>
        <v/>
      </c>
      <c r="P60" s="38">
        <f>J60+O60</f>
        <v/>
      </c>
    </row>
    <row r="61">
      <c r="A61" s="43" t="n">
        <v>42217</v>
      </c>
      <c r="B61" s="39" t="n">
        <v>25</v>
      </c>
      <c r="C61" s="40">
        <f>B61*5</f>
        <v/>
      </c>
      <c r="D61" s="39" t="n">
        <v>2230</v>
      </c>
      <c r="E61" s="40">
        <f>D61*2.5</f>
        <v/>
      </c>
      <c r="F61" s="40" t="n"/>
      <c r="G61" s="40" t="n"/>
      <c r="H61" s="39" t="n">
        <v>300</v>
      </c>
      <c r="I61" s="40">
        <f>H61*2.5</f>
        <v/>
      </c>
      <c r="J61" s="41">
        <f>C61+E61+I61</f>
        <v/>
      </c>
      <c r="K61" s="39" t="n">
        <v>3612</v>
      </c>
      <c r="L61" s="40">
        <f>K61</f>
        <v/>
      </c>
      <c r="M61" s="39" t="n">
        <v>2364</v>
      </c>
      <c r="N61" s="40">
        <f>M61*1.6</f>
        <v/>
      </c>
      <c r="O61" s="42">
        <f>L61+N61</f>
        <v/>
      </c>
      <c r="P61" s="38">
        <f>J61+O61</f>
        <v/>
      </c>
    </row>
    <row r="62">
      <c r="A62" s="43" t="n">
        <v>42248</v>
      </c>
      <c r="B62" s="39" t="n">
        <v>35</v>
      </c>
      <c r="C62" s="40">
        <f>B62*5</f>
        <v/>
      </c>
      <c r="D62" s="39" t="n">
        <v>2795</v>
      </c>
      <c r="E62" s="40">
        <f>D62*2.5</f>
        <v/>
      </c>
      <c r="F62" s="40" t="n"/>
      <c r="G62" s="40" t="n"/>
      <c r="H62" s="39" t="n">
        <v>1125</v>
      </c>
      <c r="I62" s="40">
        <f>H62*2.5</f>
        <v/>
      </c>
      <c r="J62" s="41">
        <f>C62+E62+I62</f>
        <v/>
      </c>
      <c r="K62" s="39" t="n">
        <v>3144</v>
      </c>
      <c r="L62" s="40">
        <f>K62</f>
        <v/>
      </c>
      <c r="M62" s="39" t="n">
        <v>1848</v>
      </c>
      <c r="N62" s="40">
        <f>M62*1.6</f>
        <v/>
      </c>
      <c r="O62" s="42">
        <f>L62+N62</f>
        <v/>
      </c>
      <c r="P62" s="38">
        <f>J62+O62</f>
        <v/>
      </c>
    </row>
    <row r="63">
      <c r="A63" s="43" t="n">
        <v>42278</v>
      </c>
      <c r="B63" s="39" t="n">
        <v>65</v>
      </c>
      <c r="C63" s="40">
        <f>B63*5</f>
        <v/>
      </c>
      <c r="D63" s="39" t="n">
        <v>2905</v>
      </c>
      <c r="E63" s="40">
        <f>D63*2.5</f>
        <v/>
      </c>
      <c r="F63" s="40" t="n"/>
      <c r="G63" s="40" t="n"/>
      <c r="H63" s="39" t="n">
        <v>1110</v>
      </c>
      <c r="I63" s="40">
        <f>H63*2.5</f>
        <v/>
      </c>
      <c r="J63" s="41">
        <f>C63+E63+I63</f>
        <v/>
      </c>
      <c r="K63" s="39" t="n">
        <v>4560</v>
      </c>
      <c r="L63" s="40">
        <f>K63</f>
        <v/>
      </c>
      <c r="M63" s="39" t="n">
        <v>1872</v>
      </c>
      <c r="N63" s="40">
        <f>M63*1.6</f>
        <v/>
      </c>
      <c r="O63" s="42">
        <f>L63+N63</f>
        <v/>
      </c>
      <c r="P63" s="38">
        <f>J63+O63</f>
        <v/>
      </c>
    </row>
    <row r="64">
      <c r="A64" s="43" t="n">
        <v>42309</v>
      </c>
      <c r="B64" s="39" t="n">
        <v>40</v>
      </c>
      <c r="C64" s="40">
        <f>B64*5</f>
        <v/>
      </c>
      <c r="D64" s="39" t="n">
        <v>2525</v>
      </c>
      <c r="E64" s="40">
        <f>D64*2.5</f>
        <v/>
      </c>
      <c r="F64" s="40" t="n"/>
      <c r="G64" s="40" t="n"/>
      <c r="H64" s="39" t="n">
        <v>640</v>
      </c>
      <c r="I64" s="40">
        <f>H64*2.5</f>
        <v/>
      </c>
      <c r="J64" s="41">
        <f>C64+E64+I64</f>
        <v/>
      </c>
      <c r="K64" s="39" t="n">
        <v>4440</v>
      </c>
      <c r="L64" s="40">
        <f>K64</f>
        <v/>
      </c>
      <c r="M64" s="39" t="n">
        <v>1800</v>
      </c>
      <c r="N64" s="40">
        <f>M64*1.6</f>
        <v/>
      </c>
      <c r="O64" s="42">
        <f>L64+N64</f>
        <v/>
      </c>
      <c r="P64" s="38">
        <f>J64+O64</f>
        <v/>
      </c>
    </row>
    <row r="65">
      <c r="A65" s="43" t="n">
        <v>42339</v>
      </c>
      <c r="B65" s="39" t="n">
        <v>40</v>
      </c>
      <c r="C65" s="40">
        <f>B65*5</f>
        <v/>
      </c>
      <c r="D65" s="39" t="n">
        <v>2960</v>
      </c>
      <c r="E65" s="40">
        <f>D65*2.5</f>
        <v/>
      </c>
      <c r="F65" s="40" t="n"/>
      <c r="G65" s="40" t="n"/>
      <c r="H65" s="39" t="n">
        <v>730</v>
      </c>
      <c r="I65" s="40">
        <f>H65*2.5</f>
        <v/>
      </c>
      <c r="J65" s="41">
        <f>C65+E65+I65</f>
        <v/>
      </c>
      <c r="K65" s="39" t="n">
        <v>7548</v>
      </c>
      <c r="L65" s="40">
        <f>K65</f>
        <v/>
      </c>
      <c r="M65" s="39" t="n">
        <v>3696</v>
      </c>
      <c r="N65" s="40">
        <f>M65*1.6</f>
        <v/>
      </c>
      <c r="O65" s="42">
        <f>L65+N65</f>
        <v/>
      </c>
      <c r="P65" s="38">
        <f>J65+O65</f>
        <v/>
      </c>
    </row>
    <row r="66">
      <c r="A66" s="43" t="n">
        <v>42370</v>
      </c>
      <c r="B66" s="39" t="n">
        <v>15</v>
      </c>
      <c r="C66" s="40">
        <f>B66*5</f>
        <v/>
      </c>
      <c r="D66" s="39" t="n">
        <v>2680</v>
      </c>
      <c r="E66" s="40">
        <f>D66*2.5</f>
        <v/>
      </c>
      <c r="F66" s="40" t="n"/>
      <c r="G66" s="40" t="n"/>
      <c r="H66" s="39" t="n">
        <v>660</v>
      </c>
      <c r="I66" s="40">
        <f>H66*2.5</f>
        <v/>
      </c>
      <c r="J66" s="41">
        <f>C66+E66+I66</f>
        <v/>
      </c>
      <c r="K66" s="39" t="n">
        <v>3542</v>
      </c>
      <c r="L66" s="40">
        <f>K66</f>
        <v/>
      </c>
      <c r="M66" s="39" t="n">
        <v>1744</v>
      </c>
      <c r="N66" s="40">
        <f>M66*1.6</f>
        <v/>
      </c>
      <c r="O66" s="42">
        <f>L66+N66</f>
        <v/>
      </c>
      <c r="P66" s="38">
        <f>J66+O66</f>
        <v/>
      </c>
    </row>
    <row r="67">
      <c r="A67" s="43" t="n">
        <v>42401</v>
      </c>
      <c r="B67" s="39" t="n">
        <v>40</v>
      </c>
      <c r="C67" s="39">
        <f>B67*5</f>
        <v/>
      </c>
      <c r="D67" s="39" t="n">
        <v>2660</v>
      </c>
      <c r="E67" s="40">
        <f>D67*2.5</f>
        <v/>
      </c>
      <c r="F67" s="40" t="n"/>
      <c r="G67" s="40" t="n"/>
      <c r="H67" s="39" t="n">
        <v>640</v>
      </c>
      <c r="I67" s="40">
        <f>H67*2.5</f>
        <v/>
      </c>
      <c r="J67" s="41">
        <f>C67+E67+I67</f>
        <v/>
      </c>
      <c r="K67" s="39" t="n">
        <v>2580</v>
      </c>
      <c r="L67" s="40">
        <f>K67</f>
        <v/>
      </c>
      <c r="M67" s="39" t="n">
        <v>962</v>
      </c>
      <c r="N67" s="40">
        <f>M67*1.6</f>
        <v/>
      </c>
      <c r="O67" s="42">
        <f>L67+N67</f>
        <v/>
      </c>
      <c r="P67" s="38">
        <f>J67+O67</f>
        <v/>
      </c>
    </row>
    <row r="68">
      <c r="A68" s="43" t="n">
        <v>42430</v>
      </c>
      <c r="B68" s="39" t="n">
        <v>45</v>
      </c>
      <c r="C68" s="40">
        <f>B68*5</f>
        <v/>
      </c>
      <c r="D68" s="39" t="n">
        <v>2545</v>
      </c>
      <c r="E68" s="40">
        <f>D68*2.5</f>
        <v/>
      </c>
      <c r="F68" s="40" t="n"/>
      <c r="G68" s="40" t="n"/>
      <c r="H68" s="39" t="n">
        <v>580</v>
      </c>
      <c r="I68" s="40">
        <f>H68*2.5</f>
        <v/>
      </c>
      <c r="J68" s="41">
        <f>C68+E68+I68</f>
        <v/>
      </c>
      <c r="K68" s="39" t="n">
        <v>8044</v>
      </c>
      <c r="L68" s="40">
        <f>K68</f>
        <v/>
      </c>
      <c r="M68" s="39" t="n">
        <v>3134</v>
      </c>
      <c r="N68" s="40">
        <f>M68*1.6</f>
        <v/>
      </c>
      <c r="O68" s="42">
        <f>L68+N68</f>
        <v/>
      </c>
      <c r="P68" s="38">
        <f>J68+O68</f>
        <v/>
      </c>
    </row>
    <row r="69">
      <c r="A69" s="43" t="n">
        <v>42461</v>
      </c>
      <c r="B69" s="39" t="n">
        <v>40</v>
      </c>
      <c r="C69" s="40">
        <f>B69*5</f>
        <v/>
      </c>
      <c r="D69" s="39" t="n">
        <v>2710</v>
      </c>
      <c r="E69" s="40">
        <f>D69*2.5</f>
        <v/>
      </c>
      <c r="F69" s="40" t="n"/>
      <c r="G69" s="40" t="n"/>
      <c r="H69" s="39" t="n">
        <v>565</v>
      </c>
      <c r="I69" s="40">
        <f>H69*2.5</f>
        <v/>
      </c>
      <c r="J69" s="41">
        <f>C69+E69+I69</f>
        <v/>
      </c>
      <c r="K69" s="39" t="n">
        <v>5304</v>
      </c>
      <c r="L69" s="40">
        <f>K69</f>
        <v/>
      </c>
      <c r="M69" s="39" t="n">
        <v>2208</v>
      </c>
      <c r="N69" s="40">
        <f>M69*1.6</f>
        <v/>
      </c>
      <c r="O69" s="42">
        <f>L69+N69</f>
        <v/>
      </c>
      <c r="P69" s="38">
        <f>J69+O69</f>
        <v/>
      </c>
    </row>
    <row r="70">
      <c r="A70" s="43" t="n">
        <v>42491</v>
      </c>
      <c r="B70" s="39" t="n">
        <v>25</v>
      </c>
      <c r="C70" s="40">
        <f>B70*5</f>
        <v/>
      </c>
      <c r="D70" s="39" t="n">
        <v>2705</v>
      </c>
      <c r="E70" s="40">
        <f>D70*2.5</f>
        <v/>
      </c>
      <c r="F70" s="40" t="n"/>
      <c r="G70" s="40" t="n"/>
      <c r="H70" s="39" t="n">
        <v>405</v>
      </c>
      <c r="I70" s="40">
        <f>H70*2.5</f>
        <v/>
      </c>
      <c r="J70" s="41">
        <f>C70+E70+I70</f>
        <v/>
      </c>
      <c r="K70" s="39" t="n">
        <v>4920</v>
      </c>
      <c r="L70" s="40">
        <f>K70</f>
        <v/>
      </c>
      <c r="M70" s="39" t="n">
        <v>1948</v>
      </c>
      <c r="N70" s="40">
        <f>M70*1.6</f>
        <v/>
      </c>
      <c r="O70" s="42">
        <f>L70+N70</f>
        <v/>
      </c>
      <c r="P70" s="38">
        <f>J70+O70</f>
        <v/>
      </c>
    </row>
    <row r="71">
      <c r="A71" s="43" t="n">
        <v>42522</v>
      </c>
      <c r="B71" s="39" t="n">
        <v>65</v>
      </c>
      <c r="C71" s="40">
        <f>B71*5</f>
        <v/>
      </c>
      <c r="D71" s="39" t="n">
        <v>2635</v>
      </c>
      <c r="E71" s="40">
        <f>D71*2.5</f>
        <v/>
      </c>
      <c r="F71" s="40" t="n"/>
      <c r="G71" s="40" t="n"/>
      <c r="H71" s="39" t="n">
        <v>545</v>
      </c>
      <c r="I71" s="40">
        <f>H71*2.5</f>
        <v/>
      </c>
      <c r="J71" s="41">
        <f>C71+E71+I71</f>
        <v/>
      </c>
      <c r="K71" s="39" t="n">
        <v>4860</v>
      </c>
      <c r="L71" s="40">
        <f>K71</f>
        <v/>
      </c>
      <c r="M71" s="39" t="n">
        <v>2220</v>
      </c>
      <c r="N71" s="40">
        <f>M71*1.6</f>
        <v/>
      </c>
      <c r="O71" s="42">
        <f>L71+N71</f>
        <v/>
      </c>
      <c r="P71" s="38">
        <f>J71+O71</f>
        <v/>
      </c>
    </row>
    <row r="72">
      <c r="A72" s="43" t="n">
        <v>42552</v>
      </c>
      <c r="B72" s="33" t="n">
        <v>54</v>
      </c>
      <c r="C72" s="34">
        <f>B72*5</f>
        <v/>
      </c>
      <c r="D72" s="34" t="n">
        <v>2420</v>
      </c>
      <c r="E72" s="35">
        <f>D72*2.5</f>
        <v/>
      </c>
      <c r="F72" s="35" t="n"/>
      <c r="G72" s="35" t="n"/>
      <c r="H72" s="34" t="n">
        <v>420</v>
      </c>
      <c r="I72" s="35">
        <f>H72*2.5</f>
        <v/>
      </c>
      <c r="J72" s="36">
        <f>C72+E72+I72</f>
        <v/>
      </c>
      <c r="K72" s="34" t="n">
        <v>3708</v>
      </c>
      <c r="L72" s="35">
        <f>K72</f>
        <v/>
      </c>
      <c r="M72" s="34" t="n">
        <v>1116</v>
      </c>
      <c r="N72" s="35">
        <f>M72*1.6</f>
        <v/>
      </c>
      <c r="O72" s="37">
        <f>L72+N72</f>
        <v/>
      </c>
      <c r="P72" s="38">
        <f>J72+O72</f>
        <v/>
      </c>
    </row>
    <row r="73">
      <c r="A73" s="43" t="n">
        <v>42583</v>
      </c>
      <c r="B73" s="33" t="n">
        <v>45</v>
      </c>
      <c r="C73" s="35">
        <f>B73*5</f>
        <v/>
      </c>
      <c r="D73" s="34" t="n">
        <v>2305</v>
      </c>
      <c r="E73" s="35">
        <f>D73*2.5</f>
        <v/>
      </c>
      <c r="F73" s="35" t="n"/>
      <c r="G73" s="35" t="n"/>
      <c r="H73" s="34" t="n">
        <v>415</v>
      </c>
      <c r="I73" s="35">
        <f>H73*2.5</f>
        <v/>
      </c>
      <c r="J73" s="36">
        <f>C73+E73+I73</f>
        <v/>
      </c>
      <c r="K73" s="34" t="n">
        <v>4200</v>
      </c>
      <c r="L73" s="35">
        <f>K73</f>
        <v/>
      </c>
      <c r="M73" s="34" t="n">
        <v>2004</v>
      </c>
      <c r="N73" s="35">
        <f>M73*1.6</f>
        <v/>
      </c>
      <c r="O73" s="37">
        <f>L73+N73</f>
        <v/>
      </c>
      <c r="P73" s="38">
        <f>J73+O73</f>
        <v/>
      </c>
    </row>
    <row r="74">
      <c r="A74" s="43" t="n">
        <v>42614</v>
      </c>
      <c r="B74" s="33" t="n">
        <v>48</v>
      </c>
      <c r="C74" s="35">
        <f>B74*5</f>
        <v/>
      </c>
      <c r="D74" s="34" t="n">
        <v>2220</v>
      </c>
      <c r="E74" s="35">
        <f>D74*2.5</f>
        <v/>
      </c>
      <c r="F74" s="35" t="n"/>
      <c r="G74" s="35" t="n"/>
      <c r="H74" s="34" t="n">
        <v>1180</v>
      </c>
      <c r="I74" s="35">
        <f>H74*2.5</f>
        <v/>
      </c>
      <c r="J74" s="36">
        <f>C74+E74+I74</f>
        <v/>
      </c>
      <c r="K74" s="34" t="n">
        <v>3792</v>
      </c>
      <c r="L74" s="35">
        <f>K74</f>
        <v/>
      </c>
      <c r="M74" s="34" t="n">
        <v>2234</v>
      </c>
      <c r="N74" s="35">
        <f>M74*1.6</f>
        <v/>
      </c>
      <c r="O74" s="37">
        <f>L74+N74</f>
        <v/>
      </c>
      <c r="P74" s="38">
        <f>J74+O74</f>
        <v/>
      </c>
    </row>
    <row r="75">
      <c r="A75" s="43" t="n">
        <v>42644</v>
      </c>
      <c r="B75" s="33" t="n">
        <v>48</v>
      </c>
      <c r="C75" s="35">
        <f>B75*5</f>
        <v/>
      </c>
      <c r="D75" s="34" t="n">
        <v>2195</v>
      </c>
      <c r="E75" s="35">
        <f>D75*2.5</f>
        <v/>
      </c>
      <c r="F75" s="35" t="n"/>
      <c r="G75" s="35" t="n"/>
      <c r="H75" s="34" t="n">
        <v>1410</v>
      </c>
      <c r="I75" s="35">
        <f>H75*2.5</f>
        <v/>
      </c>
      <c r="J75" s="36">
        <f>C75+E75+I75</f>
        <v/>
      </c>
      <c r="K75" s="34" t="n">
        <v>6900</v>
      </c>
      <c r="L75" s="35">
        <f>K75</f>
        <v/>
      </c>
      <c r="M75" s="34" t="n">
        <v>2064</v>
      </c>
      <c r="N75" s="35">
        <f>M75*1.6</f>
        <v/>
      </c>
      <c r="O75" s="37">
        <f>L75+N75</f>
        <v/>
      </c>
      <c r="P75" s="38">
        <f>J75+O75</f>
        <v/>
      </c>
    </row>
    <row r="76">
      <c r="A76" s="43" t="n">
        <v>42675</v>
      </c>
      <c r="B76" s="33" t="n">
        <v>48</v>
      </c>
      <c r="C76" s="35">
        <f>B76*5</f>
        <v/>
      </c>
      <c r="D76" s="34" t="n">
        <v>2140</v>
      </c>
      <c r="E76" s="35">
        <f>D76*2.5</f>
        <v/>
      </c>
      <c r="F76" s="35" t="n"/>
      <c r="G76" s="35" t="n"/>
      <c r="H76" s="34" t="n">
        <v>1470</v>
      </c>
      <c r="I76" s="35">
        <f>H76*2.5</f>
        <v/>
      </c>
      <c r="J76" s="36">
        <f>C76+E76+I76</f>
        <v/>
      </c>
      <c r="K76" s="34" t="n">
        <v>6288</v>
      </c>
      <c r="L76" s="35">
        <f>K76</f>
        <v/>
      </c>
      <c r="M76" s="34" t="n">
        <v>1836</v>
      </c>
      <c r="N76" s="35">
        <f>M76*1.6</f>
        <v/>
      </c>
      <c r="O76" s="37">
        <f>L76+N76</f>
        <v/>
      </c>
      <c r="P76" s="38">
        <f>J76+O76</f>
        <v/>
      </c>
    </row>
    <row r="77">
      <c r="A77" s="43" t="n">
        <v>42705</v>
      </c>
      <c r="B77" s="33" t="n">
        <v>57</v>
      </c>
      <c r="C77" s="35">
        <f>B77*5</f>
        <v/>
      </c>
      <c r="D77" s="34" t="n">
        <v>2195</v>
      </c>
      <c r="E77" s="35">
        <f>D77*2.5</f>
        <v/>
      </c>
      <c r="F77" s="35" t="n"/>
      <c r="G77" s="35" t="n"/>
      <c r="H77" s="34" t="n">
        <v>1405</v>
      </c>
      <c r="I77" s="35">
        <f>H77*2.5</f>
        <v/>
      </c>
      <c r="J77" s="36">
        <f>C77+E77+I77</f>
        <v/>
      </c>
      <c r="K77" s="34" t="n">
        <v>5736</v>
      </c>
      <c r="L77" s="35">
        <f>K77</f>
        <v/>
      </c>
      <c r="M77" s="34" t="n">
        <v>2760</v>
      </c>
      <c r="N77" s="35">
        <f>M77*1.6</f>
        <v/>
      </c>
      <c r="O77" s="37">
        <f>L77+N77</f>
        <v/>
      </c>
      <c r="P77" s="38">
        <f>J77+O77</f>
        <v/>
      </c>
    </row>
    <row r="78">
      <c r="A78" s="43" t="n">
        <v>42736</v>
      </c>
      <c r="B78" s="33" t="n">
        <v>39</v>
      </c>
      <c r="C78" s="35">
        <f>B78*5</f>
        <v/>
      </c>
      <c r="D78" s="34" t="n">
        <v>1975</v>
      </c>
      <c r="E78" s="35">
        <f>D78*2.5</f>
        <v/>
      </c>
      <c r="F78" s="35" t="n"/>
      <c r="G78" s="35" t="n"/>
      <c r="H78" s="34" t="n">
        <v>985</v>
      </c>
      <c r="I78" s="35">
        <f>H78*2.5</f>
        <v/>
      </c>
      <c r="J78" s="36">
        <f>C78+E78+I78</f>
        <v/>
      </c>
      <c r="K78" s="34" t="n">
        <v>4080</v>
      </c>
      <c r="L78" s="35">
        <f>K78</f>
        <v/>
      </c>
      <c r="M78" s="34" t="n">
        <v>2004</v>
      </c>
      <c r="N78" s="35">
        <f>M78*1.6</f>
        <v/>
      </c>
      <c r="O78" s="37">
        <f>L78+N78</f>
        <v/>
      </c>
      <c r="P78" s="38">
        <f>J78+O78</f>
        <v/>
      </c>
    </row>
    <row r="79">
      <c r="A79" s="43" t="n">
        <v>42767</v>
      </c>
      <c r="B79" s="33" t="n">
        <v>39</v>
      </c>
      <c r="C79" s="34">
        <f>B79*5</f>
        <v/>
      </c>
      <c r="D79" s="34" t="n">
        <v>1980</v>
      </c>
      <c r="E79" s="35">
        <f>D79*2.5</f>
        <v/>
      </c>
      <c r="F79" s="35" t="n"/>
      <c r="G79" s="35" t="n"/>
      <c r="H79" s="34" t="n">
        <v>925</v>
      </c>
      <c r="I79" s="35">
        <f>H79*2.5</f>
        <v/>
      </c>
      <c r="J79" s="36">
        <f>C79+E79+I79</f>
        <v/>
      </c>
      <c r="K79" s="34" t="n">
        <v>3727</v>
      </c>
      <c r="L79" s="35">
        <f>K79</f>
        <v/>
      </c>
      <c r="M79" s="34" t="n">
        <v>933</v>
      </c>
      <c r="N79" s="35">
        <f>M79*1.6</f>
        <v/>
      </c>
      <c r="O79" s="37">
        <f>L79+N79</f>
        <v/>
      </c>
      <c r="P79" s="38">
        <f>J79+O79</f>
        <v/>
      </c>
    </row>
    <row r="80">
      <c r="A80" s="43" t="n">
        <v>42795</v>
      </c>
      <c r="B80" s="33" t="n">
        <v>18</v>
      </c>
      <c r="C80" s="35">
        <f>B80*5</f>
        <v/>
      </c>
      <c r="D80" s="34" t="n">
        <v>1865</v>
      </c>
      <c r="E80" s="35">
        <f>D80*2.5</f>
        <v/>
      </c>
      <c r="F80" s="35" t="n"/>
      <c r="G80" s="35" t="n"/>
      <c r="H80" s="34" t="n">
        <v>1085</v>
      </c>
      <c r="I80" s="35">
        <f>H80*2.5</f>
        <v/>
      </c>
      <c r="J80" s="36">
        <f>C80+E80+I80</f>
        <v/>
      </c>
      <c r="K80" s="34" t="n">
        <v>6420</v>
      </c>
      <c r="L80" s="35">
        <f>K80</f>
        <v/>
      </c>
      <c r="M80" s="34" t="n">
        <v>3600</v>
      </c>
      <c r="N80" s="35">
        <f>M80*1.6</f>
        <v/>
      </c>
      <c r="O80" s="37">
        <f>L80+N80</f>
        <v/>
      </c>
      <c r="P80" s="38">
        <f>J80+O80</f>
        <v/>
      </c>
    </row>
    <row r="81">
      <c r="A81" s="43" t="n">
        <v>42826</v>
      </c>
      <c r="B81" s="33" t="n">
        <v>39</v>
      </c>
      <c r="C81" s="35">
        <f>B81*5</f>
        <v/>
      </c>
      <c r="D81" s="34" t="n">
        <v>2010</v>
      </c>
      <c r="E81" s="35">
        <f>D81*2.5</f>
        <v/>
      </c>
      <c r="F81" s="35" t="n"/>
      <c r="G81" s="35" t="n"/>
      <c r="H81" s="34" t="n">
        <v>1045</v>
      </c>
      <c r="I81" s="35">
        <f>H81*2.5</f>
        <v/>
      </c>
      <c r="J81" s="36">
        <f>C81+E81+I81</f>
        <v/>
      </c>
      <c r="K81" s="34" t="n">
        <v>3036</v>
      </c>
      <c r="L81" s="35">
        <f>K81</f>
        <v/>
      </c>
      <c r="M81" s="34" t="n">
        <v>2292</v>
      </c>
      <c r="N81" s="35">
        <f>M81*1.6</f>
        <v/>
      </c>
      <c r="O81" s="37">
        <f>L81+N81</f>
        <v/>
      </c>
      <c r="P81" s="38">
        <f>J81+O81</f>
        <v/>
      </c>
    </row>
    <row r="82">
      <c r="A82" s="43" t="n">
        <v>42856</v>
      </c>
      <c r="B82" s="33" t="n">
        <v>48</v>
      </c>
      <c r="C82" s="35">
        <f>B82*5</f>
        <v/>
      </c>
      <c r="D82" s="34" t="n">
        <v>2320</v>
      </c>
      <c r="E82" s="35">
        <f>D82*2.5</f>
        <v/>
      </c>
      <c r="F82" s="35" t="n"/>
      <c r="G82" s="35" t="n"/>
      <c r="H82" s="34" t="n">
        <v>1270</v>
      </c>
      <c r="I82" s="35">
        <f>H82*2.5</f>
        <v/>
      </c>
      <c r="J82" s="36">
        <f>C82+E82+I82</f>
        <v/>
      </c>
      <c r="K82" s="34" t="n">
        <v>5508</v>
      </c>
      <c r="L82" s="35">
        <f>K82</f>
        <v/>
      </c>
      <c r="M82" s="34" t="n">
        <v>3552</v>
      </c>
      <c r="N82" s="35">
        <f>M82*1.6</f>
        <v/>
      </c>
      <c r="O82" s="37">
        <f>L82+N82</f>
        <v/>
      </c>
      <c r="P82" s="38">
        <f>J82+O82</f>
        <v/>
      </c>
    </row>
    <row r="83">
      <c r="A83" s="43" t="n">
        <v>42887</v>
      </c>
      <c r="B83" s="33" t="n">
        <v>42</v>
      </c>
      <c r="C83" s="35">
        <f>B83*5</f>
        <v/>
      </c>
      <c r="D83" s="34" t="n">
        <v>2010</v>
      </c>
      <c r="E83" s="35">
        <f>D83*2.5</f>
        <v/>
      </c>
      <c r="F83" s="35" t="n"/>
      <c r="G83" s="35" t="n"/>
      <c r="H83" s="34" t="n">
        <v>900</v>
      </c>
      <c r="I83" s="35">
        <f>H83*2.5</f>
        <v/>
      </c>
      <c r="J83" s="36">
        <f>C83+E83+I83</f>
        <v/>
      </c>
      <c r="K83" s="34" t="n">
        <v>3516</v>
      </c>
      <c r="L83" s="35">
        <f>K83</f>
        <v/>
      </c>
      <c r="M83" s="34" t="n">
        <v>2427</v>
      </c>
      <c r="N83" s="35">
        <f>M83*1.6</f>
        <v/>
      </c>
      <c r="O83" s="37">
        <f>L83+N83</f>
        <v/>
      </c>
      <c r="P83" s="38">
        <f>J83+O83</f>
        <v/>
      </c>
    </row>
    <row r="84">
      <c r="A84" s="43" t="n">
        <v>42917</v>
      </c>
      <c r="B84" s="26" t="n">
        <v>57</v>
      </c>
      <c r="C84" s="39">
        <f>B84*5</f>
        <v/>
      </c>
      <c r="D84" s="39" t="n">
        <v>1815</v>
      </c>
      <c r="E84" s="40">
        <f>D84*2.5</f>
        <v/>
      </c>
      <c r="F84" s="40" t="n"/>
      <c r="G84" s="40" t="n"/>
      <c r="H84" s="39" t="n">
        <v>890</v>
      </c>
      <c r="I84" s="40">
        <f>H84*2.5</f>
        <v/>
      </c>
      <c r="J84" s="41">
        <f>C84+E84+I84</f>
        <v/>
      </c>
      <c r="K84" s="39" t="n">
        <v>2448</v>
      </c>
      <c r="L84" s="40">
        <f>K84</f>
        <v/>
      </c>
      <c r="M84" s="39" t="n">
        <v>1728</v>
      </c>
      <c r="N84" s="40">
        <f>M84*1.6</f>
        <v/>
      </c>
      <c r="O84" s="42">
        <f>L84+N84</f>
        <v/>
      </c>
      <c r="P84" s="44">
        <f>J84+O84</f>
        <v/>
      </c>
    </row>
    <row r="85">
      <c r="A85" s="43" t="n">
        <v>42948</v>
      </c>
      <c r="B85" s="26" t="n">
        <v>21</v>
      </c>
      <c r="C85" s="40">
        <f>B85*5</f>
        <v/>
      </c>
      <c r="D85" s="39" t="n">
        <v>1670</v>
      </c>
      <c r="E85" s="40">
        <f>D85*2.5</f>
        <v/>
      </c>
      <c r="F85" s="40" t="n"/>
      <c r="G85" s="40" t="n"/>
      <c r="H85" s="39" t="n">
        <v>530</v>
      </c>
      <c r="I85" s="40">
        <f>H85*2.5</f>
        <v/>
      </c>
      <c r="J85" s="41">
        <f>C85+E85+I85</f>
        <v/>
      </c>
      <c r="K85" s="39" t="n">
        <v>2484</v>
      </c>
      <c r="L85" s="40">
        <f>K85</f>
        <v/>
      </c>
      <c r="M85" s="39" t="n">
        <v>1752</v>
      </c>
      <c r="N85" s="40">
        <f>M85*1.6</f>
        <v/>
      </c>
      <c r="O85" s="42">
        <f>L85+N85</f>
        <v/>
      </c>
      <c r="P85" s="44">
        <f>J85+O85</f>
        <v/>
      </c>
    </row>
    <row r="86">
      <c r="A86" s="43" t="n">
        <v>42979</v>
      </c>
      <c r="B86" s="26" t="n">
        <v>30</v>
      </c>
      <c r="C86" s="40">
        <f>B86*5</f>
        <v/>
      </c>
      <c r="D86" s="39" t="n">
        <v>2065</v>
      </c>
      <c r="E86" s="40">
        <f>D86*2.5</f>
        <v/>
      </c>
      <c r="F86" s="40" t="n"/>
      <c r="G86" s="40" t="n"/>
      <c r="H86" s="39" t="n">
        <v>1150</v>
      </c>
      <c r="I86" s="40">
        <f>H86*2.5</f>
        <v/>
      </c>
      <c r="J86" s="41">
        <f>C86+E86+I86</f>
        <v/>
      </c>
      <c r="K86" s="39" t="n">
        <v>3936</v>
      </c>
      <c r="L86" s="40">
        <f>K86</f>
        <v/>
      </c>
      <c r="M86" s="39" t="n">
        <v>3216</v>
      </c>
      <c r="N86" s="40">
        <f>M86*1.6</f>
        <v/>
      </c>
      <c r="O86" s="42">
        <f>L86+N86</f>
        <v/>
      </c>
      <c r="P86" s="44">
        <f>J86+O86</f>
        <v/>
      </c>
    </row>
    <row r="87">
      <c r="A87" s="43" t="n">
        <v>43009</v>
      </c>
      <c r="B87" s="26" t="n">
        <v>48</v>
      </c>
      <c r="C87" s="40">
        <f>B87*5</f>
        <v/>
      </c>
      <c r="D87" s="39" t="n">
        <v>2000</v>
      </c>
      <c r="E87" s="40">
        <f>D87*2.5</f>
        <v/>
      </c>
      <c r="F87" s="40" t="n"/>
      <c r="G87" s="40" t="n"/>
      <c r="H87" s="39" t="n">
        <v>1440</v>
      </c>
      <c r="I87" s="40">
        <f>H87*2.5</f>
        <v/>
      </c>
      <c r="J87" s="41">
        <f>C87+E87+I87</f>
        <v/>
      </c>
      <c r="K87" s="39" t="n">
        <v>4704</v>
      </c>
      <c r="L87" s="40">
        <f>K87</f>
        <v/>
      </c>
      <c r="M87" s="39" t="n">
        <v>4332</v>
      </c>
      <c r="N87" s="40">
        <f>M87*1.6</f>
        <v/>
      </c>
      <c r="O87" s="42">
        <f>L87+N87</f>
        <v/>
      </c>
      <c r="P87" s="44">
        <f>J87+O87</f>
        <v/>
      </c>
    </row>
    <row r="88">
      <c r="A88" s="43" t="n">
        <v>43040</v>
      </c>
      <c r="B88" s="26" t="n">
        <v>93</v>
      </c>
      <c r="C88" s="40">
        <f>B88*5</f>
        <v/>
      </c>
      <c r="D88" s="39" t="n">
        <v>1915</v>
      </c>
      <c r="E88" s="40">
        <f>D88*2.5</f>
        <v/>
      </c>
      <c r="F88" s="40" t="n"/>
      <c r="G88" s="40" t="n"/>
      <c r="H88" s="39" t="n">
        <v>1560</v>
      </c>
      <c r="I88" s="40">
        <f>H88*2.5</f>
        <v/>
      </c>
      <c r="J88" s="41">
        <f>C88+E88+I88</f>
        <v/>
      </c>
      <c r="K88" s="39" t="n">
        <v>4356</v>
      </c>
      <c r="L88" s="40">
        <f>K88</f>
        <v/>
      </c>
      <c r="M88" s="39" t="n">
        <v>3040</v>
      </c>
      <c r="N88" s="40">
        <f>M88*1.6</f>
        <v/>
      </c>
      <c r="O88" s="42">
        <f>L88+N88</f>
        <v/>
      </c>
      <c r="P88" s="44">
        <f>J88+O88</f>
        <v/>
      </c>
    </row>
    <row r="89">
      <c r="A89" s="43" t="n">
        <v>43070</v>
      </c>
      <c r="B89" s="26" t="n">
        <v>51</v>
      </c>
      <c r="C89" s="40">
        <f>B89*5</f>
        <v/>
      </c>
      <c r="D89" s="39" t="n">
        <v>1665</v>
      </c>
      <c r="E89" s="40">
        <f>D89*2.5</f>
        <v/>
      </c>
      <c r="F89" s="40" t="n"/>
      <c r="G89" s="40" t="n"/>
      <c r="H89" s="39" t="n">
        <v>1725</v>
      </c>
      <c r="I89" s="40">
        <f>H89*2.5</f>
        <v/>
      </c>
      <c r="J89" s="41">
        <f>C89+E89+I89</f>
        <v/>
      </c>
      <c r="K89" s="39" t="n">
        <v>4246</v>
      </c>
      <c r="L89" s="40">
        <f>K89</f>
        <v/>
      </c>
      <c r="M89" s="39" t="n">
        <v>2950</v>
      </c>
      <c r="N89" s="40">
        <f>M89*1.6</f>
        <v/>
      </c>
      <c r="O89" s="42">
        <f>L89+N89</f>
        <v/>
      </c>
      <c r="P89" s="44">
        <f>J89+O89</f>
        <v/>
      </c>
    </row>
    <row r="90">
      <c r="A90" s="43" t="n">
        <v>43101</v>
      </c>
      <c r="B90" s="26" t="n">
        <v>42</v>
      </c>
      <c r="C90" s="40">
        <f>B90*5</f>
        <v/>
      </c>
      <c r="D90" s="39" t="n">
        <v>1500</v>
      </c>
      <c r="E90" s="40">
        <f>D90*2.5</f>
        <v/>
      </c>
      <c r="F90" s="40" t="n"/>
      <c r="G90" s="40" t="n"/>
      <c r="H90" s="39" t="n">
        <v>1355</v>
      </c>
      <c r="I90" s="40">
        <f>H90*2.5</f>
        <v/>
      </c>
      <c r="J90" s="41">
        <f>C90+E90+I90</f>
        <v/>
      </c>
      <c r="K90" s="39" t="n">
        <v>3432</v>
      </c>
      <c r="L90" s="40">
        <f>K90</f>
        <v/>
      </c>
      <c r="M90" s="39" t="n">
        <v>2552</v>
      </c>
      <c r="N90" s="40">
        <f>M90*1.6</f>
        <v/>
      </c>
      <c r="O90" s="42">
        <f>L90+N90</f>
        <v/>
      </c>
      <c r="P90" s="44">
        <f>J90+O90</f>
        <v/>
      </c>
    </row>
    <row r="91">
      <c r="A91" s="43" t="n">
        <v>43132</v>
      </c>
      <c r="B91" s="26" t="n">
        <v>39</v>
      </c>
      <c r="C91" s="39">
        <f>B91*5</f>
        <v/>
      </c>
      <c r="D91" s="39" t="n">
        <v>1700</v>
      </c>
      <c r="E91" s="40">
        <f>D91*2.5</f>
        <v/>
      </c>
      <c r="F91" s="40" t="n"/>
      <c r="G91" s="40" t="n"/>
      <c r="H91" s="39" t="n">
        <v>1300</v>
      </c>
      <c r="I91" s="40">
        <f>H91*2.5</f>
        <v/>
      </c>
      <c r="J91" s="41">
        <f>C91+E91+I91</f>
        <v/>
      </c>
      <c r="K91" s="39" t="n">
        <v>3216</v>
      </c>
      <c r="L91" s="40">
        <f>K91</f>
        <v/>
      </c>
      <c r="M91" s="39" t="n">
        <v>2448</v>
      </c>
      <c r="N91" s="40">
        <f>M91*1.6</f>
        <v/>
      </c>
      <c r="O91" s="42">
        <f>L91+N91</f>
        <v/>
      </c>
      <c r="P91" s="44">
        <f>J91+O91</f>
        <v/>
      </c>
    </row>
    <row r="92">
      <c r="A92" s="43" t="n">
        <v>43160</v>
      </c>
      <c r="B92" s="26" t="n">
        <v>69</v>
      </c>
      <c r="C92" s="40">
        <f>B92*5</f>
        <v/>
      </c>
      <c r="D92" s="39" t="n">
        <v>1705</v>
      </c>
      <c r="E92" s="40">
        <f>D92*2.5</f>
        <v/>
      </c>
      <c r="F92" s="40" t="n"/>
      <c r="G92" s="40" t="n"/>
      <c r="H92" s="39" t="n">
        <v>1180</v>
      </c>
      <c r="I92" s="40">
        <f>H92*2.5</f>
        <v/>
      </c>
      <c r="J92" s="41">
        <f>C92+E92+I92</f>
        <v/>
      </c>
      <c r="K92" s="39" t="n">
        <v>5964</v>
      </c>
      <c r="L92" s="40">
        <f>K92</f>
        <v/>
      </c>
      <c r="M92" s="39" t="n">
        <v>3948</v>
      </c>
      <c r="N92" s="40">
        <f>M92*1.6</f>
        <v/>
      </c>
      <c r="O92" s="42">
        <f>L92+N92</f>
        <v/>
      </c>
      <c r="P92" s="44">
        <f>J92+O92</f>
        <v/>
      </c>
    </row>
    <row r="93">
      <c r="A93" s="43" t="n">
        <v>43191</v>
      </c>
      <c r="B93" s="26" t="n">
        <v>30</v>
      </c>
      <c r="C93" s="40">
        <f>B93*5</f>
        <v/>
      </c>
      <c r="D93" s="39" t="n">
        <v>1545</v>
      </c>
      <c r="E93" s="40">
        <f>D93*2.5</f>
        <v/>
      </c>
      <c r="F93" s="40" t="n"/>
      <c r="G93" s="40" t="n"/>
      <c r="H93" s="39" t="n">
        <v>1110</v>
      </c>
      <c r="I93" s="40">
        <f>H93*2.5</f>
        <v/>
      </c>
      <c r="J93" s="41">
        <f>C93+E93+I93</f>
        <v/>
      </c>
      <c r="K93" s="39" t="n">
        <v>4548</v>
      </c>
      <c r="L93" s="40">
        <f>K93</f>
        <v/>
      </c>
      <c r="M93" s="39" t="n">
        <v>2736</v>
      </c>
      <c r="N93" s="40">
        <f>M93*1.6</f>
        <v/>
      </c>
      <c r="O93" s="42">
        <f>L93+N93</f>
        <v/>
      </c>
      <c r="P93" s="44">
        <f>J93+O93</f>
        <v/>
      </c>
    </row>
    <row r="94">
      <c r="A94" s="43" t="n">
        <v>43221</v>
      </c>
      <c r="B94" s="26" t="n">
        <v>66</v>
      </c>
      <c r="C94" s="40">
        <f>B94*5</f>
        <v/>
      </c>
      <c r="D94" s="39" t="n">
        <v>1630</v>
      </c>
      <c r="E94" s="40">
        <f>D94*2.5</f>
        <v/>
      </c>
      <c r="F94" s="40" t="n"/>
      <c r="G94" s="40" t="n"/>
      <c r="H94" s="39" t="n">
        <v>1450</v>
      </c>
      <c r="I94" s="40">
        <f>H94*2.5</f>
        <v/>
      </c>
      <c r="J94" s="41">
        <f>C94+E94+I94</f>
        <v/>
      </c>
      <c r="K94" s="39" t="n">
        <v>4608</v>
      </c>
      <c r="L94" s="40">
        <f>K94</f>
        <v/>
      </c>
      <c r="M94" s="39" t="n">
        <v>2736</v>
      </c>
      <c r="N94" s="40">
        <f>M94*1.6</f>
        <v/>
      </c>
      <c r="O94" s="42">
        <f>L94+N94</f>
        <v/>
      </c>
      <c r="P94" s="44">
        <f>J94+O94</f>
        <v/>
      </c>
    </row>
    <row r="95">
      <c r="A95" s="43" t="n">
        <v>43252</v>
      </c>
      <c r="B95" s="26" t="n">
        <v>63</v>
      </c>
      <c r="C95" s="40">
        <f>B95*5</f>
        <v/>
      </c>
      <c r="D95" s="39" t="n">
        <v>1535</v>
      </c>
      <c r="E95" s="40">
        <f>D95*2.5</f>
        <v/>
      </c>
      <c r="F95" s="40" t="n"/>
      <c r="G95" s="40" t="n"/>
      <c r="H95" s="39" t="n">
        <v>1505</v>
      </c>
      <c r="I95" s="40">
        <f>H95*2.5</f>
        <v/>
      </c>
      <c r="J95" s="41">
        <f>C95+E95+I95</f>
        <v/>
      </c>
      <c r="K95" s="39" t="n">
        <v>3636</v>
      </c>
      <c r="L95" s="40">
        <f>K95</f>
        <v/>
      </c>
      <c r="M95" s="39" t="n">
        <v>2880</v>
      </c>
      <c r="N95" s="40">
        <f>M95*1.6</f>
        <v/>
      </c>
      <c r="O95" s="42">
        <f>L95+N95</f>
        <v/>
      </c>
      <c r="P95" s="44">
        <f>J95+O95</f>
        <v/>
      </c>
    </row>
    <row r="96">
      <c r="A96" s="43" t="n">
        <v>43282</v>
      </c>
      <c r="B96" s="34" t="n">
        <v>24</v>
      </c>
      <c r="C96" s="34">
        <f>B96*5</f>
        <v/>
      </c>
      <c r="D96" s="34" t="n">
        <v>1300</v>
      </c>
      <c r="E96" s="35">
        <f>D96*2.5</f>
        <v/>
      </c>
      <c r="F96" s="35" t="n"/>
      <c r="G96" s="35" t="n"/>
      <c r="H96" s="34" t="n">
        <v>1365</v>
      </c>
      <c r="I96" s="35">
        <f>H96*2.5</f>
        <v/>
      </c>
      <c r="J96" s="36">
        <f>C96+E96+I96</f>
        <v/>
      </c>
      <c r="K96" s="34" t="n">
        <v>3091</v>
      </c>
      <c r="L96" s="35">
        <f>K96</f>
        <v/>
      </c>
      <c r="M96" s="34" t="n">
        <v>2604</v>
      </c>
      <c r="N96" s="35">
        <f>M96*1.6</f>
        <v/>
      </c>
      <c r="O96" s="37">
        <f>L96+N96</f>
        <v/>
      </c>
      <c r="P96" s="38">
        <f>J96+O96</f>
        <v/>
      </c>
    </row>
    <row r="97">
      <c r="A97" s="43" t="n">
        <v>43313</v>
      </c>
      <c r="B97" s="34" t="n">
        <v>30</v>
      </c>
      <c r="C97" s="35">
        <f>B97*5</f>
        <v/>
      </c>
      <c r="D97" s="34" t="n">
        <v>1200</v>
      </c>
      <c r="E97" s="35">
        <f>D97*2.5</f>
        <v/>
      </c>
      <c r="F97" s="35" t="n"/>
      <c r="G97" s="35" t="n"/>
      <c r="H97" s="34" t="n">
        <v>1225</v>
      </c>
      <c r="I97" s="35">
        <f>H97*2.5</f>
        <v/>
      </c>
      <c r="J97" s="36">
        <f>C97+E97+I97</f>
        <v/>
      </c>
      <c r="K97" s="34" t="n">
        <v>3264</v>
      </c>
      <c r="L97" s="35">
        <f>K97</f>
        <v/>
      </c>
      <c r="M97" s="34" t="n">
        <v>2376</v>
      </c>
      <c r="N97" s="35">
        <f>M97*1.6</f>
        <v/>
      </c>
      <c r="O97" s="37">
        <f>L97+N97</f>
        <v/>
      </c>
      <c r="P97" s="38">
        <f>J97+O97</f>
        <v/>
      </c>
    </row>
    <row r="98">
      <c r="A98" s="43" t="n">
        <v>43344</v>
      </c>
      <c r="B98" s="34" t="n">
        <v>42</v>
      </c>
      <c r="C98" s="35">
        <f>B98*5</f>
        <v/>
      </c>
      <c r="D98" s="34" t="n">
        <v>1645</v>
      </c>
      <c r="E98" s="35">
        <f>D98*2.5</f>
        <v/>
      </c>
      <c r="F98" s="35" t="n"/>
      <c r="G98" s="35" t="n"/>
      <c r="H98" s="34" t="n">
        <v>1665</v>
      </c>
      <c r="I98" s="35">
        <f>H98*2.5</f>
        <v/>
      </c>
      <c r="J98" s="36">
        <f>C98+E98+I98</f>
        <v/>
      </c>
      <c r="K98" s="34" t="n">
        <v>4577</v>
      </c>
      <c r="L98" s="35">
        <f>K98</f>
        <v/>
      </c>
      <c r="M98" s="34" t="n">
        <v>2529</v>
      </c>
      <c r="N98" s="35">
        <f>M98*1.6</f>
        <v/>
      </c>
      <c r="O98" s="37">
        <f>L98+N98</f>
        <v/>
      </c>
      <c r="P98" s="38">
        <f>J98+O98</f>
        <v/>
      </c>
    </row>
    <row r="99">
      <c r="A99" s="43" t="n">
        <v>43374</v>
      </c>
      <c r="B99" s="34" t="n">
        <v>24</v>
      </c>
      <c r="C99" s="35">
        <f>B99*5</f>
        <v/>
      </c>
      <c r="D99" s="34" t="n">
        <v>1685</v>
      </c>
      <c r="E99" s="35">
        <f>D99*2.5</f>
        <v/>
      </c>
      <c r="F99" s="35" t="n"/>
      <c r="G99" s="35" t="n"/>
      <c r="H99" s="34" t="n">
        <v>2020</v>
      </c>
      <c r="I99" s="35">
        <f>H99*2.5</f>
        <v/>
      </c>
      <c r="J99" s="36">
        <f>C99+E99+I99</f>
        <v/>
      </c>
      <c r="K99" s="34" t="n">
        <v>4824</v>
      </c>
      <c r="L99" s="35">
        <f>K99</f>
        <v/>
      </c>
      <c r="M99" s="34" t="n">
        <v>4020</v>
      </c>
      <c r="N99" s="35">
        <f>M99*1.6</f>
        <v/>
      </c>
      <c r="O99" s="37">
        <f>L99+N99</f>
        <v/>
      </c>
      <c r="P99" s="38">
        <f>J99+O99</f>
        <v/>
      </c>
    </row>
    <row r="100">
      <c r="A100" s="43" t="n">
        <v>43405</v>
      </c>
      <c r="B100" s="34" t="n">
        <v>27</v>
      </c>
      <c r="C100" s="35">
        <f>B100*5</f>
        <v/>
      </c>
      <c r="D100" s="34" t="n">
        <v>1695</v>
      </c>
      <c r="E100" s="35">
        <f>D100*2.5</f>
        <v/>
      </c>
      <c r="F100" s="35" t="n"/>
      <c r="G100" s="35" t="n"/>
      <c r="H100" s="34" t="n">
        <v>1260</v>
      </c>
      <c r="I100" s="35">
        <f>H100*2.5</f>
        <v/>
      </c>
      <c r="J100" s="36">
        <f>C100+E100+I100</f>
        <v/>
      </c>
      <c r="K100" s="34" t="n">
        <v>5000</v>
      </c>
      <c r="L100" s="35">
        <f>K100</f>
        <v/>
      </c>
      <c r="M100" s="34" t="n">
        <v>3888</v>
      </c>
      <c r="N100" s="35">
        <f>M100*1.6</f>
        <v/>
      </c>
      <c r="O100" s="37">
        <f>L100+N100</f>
        <v/>
      </c>
      <c r="P100" s="38">
        <f>J100+O100</f>
        <v/>
      </c>
    </row>
    <row r="101">
      <c r="A101" s="43" t="n">
        <v>43435</v>
      </c>
      <c r="B101" s="34" t="n">
        <v>30</v>
      </c>
      <c r="C101" s="35">
        <f>B101*5</f>
        <v/>
      </c>
      <c r="D101" s="34" t="n">
        <v>1540</v>
      </c>
      <c r="E101" s="35">
        <f>D101*2.5</f>
        <v/>
      </c>
      <c r="F101" s="35" t="n"/>
      <c r="G101" s="35" t="n"/>
      <c r="H101" s="34" t="n">
        <v>1250</v>
      </c>
      <c r="I101" s="35">
        <f>H101*2.5</f>
        <v/>
      </c>
      <c r="J101" s="36">
        <f>C101+E101+I101</f>
        <v/>
      </c>
      <c r="K101" s="34" t="n">
        <v>4812</v>
      </c>
      <c r="L101" s="35">
        <f>K101</f>
        <v/>
      </c>
      <c r="M101" s="34" t="n">
        <v>3528</v>
      </c>
      <c r="N101" s="35">
        <f>M101*1.6</f>
        <v/>
      </c>
      <c r="O101" s="37">
        <f>L101+N101</f>
        <v/>
      </c>
      <c r="P101" s="38">
        <f>J101+O101</f>
        <v/>
      </c>
    </row>
    <row r="102">
      <c r="A102" s="43" t="n">
        <v>43466</v>
      </c>
      <c r="B102" s="34" t="n">
        <v>9</v>
      </c>
      <c r="C102" s="35">
        <f>B102*5</f>
        <v/>
      </c>
      <c r="D102" s="34" t="n">
        <v>1545</v>
      </c>
      <c r="E102" s="35">
        <f>D102*2.5</f>
        <v/>
      </c>
      <c r="F102" s="35" t="n"/>
      <c r="G102" s="35" t="n"/>
      <c r="H102" s="34" t="n">
        <v>1310</v>
      </c>
      <c r="I102" s="35">
        <f>H102*2.5</f>
        <v/>
      </c>
      <c r="J102" s="36">
        <f>C102+E102+I102</f>
        <v/>
      </c>
      <c r="K102" s="34" t="n">
        <v>4032</v>
      </c>
      <c r="L102" s="35">
        <f>K102</f>
        <v/>
      </c>
      <c r="M102" s="34" t="n">
        <v>3792</v>
      </c>
      <c r="N102" s="35">
        <f>M102*1.6</f>
        <v/>
      </c>
      <c r="O102" s="37">
        <f>L102+N102</f>
        <v/>
      </c>
      <c r="P102" s="38">
        <f>J102+O102</f>
        <v/>
      </c>
    </row>
    <row r="103">
      <c r="A103" s="43" t="n">
        <v>43497</v>
      </c>
      <c r="B103" s="34" t="n">
        <v>24</v>
      </c>
      <c r="C103" s="34">
        <f>B103*5</f>
        <v/>
      </c>
      <c r="D103" s="34" t="n">
        <v>2335</v>
      </c>
      <c r="E103" s="35">
        <f>D103*2.5</f>
        <v/>
      </c>
      <c r="F103" s="35" t="n"/>
      <c r="G103" s="35" t="n"/>
      <c r="H103" s="34" t="n">
        <v>0</v>
      </c>
      <c r="I103" s="35">
        <f>H103*2.5</f>
        <v/>
      </c>
      <c r="J103" s="36">
        <f>C103+E103+I103</f>
        <v/>
      </c>
      <c r="K103" s="34" t="n">
        <v>2652</v>
      </c>
      <c r="L103" s="35">
        <f>K103</f>
        <v/>
      </c>
      <c r="M103" s="34" t="n">
        <v>2172</v>
      </c>
      <c r="N103" s="35">
        <f>M103*1.6</f>
        <v/>
      </c>
      <c r="O103" s="37">
        <f>L103+N103</f>
        <v/>
      </c>
      <c r="P103" s="38">
        <f>J103+O103</f>
        <v/>
      </c>
    </row>
    <row r="104">
      <c r="A104" s="43" t="n">
        <v>43525</v>
      </c>
      <c r="B104" s="34" t="n">
        <v>30</v>
      </c>
      <c r="C104" s="35">
        <f>B104*5</f>
        <v/>
      </c>
      <c r="D104" s="34" t="n">
        <v>1400</v>
      </c>
      <c r="E104" s="35">
        <f>D104*2.5</f>
        <v/>
      </c>
      <c r="F104" s="35" t="n"/>
      <c r="G104" s="35" t="n"/>
      <c r="H104" s="34" t="n">
        <v>1515</v>
      </c>
      <c r="I104" s="35">
        <f>H104*2.5</f>
        <v/>
      </c>
      <c r="J104" s="36">
        <f>C104+E104+I104</f>
        <v/>
      </c>
      <c r="K104" s="34" t="n">
        <v>5136</v>
      </c>
      <c r="L104" s="35">
        <f>K104</f>
        <v/>
      </c>
      <c r="M104" s="34" t="n">
        <v>3744</v>
      </c>
      <c r="N104" s="35">
        <f>M104*1.6</f>
        <v/>
      </c>
      <c r="O104" s="37">
        <f>L104+N104</f>
        <v/>
      </c>
      <c r="P104" s="38">
        <f>J104+O104</f>
        <v/>
      </c>
    </row>
    <row r="105">
      <c r="A105" s="43" t="n">
        <v>43556</v>
      </c>
      <c r="B105" s="34" t="n">
        <v>30</v>
      </c>
      <c r="C105" s="35">
        <f>B105*5</f>
        <v/>
      </c>
      <c r="D105" s="34" t="n">
        <v>1575</v>
      </c>
      <c r="E105" s="35">
        <f>D105*2.5</f>
        <v/>
      </c>
      <c r="F105" s="35" t="n"/>
      <c r="G105" s="35" t="n"/>
      <c r="H105" s="34" t="n">
        <v>1165</v>
      </c>
      <c r="I105" s="35">
        <f>H105*2.5</f>
        <v/>
      </c>
      <c r="J105" s="36">
        <f>C105+E105+I105</f>
        <v/>
      </c>
      <c r="K105" s="34" t="n">
        <v>5364</v>
      </c>
      <c r="L105" s="35">
        <f>K105</f>
        <v/>
      </c>
      <c r="M105" s="34" t="n">
        <v>4152</v>
      </c>
      <c r="N105" s="35">
        <f>M105*1.6</f>
        <v/>
      </c>
      <c r="O105" s="37">
        <f>L105+N105</f>
        <v/>
      </c>
      <c r="P105" s="38">
        <f>J105+O105</f>
        <v/>
      </c>
    </row>
    <row r="106">
      <c r="A106" s="43" t="n">
        <v>43586</v>
      </c>
      <c r="B106" s="34" t="n">
        <v>21</v>
      </c>
      <c r="C106" s="35">
        <f>B106*5</f>
        <v/>
      </c>
      <c r="D106" s="34" t="n">
        <v>1350</v>
      </c>
      <c r="E106" s="35">
        <f>D106*2.5</f>
        <v/>
      </c>
      <c r="F106" s="35" t="n"/>
      <c r="G106" s="35" t="n"/>
      <c r="H106" s="34" t="n">
        <v>1265</v>
      </c>
      <c r="I106" s="35">
        <f>H106*2.5</f>
        <v/>
      </c>
      <c r="J106" s="36">
        <f>C106+E106+I106</f>
        <v/>
      </c>
      <c r="K106" s="34" t="n">
        <v>5292</v>
      </c>
      <c r="L106" s="35">
        <f>K106</f>
        <v/>
      </c>
      <c r="M106" s="34" t="n">
        <v>4116</v>
      </c>
      <c r="N106" s="35">
        <f>M106*1.6</f>
        <v/>
      </c>
      <c r="O106" s="37">
        <f>L106+N106</f>
        <v/>
      </c>
      <c r="P106" s="38">
        <f>J106+O106</f>
        <v/>
      </c>
    </row>
    <row r="107">
      <c r="A107" s="43" t="n">
        <v>43617</v>
      </c>
      <c r="B107" s="34" t="n">
        <v>21</v>
      </c>
      <c r="C107" s="35">
        <f>B107*5</f>
        <v/>
      </c>
      <c r="D107" s="34" t="n">
        <v>1440</v>
      </c>
      <c r="E107" s="35">
        <f>D107*2.5</f>
        <v/>
      </c>
      <c r="F107" s="35" t="n"/>
      <c r="G107" s="35" t="n"/>
      <c r="H107" s="34" t="n">
        <v>1290</v>
      </c>
      <c r="I107" s="35">
        <f>H107*2.5</f>
        <v/>
      </c>
      <c r="J107" s="36">
        <f>C107+E107+I107</f>
        <v/>
      </c>
      <c r="K107" s="34" t="n">
        <v>3348</v>
      </c>
      <c r="L107" s="35">
        <f>K107</f>
        <v/>
      </c>
      <c r="M107" s="34" t="n">
        <v>2940</v>
      </c>
      <c r="N107" s="35">
        <f>M107*1.6</f>
        <v/>
      </c>
      <c r="O107" s="37">
        <f>L107+N107</f>
        <v/>
      </c>
      <c r="P107" s="38">
        <f>J107+O107</f>
        <v/>
      </c>
    </row>
    <row r="108">
      <c r="A108" s="43" t="n">
        <v>43647</v>
      </c>
      <c r="B108" s="39" t="n">
        <v>41</v>
      </c>
      <c r="C108" s="39">
        <f>B108*5</f>
        <v/>
      </c>
      <c r="D108" s="39" t="n">
        <v>1345</v>
      </c>
      <c r="E108" s="40">
        <f>D108*2.5</f>
        <v/>
      </c>
      <c r="F108" s="40" t="n"/>
      <c r="G108" s="40" t="n"/>
      <c r="H108" s="39" t="n">
        <v>670</v>
      </c>
      <c r="I108" s="39">
        <f>H108*2.5</f>
        <v/>
      </c>
      <c r="J108" s="41">
        <f>C108+E108+I108</f>
        <v/>
      </c>
      <c r="K108" s="39" t="n">
        <v>3336</v>
      </c>
      <c r="L108" s="39">
        <f>K108</f>
        <v/>
      </c>
      <c r="M108" s="39" t="n">
        <v>2916</v>
      </c>
      <c r="N108" s="40">
        <f>M108*1.6</f>
        <v/>
      </c>
      <c r="O108" s="42">
        <f>L108+N108</f>
        <v/>
      </c>
      <c r="P108" s="44">
        <f>J108+O108</f>
        <v/>
      </c>
    </row>
    <row r="109">
      <c r="A109" s="43" t="n">
        <v>43678</v>
      </c>
      <c r="B109" s="39" t="n">
        <v>41</v>
      </c>
      <c r="C109" s="39">
        <f>B109*5</f>
        <v/>
      </c>
      <c r="D109" s="39" t="n">
        <v>1345</v>
      </c>
      <c r="E109" s="40">
        <f>D109*2.5</f>
        <v/>
      </c>
      <c r="F109" s="40" t="n"/>
      <c r="G109" s="40" t="n"/>
      <c r="H109" s="39" t="n">
        <v>670</v>
      </c>
      <c r="I109" s="39">
        <f>H109*2.5</f>
        <v/>
      </c>
      <c r="J109" s="41">
        <f>C109+E109+I109</f>
        <v/>
      </c>
      <c r="K109" s="39" t="n">
        <v>3948</v>
      </c>
      <c r="L109" s="39">
        <f>K109</f>
        <v/>
      </c>
      <c r="M109" s="39" t="n">
        <v>3568</v>
      </c>
      <c r="N109" s="40">
        <f>M109*1.6</f>
        <v/>
      </c>
      <c r="O109" s="42">
        <f>L109+N109</f>
        <v/>
      </c>
      <c r="P109" s="44">
        <f>J109+O109</f>
        <v/>
      </c>
    </row>
    <row r="110">
      <c r="A110" s="43" t="n">
        <v>43709</v>
      </c>
      <c r="B110" s="39" t="n">
        <v>41</v>
      </c>
      <c r="C110" s="39">
        <f>B110*5</f>
        <v/>
      </c>
      <c r="D110" s="39" t="n">
        <v>1345</v>
      </c>
      <c r="E110" s="40">
        <f>D110*2.5</f>
        <v/>
      </c>
      <c r="F110" s="40" t="n"/>
      <c r="G110" s="40" t="n"/>
      <c r="H110" s="39" t="n">
        <v>670</v>
      </c>
      <c r="I110" s="39">
        <f>H110*2.5</f>
        <v/>
      </c>
      <c r="J110" s="41">
        <f>C110+E110+I110</f>
        <v/>
      </c>
      <c r="K110" s="39" t="n">
        <v>4140</v>
      </c>
      <c r="L110" s="39">
        <f>K110</f>
        <v/>
      </c>
      <c r="M110" s="39" t="n">
        <v>3924</v>
      </c>
      <c r="N110" s="40">
        <f>M110*1.6</f>
        <v/>
      </c>
      <c r="O110" s="42">
        <f>L110+N110</f>
        <v/>
      </c>
      <c r="P110" s="44">
        <f>J110+O110</f>
        <v/>
      </c>
    </row>
    <row r="111">
      <c r="A111" s="43" t="n">
        <v>43739</v>
      </c>
      <c r="B111" s="39" t="n">
        <v>41</v>
      </c>
      <c r="C111" s="39">
        <f>B111*5</f>
        <v/>
      </c>
      <c r="D111" s="39" t="n">
        <v>1345</v>
      </c>
      <c r="E111" s="40">
        <f>D111*2.5</f>
        <v/>
      </c>
      <c r="F111" s="40" t="n"/>
      <c r="G111" s="40" t="n"/>
      <c r="H111" s="39" t="n">
        <v>670</v>
      </c>
      <c r="I111" s="39">
        <f>H111*2.5</f>
        <v/>
      </c>
      <c r="J111" s="41">
        <f>C111+E111+I111</f>
        <v/>
      </c>
      <c r="K111" s="39" t="n">
        <v>4888</v>
      </c>
      <c r="L111" s="39">
        <f>K111</f>
        <v/>
      </c>
      <c r="M111" s="39" t="n">
        <v>3768</v>
      </c>
      <c r="N111" s="40">
        <f>M111*1.6</f>
        <v/>
      </c>
      <c r="O111" s="42">
        <f>L111+N111</f>
        <v/>
      </c>
      <c r="P111" s="44">
        <f>J111+O111</f>
        <v/>
      </c>
    </row>
    <row r="112">
      <c r="A112" s="43" t="n">
        <v>43770</v>
      </c>
      <c r="B112" s="39" t="n">
        <v>41</v>
      </c>
      <c r="C112" s="39">
        <f>B112*5</f>
        <v/>
      </c>
      <c r="D112" s="39" t="n">
        <v>1345</v>
      </c>
      <c r="E112" s="40">
        <f>D112*2.5</f>
        <v/>
      </c>
      <c r="F112" s="40" t="n"/>
      <c r="G112" s="40" t="n"/>
      <c r="H112" s="39" t="n">
        <v>670</v>
      </c>
      <c r="I112" s="39">
        <f>H112*2.5</f>
        <v/>
      </c>
      <c r="J112" s="41">
        <f>C112+E112+I112</f>
        <v/>
      </c>
      <c r="K112" s="39" t="n">
        <v>4236</v>
      </c>
      <c r="L112" s="39">
        <f>K112</f>
        <v/>
      </c>
      <c r="M112" s="39" t="n">
        <v>4140</v>
      </c>
      <c r="N112" s="40">
        <f>M112*1.6</f>
        <v/>
      </c>
      <c r="O112" s="42">
        <f>L112+N112</f>
        <v/>
      </c>
      <c r="P112" s="44">
        <f>J112+O112</f>
        <v/>
      </c>
    </row>
    <row r="113">
      <c r="A113" s="43" t="n">
        <v>43800</v>
      </c>
      <c r="B113" s="39" t="n">
        <v>41</v>
      </c>
      <c r="C113" s="39">
        <f>B113*5</f>
        <v/>
      </c>
      <c r="D113" s="39" t="n">
        <v>1345</v>
      </c>
      <c r="E113" s="40">
        <f>D113*2.5</f>
        <v/>
      </c>
      <c r="F113" s="40" t="n"/>
      <c r="G113" s="40" t="n"/>
      <c r="H113" s="39" t="n">
        <v>670</v>
      </c>
      <c r="I113" s="39">
        <f>H113*2.5</f>
        <v/>
      </c>
      <c r="J113" s="41">
        <f>C113+E113+I113</f>
        <v/>
      </c>
      <c r="K113" s="39" t="n">
        <v>2808</v>
      </c>
      <c r="L113" s="39">
        <f>K113</f>
        <v/>
      </c>
      <c r="M113" s="39" t="n">
        <v>1968</v>
      </c>
      <c r="N113" s="40">
        <f>M113*1.6</f>
        <v/>
      </c>
      <c r="O113" s="42">
        <f>L113+N113</f>
        <v/>
      </c>
      <c r="P113" s="44">
        <f>J113+O113</f>
        <v/>
      </c>
    </row>
    <row r="114">
      <c r="A114" s="43" t="n">
        <v>43831</v>
      </c>
      <c r="B114" s="39" t="n">
        <v>41</v>
      </c>
      <c r="C114" s="39">
        <f>B114*5</f>
        <v/>
      </c>
      <c r="D114" s="39" t="n">
        <v>1345</v>
      </c>
      <c r="E114" s="40">
        <f>D114*2.5</f>
        <v/>
      </c>
      <c r="F114" s="40" t="n"/>
      <c r="G114" s="40" t="n"/>
      <c r="H114" s="39" t="n">
        <v>670</v>
      </c>
      <c r="I114" s="39">
        <f>H114*2.5</f>
        <v/>
      </c>
      <c r="J114" s="41">
        <f>C114+E114+I114</f>
        <v/>
      </c>
      <c r="K114" s="39" t="n">
        <v>2676</v>
      </c>
      <c r="L114" s="39">
        <f>K114</f>
        <v/>
      </c>
      <c r="M114" s="39" t="n">
        <v>3456</v>
      </c>
      <c r="N114" s="40">
        <f>M114*1.6</f>
        <v/>
      </c>
      <c r="O114" s="42">
        <f>L114+N114</f>
        <v/>
      </c>
      <c r="P114" s="44">
        <f>J114+O114</f>
        <v/>
      </c>
    </row>
    <row r="115">
      <c r="A115" s="43" t="n">
        <v>43862</v>
      </c>
      <c r="B115" s="39" t="n">
        <v>41</v>
      </c>
      <c r="C115" s="39">
        <f>B115*5</f>
        <v/>
      </c>
      <c r="D115" s="39" t="n">
        <v>1345</v>
      </c>
      <c r="E115" s="40">
        <f>D115*2.5</f>
        <v/>
      </c>
      <c r="F115" s="40" t="n"/>
      <c r="G115" s="40" t="n"/>
      <c r="H115" s="39" t="n">
        <v>670</v>
      </c>
      <c r="I115" s="39">
        <f>H115*2.5</f>
        <v/>
      </c>
      <c r="J115" s="41">
        <f>C115+E115+I115</f>
        <v/>
      </c>
      <c r="K115" s="39" t="n">
        <v>1680</v>
      </c>
      <c r="L115" s="39">
        <f>K115</f>
        <v/>
      </c>
      <c r="M115" s="39" t="n">
        <v>1296</v>
      </c>
      <c r="N115" s="40">
        <f>M115*1.6</f>
        <v/>
      </c>
      <c r="O115" s="42">
        <f>L115+N115</f>
        <v/>
      </c>
      <c r="P115" s="44">
        <f>J115+O115</f>
        <v/>
      </c>
    </row>
    <row r="116">
      <c r="A116" s="43" t="n">
        <v>43891</v>
      </c>
      <c r="B116" s="39" t="n">
        <v>41</v>
      </c>
      <c r="C116" s="39">
        <f>B116*5</f>
        <v/>
      </c>
      <c r="D116" s="39" t="n">
        <v>1345</v>
      </c>
      <c r="E116" s="40">
        <f>D116*2.5</f>
        <v/>
      </c>
      <c r="F116" s="40" t="n"/>
      <c r="G116" s="40" t="n"/>
      <c r="H116" s="39" t="n">
        <v>670</v>
      </c>
      <c r="I116" s="39">
        <f>H116*2.5</f>
        <v/>
      </c>
      <c r="J116" s="41">
        <f>C116+E116+I116</f>
        <v/>
      </c>
      <c r="K116" s="39" t="n">
        <v>2352</v>
      </c>
      <c r="L116" s="39">
        <f>K116</f>
        <v/>
      </c>
      <c r="M116" s="39" t="n">
        <v>2784</v>
      </c>
      <c r="N116" s="40">
        <f>M116*1.6</f>
        <v/>
      </c>
      <c r="O116" s="42">
        <f>L116+N116</f>
        <v/>
      </c>
      <c r="P116" s="44">
        <f>J116+O116</f>
        <v/>
      </c>
    </row>
    <row r="117">
      <c r="A117" s="43" t="n">
        <v>43922</v>
      </c>
      <c r="B117" s="39" t="n">
        <v>41</v>
      </c>
      <c r="C117" s="39">
        <f>B117*5</f>
        <v/>
      </c>
      <c r="D117" s="39" t="n">
        <v>1345</v>
      </c>
      <c r="E117" s="40">
        <f>D117*2.5</f>
        <v/>
      </c>
      <c r="F117" s="40" t="n"/>
      <c r="G117" s="40" t="n"/>
      <c r="H117" s="39" t="n">
        <v>670</v>
      </c>
      <c r="I117" s="39">
        <f>H117*2.5</f>
        <v/>
      </c>
      <c r="J117" s="41">
        <f>C117+E117+I117</f>
        <v/>
      </c>
      <c r="K117" s="39" t="n">
        <v>1876</v>
      </c>
      <c r="L117" s="39">
        <f>K117</f>
        <v/>
      </c>
      <c r="M117" s="39" t="n">
        <v>2208</v>
      </c>
      <c r="N117" s="40">
        <f>M117*1.6</f>
        <v/>
      </c>
      <c r="O117" s="42">
        <f>L117+N117</f>
        <v/>
      </c>
      <c r="P117" s="44">
        <f>J117+O117</f>
        <v/>
      </c>
    </row>
    <row r="118">
      <c r="A118" s="43" t="n">
        <v>43952</v>
      </c>
      <c r="B118" s="39" t="n">
        <v>41</v>
      </c>
      <c r="C118" s="39">
        <f>B118*5</f>
        <v/>
      </c>
      <c r="D118" s="39" t="n">
        <v>1345</v>
      </c>
      <c r="E118" s="40">
        <f>D118*2.5</f>
        <v/>
      </c>
      <c r="F118" s="40" t="n"/>
      <c r="G118" s="40" t="n"/>
      <c r="H118" s="39" t="n">
        <v>670</v>
      </c>
      <c r="I118" s="39">
        <f>H118*2.5</f>
        <v/>
      </c>
      <c r="J118" s="41">
        <f>C118+E118+I118</f>
        <v/>
      </c>
      <c r="K118" s="39" t="n">
        <v>2844</v>
      </c>
      <c r="L118" s="39">
        <f>K118</f>
        <v/>
      </c>
      <c r="M118" s="39" t="n">
        <v>3144</v>
      </c>
      <c r="N118" s="40">
        <f>M118*1.6</f>
        <v/>
      </c>
      <c r="O118" s="42">
        <f>L118+N118</f>
        <v/>
      </c>
      <c r="P118" s="44">
        <f>J118+O118</f>
        <v/>
      </c>
    </row>
    <row r="119">
      <c r="A119" s="43" t="n">
        <v>43983</v>
      </c>
      <c r="B119" s="39" t="n">
        <v>50</v>
      </c>
      <c r="C119" s="39">
        <f>B119*5</f>
        <v/>
      </c>
      <c r="D119" s="39" t="n">
        <v>1346</v>
      </c>
      <c r="E119" s="40">
        <f>D119*2.5</f>
        <v/>
      </c>
      <c r="F119" s="40" t="n"/>
      <c r="G119" s="40" t="n"/>
      <c r="H119" s="39" t="n">
        <v>670</v>
      </c>
      <c r="I119" s="39">
        <f>H119*2.5</f>
        <v/>
      </c>
      <c r="J119" s="41">
        <f>C119+E119+I119</f>
        <v/>
      </c>
      <c r="K119" s="39" t="n">
        <v>2688</v>
      </c>
      <c r="L119" s="39">
        <f>K119</f>
        <v/>
      </c>
      <c r="M119" s="39" t="n">
        <v>2808</v>
      </c>
      <c r="N119" s="40">
        <f>M119*1.6</f>
        <v/>
      </c>
      <c r="O119" s="42">
        <f>L119+N119</f>
        <v/>
      </c>
      <c r="P119" s="44">
        <f>J119+O119</f>
        <v/>
      </c>
    </row>
    <row r="120">
      <c r="A120" s="43" t="n">
        <v>44013</v>
      </c>
      <c r="B120" s="39" t="n">
        <v>20</v>
      </c>
      <c r="C120" s="39">
        <f>B120*5</f>
        <v/>
      </c>
      <c r="D120" s="39" t="n">
        <v>938</v>
      </c>
      <c r="E120" s="39">
        <f>D120*2.5</f>
        <v/>
      </c>
      <c r="H120" s="39" t="n">
        <v>378</v>
      </c>
      <c r="I120" s="39">
        <f>H120*2.5</f>
        <v/>
      </c>
      <c r="J120" s="45">
        <f>C120+E120+I120</f>
        <v/>
      </c>
      <c r="K120" s="39" t="n">
        <v>3419</v>
      </c>
      <c r="L120" s="39">
        <f>K120</f>
        <v/>
      </c>
      <c r="M120" s="39" t="n">
        <v>3575</v>
      </c>
      <c r="N120" s="40">
        <f>M120*1.6</f>
        <v/>
      </c>
      <c r="O120" s="42">
        <f>L120+N120</f>
        <v/>
      </c>
      <c r="P120" s="44">
        <f>J120+O120</f>
        <v/>
      </c>
    </row>
    <row r="121">
      <c r="A121" s="43" t="n">
        <v>44044</v>
      </c>
      <c r="B121" s="39" t="n">
        <v>20</v>
      </c>
      <c r="C121" s="39">
        <f>B121*5</f>
        <v/>
      </c>
      <c r="D121" s="39" t="n">
        <v>938</v>
      </c>
      <c r="E121" s="39">
        <f>D121*2.5</f>
        <v/>
      </c>
      <c r="H121" s="39" t="n">
        <v>378</v>
      </c>
      <c r="I121" s="39">
        <f>H121*2.5</f>
        <v/>
      </c>
      <c r="J121" s="45">
        <f>C121+E121+I121</f>
        <v/>
      </c>
      <c r="K121" s="39" t="n">
        <v>2533</v>
      </c>
      <c r="L121" s="39">
        <f>K121</f>
        <v/>
      </c>
      <c r="M121" s="39" t="n">
        <v>2716</v>
      </c>
      <c r="N121" s="40">
        <f>M121*1.6</f>
        <v/>
      </c>
      <c r="O121" s="42">
        <f>L121+N121</f>
        <v/>
      </c>
      <c r="P121" s="44">
        <f>J121+O121</f>
        <v/>
      </c>
    </row>
    <row r="122">
      <c r="A122" s="43" t="n">
        <v>44075</v>
      </c>
      <c r="B122" s="39" t="n">
        <v>20</v>
      </c>
      <c r="C122" s="39">
        <f>B122*5</f>
        <v/>
      </c>
      <c r="D122" s="39" t="n">
        <v>938</v>
      </c>
      <c r="E122" s="39">
        <f>D122*2.5</f>
        <v/>
      </c>
      <c r="H122" s="39" t="n">
        <v>378</v>
      </c>
      <c r="I122" s="39">
        <f>H122*2.5</f>
        <v/>
      </c>
      <c r="J122" s="45">
        <f>C122+E122+I122</f>
        <v/>
      </c>
      <c r="K122" s="39" t="n">
        <v>3406</v>
      </c>
      <c r="L122" s="39">
        <f>K122</f>
        <v/>
      </c>
      <c r="M122" s="39" t="n">
        <v>3480</v>
      </c>
      <c r="N122" s="40">
        <f>M122*1.6</f>
        <v/>
      </c>
      <c r="O122" s="42">
        <f>L122+N122</f>
        <v/>
      </c>
      <c r="P122" s="44">
        <f>J122+O122</f>
        <v/>
      </c>
    </row>
    <row r="123">
      <c r="A123" s="43" t="n">
        <v>44105</v>
      </c>
      <c r="B123" s="39" t="n">
        <v>20</v>
      </c>
      <c r="C123" s="39">
        <f>B123*5</f>
        <v/>
      </c>
      <c r="D123" s="39" t="n">
        <v>938</v>
      </c>
      <c r="E123" s="39">
        <f>D123*2.5</f>
        <v/>
      </c>
      <c r="H123" s="39" t="n">
        <v>378</v>
      </c>
      <c r="I123" s="39">
        <f>H123*2.5</f>
        <v/>
      </c>
      <c r="J123" s="45">
        <f>C123+E123+I123</f>
        <v/>
      </c>
      <c r="K123" s="39" t="n">
        <v>3456</v>
      </c>
      <c r="L123" s="39">
        <f>K123</f>
        <v/>
      </c>
      <c r="M123" s="39" t="n">
        <v>3643</v>
      </c>
      <c r="N123" s="40">
        <f>M123*1.6</f>
        <v/>
      </c>
      <c r="O123" s="42">
        <f>L123+N123</f>
        <v/>
      </c>
      <c r="P123" s="44">
        <f>J123+O123</f>
        <v/>
      </c>
    </row>
    <row r="124">
      <c r="A124" s="43" t="n">
        <v>44136</v>
      </c>
      <c r="B124" s="39" t="n">
        <v>20</v>
      </c>
      <c r="C124" s="39">
        <f>B124*5</f>
        <v/>
      </c>
      <c r="D124" s="39" t="n">
        <v>938</v>
      </c>
      <c r="E124" s="39">
        <f>D124*2.5</f>
        <v/>
      </c>
      <c r="H124" s="39" t="n">
        <v>378</v>
      </c>
      <c r="I124" s="39">
        <f>H124*2.5</f>
        <v/>
      </c>
      <c r="J124" s="45">
        <f>C124+E124+I124</f>
        <v/>
      </c>
      <c r="K124" s="39" t="n">
        <v>3039</v>
      </c>
      <c r="L124" s="39">
        <f>K124</f>
        <v/>
      </c>
      <c r="M124" s="39" t="n">
        <v>2914</v>
      </c>
      <c r="N124" s="40">
        <f>M124*1.6</f>
        <v/>
      </c>
      <c r="O124" s="42">
        <f>L124+N124</f>
        <v/>
      </c>
      <c r="P124" s="44">
        <f>J124+O124</f>
        <v/>
      </c>
    </row>
    <row r="125">
      <c r="A125" s="43" t="n">
        <v>44166</v>
      </c>
      <c r="B125" s="39" t="n">
        <v>20</v>
      </c>
      <c r="C125" s="39">
        <f>B125*5</f>
        <v/>
      </c>
      <c r="D125" s="39" t="n">
        <v>938</v>
      </c>
      <c r="E125" s="39">
        <f>D125*2.5</f>
        <v/>
      </c>
      <c r="H125" s="39" t="n">
        <v>378</v>
      </c>
      <c r="I125" s="39">
        <f>H125*2.5</f>
        <v/>
      </c>
      <c r="J125" s="45">
        <f>C125+E125+I125</f>
        <v/>
      </c>
      <c r="K125" s="39" t="n">
        <v>3408</v>
      </c>
      <c r="L125" s="39">
        <f>K125</f>
        <v/>
      </c>
      <c r="M125" s="39" t="n">
        <v>3116</v>
      </c>
      <c r="N125" s="40">
        <f>M125*1.6</f>
        <v/>
      </c>
      <c r="O125" s="42">
        <f>L125+N125</f>
        <v/>
      </c>
      <c r="P125" s="44">
        <f>J125+O125</f>
        <v/>
      </c>
    </row>
    <row r="126">
      <c r="A126" s="43" t="n">
        <v>44197</v>
      </c>
      <c r="B126" s="39" t="n">
        <v>20</v>
      </c>
      <c r="C126" s="39">
        <f>B126*5</f>
        <v/>
      </c>
      <c r="D126" s="39" t="n">
        <v>938</v>
      </c>
      <c r="E126" s="39">
        <f>D126*2.5</f>
        <v/>
      </c>
      <c r="H126" s="39" t="n">
        <v>378</v>
      </c>
      <c r="I126" s="39">
        <f>H126*2.5</f>
        <v/>
      </c>
      <c r="J126" s="45">
        <f>C126+E126+I126</f>
        <v/>
      </c>
      <c r="K126" s="39" t="n">
        <v>2407</v>
      </c>
      <c r="L126" s="39">
        <f>K126</f>
        <v/>
      </c>
      <c r="M126" s="39" t="n">
        <v>2411</v>
      </c>
      <c r="N126" s="40">
        <f>M126*1.6</f>
        <v/>
      </c>
      <c r="O126" s="42">
        <f>L126+N126</f>
        <v/>
      </c>
      <c r="P126" s="44">
        <f>J126+O126</f>
        <v/>
      </c>
    </row>
    <row r="127">
      <c r="A127" s="43" t="n">
        <v>44228</v>
      </c>
      <c r="B127" s="39" t="n">
        <v>20</v>
      </c>
      <c r="C127" s="39">
        <f>B127*5</f>
        <v/>
      </c>
      <c r="D127" s="39" t="n">
        <v>938</v>
      </c>
      <c r="E127" s="39">
        <f>D127*2.5</f>
        <v/>
      </c>
      <c r="H127" s="39" t="n">
        <v>378</v>
      </c>
      <c r="I127" s="39">
        <f>H127*2.5</f>
        <v/>
      </c>
      <c r="J127" s="45">
        <f>C127+E127+I127</f>
        <v/>
      </c>
      <c r="K127" s="39" t="n">
        <v>2619</v>
      </c>
      <c r="L127" s="39">
        <f>K127</f>
        <v/>
      </c>
      <c r="M127" s="39" t="n">
        <v>2524</v>
      </c>
      <c r="N127" s="40">
        <f>M127*1.6</f>
        <v/>
      </c>
      <c r="O127" s="42">
        <f>L127+N127</f>
        <v/>
      </c>
      <c r="P127" s="44">
        <f>J127+O127</f>
        <v/>
      </c>
      <c r="R127" s="46" t="n"/>
    </row>
    <row r="128">
      <c r="A128" s="43" t="n">
        <v>44256</v>
      </c>
      <c r="B128" s="39" t="n">
        <v>20</v>
      </c>
      <c r="C128" s="39">
        <f>B128*5</f>
        <v/>
      </c>
      <c r="D128" s="39" t="n">
        <v>938</v>
      </c>
      <c r="E128" s="39">
        <f>D128*2.5</f>
        <v/>
      </c>
      <c r="H128" s="39" t="n">
        <v>378</v>
      </c>
      <c r="I128" s="39">
        <f>H128*2.5</f>
        <v/>
      </c>
      <c r="J128" s="45">
        <f>C128+E128+I128</f>
        <v/>
      </c>
      <c r="K128" s="39" t="n">
        <v>3478</v>
      </c>
      <c r="L128" s="39">
        <f>K128</f>
        <v/>
      </c>
      <c r="M128" s="39" t="n">
        <v>3187</v>
      </c>
      <c r="N128" s="40">
        <f>M128*1.6</f>
        <v/>
      </c>
      <c r="O128" s="42">
        <f>L128+N128</f>
        <v/>
      </c>
      <c r="P128" s="44">
        <f>J128+O128</f>
        <v/>
      </c>
    </row>
    <row r="129">
      <c r="A129" s="43" t="n">
        <v>44287</v>
      </c>
      <c r="B129" s="39" t="n">
        <v>20</v>
      </c>
      <c r="C129" s="39">
        <f>B129*5</f>
        <v/>
      </c>
      <c r="D129" s="39" t="n">
        <v>938</v>
      </c>
      <c r="E129" s="39">
        <f>D129*2.5</f>
        <v/>
      </c>
      <c r="H129" s="39" t="n">
        <v>378</v>
      </c>
      <c r="I129" s="39">
        <f>H129*2.5</f>
        <v/>
      </c>
      <c r="J129" s="45">
        <f>C129+E129+I129</f>
        <v/>
      </c>
      <c r="K129" s="39" t="n">
        <v>3986</v>
      </c>
      <c r="L129" s="39">
        <f>K129</f>
        <v/>
      </c>
      <c r="M129" s="39" t="n">
        <v>3896</v>
      </c>
      <c r="N129" s="40">
        <f>M129*1.6</f>
        <v/>
      </c>
      <c r="O129" s="42">
        <f>L129+N129</f>
        <v/>
      </c>
      <c r="P129" s="44">
        <f>J129+O129</f>
        <v/>
      </c>
    </row>
    <row r="130">
      <c r="A130" s="43" t="n">
        <v>44317</v>
      </c>
      <c r="B130" s="39" t="n">
        <v>20</v>
      </c>
      <c r="C130" s="39">
        <f>B130*5</f>
        <v/>
      </c>
      <c r="D130" s="39" t="n">
        <v>938</v>
      </c>
      <c r="E130" s="39">
        <f>D130*2.5</f>
        <v/>
      </c>
      <c r="H130" s="39" t="n">
        <v>378</v>
      </c>
      <c r="I130" s="39">
        <f>H130*2.5</f>
        <v/>
      </c>
      <c r="J130" s="45">
        <f>C130+E130+I130</f>
        <v/>
      </c>
      <c r="K130" s="39" t="n">
        <v>3722</v>
      </c>
      <c r="L130" s="39">
        <f>K130</f>
        <v/>
      </c>
      <c r="M130" s="39" t="n">
        <v>3426</v>
      </c>
      <c r="N130" s="40">
        <f>M130*1.6</f>
        <v/>
      </c>
      <c r="O130" s="42">
        <f>L130+N130</f>
        <v/>
      </c>
      <c r="P130" s="44">
        <f>J130+O130</f>
        <v/>
      </c>
    </row>
    <row r="131">
      <c r="A131" s="43" t="n">
        <v>44348</v>
      </c>
      <c r="B131" s="39" t="n">
        <v>22</v>
      </c>
      <c r="C131" s="39">
        <f>B131*5</f>
        <v/>
      </c>
      <c r="D131" s="39" t="n">
        <v>942</v>
      </c>
      <c r="E131" s="39">
        <f>D131*2.5</f>
        <v/>
      </c>
      <c r="H131" s="39" t="n">
        <v>388</v>
      </c>
      <c r="I131" s="39">
        <f>H131*2.5</f>
        <v/>
      </c>
      <c r="J131" s="45">
        <f>C131+E131+I131</f>
        <v/>
      </c>
      <c r="K131" s="39" t="n">
        <v>3557</v>
      </c>
      <c r="L131" s="39">
        <f>K131</f>
        <v/>
      </c>
      <c r="M131" s="39" t="n">
        <v>3688</v>
      </c>
      <c r="N131" s="40">
        <f>M131*1.6</f>
        <v/>
      </c>
      <c r="O131" s="42">
        <f>L131+N131</f>
        <v/>
      </c>
      <c r="P131" s="44">
        <f>J131+O131</f>
        <v/>
      </c>
      <c r="Q131" s="46" t="n"/>
    </row>
    <row r="132">
      <c r="A132" s="43" t="n">
        <v>44378</v>
      </c>
      <c r="B132" s="39" t="n">
        <v>20</v>
      </c>
      <c r="C132" s="39">
        <f>B132*5</f>
        <v/>
      </c>
      <c r="D132" s="39" t="n">
        <v>682</v>
      </c>
      <c r="E132" s="39">
        <f>D132*2.5</f>
        <v/>
      </c>
      <c r="H132" s="39" t="n">
        <v>919</v>
      </c>
      <c r="I132" s="39">
        <f>H132*2.5</f>
        <v/>
      </c>
      <c r="J132" s="45">
        <f>C132+E132+I132</f>
        <v/>
      </c>
      <c r="K132" s="47" t="inlineStr">
        <is>
          <t xml:space="preserve"> 2712</t>
        </is>
      </c>
      <c r="L132" s="47">
        <f>K132</f>
        <v/>
      </c>
      <c r="M132" s="48" t="n">
        <v>2844</v>
      </c>
      <c r="N132" s="40">
        <f>M132*1.6</f>
        <v/>
      </c>
      <c r="O132" s="42" t="n">
        <v>7262</v>
      </c>
      <c r="P132" s="44">
        <f>J132+O132</f>
        <v/>
      </c>
    </row>
    <row r="133">
      <c r="A133" s="43" t="n">
        <v>44409</v>
      </c>
      <c r="B133" s="39" t="n">
        <v>20</v>
      </c>
      <c r="C133" s="39">
        <f>B133*5</f>
        <v/>
      </c>
      <c r="D133" s="39" t="n">
        <v>682</v>
      </c>
      <c r="E133" s="39">
        <f>D133*2.5</f>
        <v/>
      </c>
      <c r="H133" s="39" t="n">
        <v>919</v>
      </c>
      <c r="I133" s="39">
        <f>H133*2.5</f>
        <v/>
      </c>
      <c r="J133" s="45">
        <f>C133+E133+I133</f>
        <v/>
      </c>
      <c r="K133" s="47" t="inlineStr">
        <is>
          <t xml:space="preserve"> 3396</t>
        </is>
      </c>
      <c r="L133" s="47">
        <f>K133</f>
        <v/>
      </c>
      <c r="M133" s="48" t="n">
        <v>3588</v>
      </c>
      <c r="N133" s="40">
        <f>M133*1.6</f>
        <v/>
      </c>
      <c r="O133" s="45" t="n">
        <v>9137</v>
      </c>
      <c r="P133" s="44">
        <f>J133+O133</f>
        <v/>
      </c>
    </row>
    <row r="134">
      <c r="A134" s="43" t="n">
        <v>44440</v>
      </c>
      <c r="B134" s="39" t="n">
        <v>20</v>
      </c>
      <c r="C134" s="39">
        <f>B134*5</f>
        <v/>
      </c>
      <c r="D134" s="39" t="n">
        <v>682</v>
      </c>
      <c r="E134" s="39">
        <f>D134*2.5</f>
        <v/>
      </c>
      <c r="H134" s="39" t="n">
        <v>919</v>
      </c>
      <c r="I134" s="39">
        <f>H134*2.5</f>
        <v/>
      </c>
      <c r="J134" s="45">
        <f>C134+E134+I134</f>
        <v/>
      </c>
      <c r="K134" s="47" t="inlineStr">
        <is>
          <t xml:space="preserve"> 3864</t>
        </is>
      </c>
      <c r="L134" s="47">
        <f>K134</f>
        <v/>
      </c>
      <c r="M134" s="48" t="n">
        <v>4020</v>
      </c>
      <c r="N134" s="40">
        <f>M134*1.6</f>
        <v/>
      </c>
      <c r="O134" s="45" t="n">
        <v>10296</v>
      </c>
      <c r="P134" s="44">
        <f>J134+O134</f>
        <v/>
      </c>
    </row>
    <row r="135">
      <c r="A135" s="43" t="n">
        <v>44470</v>
      </c>
      <c r="B135" s="39" t="n">
        <v>20</v>
      </c>
      <c r="C135" s="39">
        <f>B135*5</f>
        <v/>
      </c>
      <c r="D135" s="39" t="n">
        <v>682</v>
      </c>
      <c r="E135" s="39">
        <f>D135*2.5</f>
        <v/>
      </c>
      <c r="H135" s="39" t="n">
        <v>919</v>
      </c>
      <c r="I135" s="39">
        <f>H135*2.5</f>
        <v/>
      </c>
      <c r="J135" s="45">
        <f>C135+E135+I135</f>
        <v/>
      </c>
      <c r="K135" s="47" t="inlineStr">
        <is>
          <t xml:space="preserve"> 5436</t>
        </is>
      </c>
      <c r="L135" s="47">
        <f>K135</f>
        <v/>
      </c>
      <c r="M135" s="48" t="n">
        <v>4644</v>
      </c>
      <c r="N135" s="39">
        <f>M135*1.6</f>
        <v/>
      </c>
      <c r="O135" s="45" t="n">
        <v>12866</v>
      </c>
      <c r="P135" s="44">
        <f>J135+O135</f>
        <v/>
      </c>
    </row>
    <row r="136">
      <c r="A136" s="43" t="n">
        <v>44501</v>
      </c>
      <c r="B136" s="39" t="n">
        <v>20</v>
      </c>
      <c r="C136" s="39">
        <f>B136*5</f>
        <v/>
      </c>
      <c r="D136" s="39" t="n">
        <v>682</v>
      </c>
      <c r="E136" s="39">
        <f>D136*2.5</f>
        <v/>
      </c>
      <c r="H136" s="39" t="n">
        <v>919</v>
      </c>
      <c r="I136" s="39">
        <f>H136*2.5</f>
        <v/>
      </c>
      <c r="J136" s="45">
        <f>C136+E136+I136</f>
        <v/>
      </c>
      <c r="K136" s="47" t="inlineStr">
        <is>
          <t xml:space="preserve"> 4212</t>
        </is>
      </c>
      <c r="L136" s="47">
        <f>K136</f>
        <v/>
      </c>
      <c r="M136" s="48" t="n">
        <v>4140</v>
      </c>
      <c r="N136" s="39">
        <f>M136*1.6</f>
        <v/>
      </c>
      <c r="O136" s="45" t="n">
        <v>10836</v>
      </c>
      <c r="P136" s="44">
        <f>J136+O136</f>
        <v/>
      </c>
    </row>
    <row r="137">
      <c r="A137" s="43" t="n">
        <v>44531</v>
      </c>
      <c r="B137" s="39" t="n">
        <v>20</v>
      </c>
      <c r="C137" s="39">
        <f>B137*5</f>
        <v/>
      </c>
      <c r="D137" s="39" t="n">
        <v>682</v>
      </c>
      <c r="E137" s="39">
        <f>D137*2.5</f>
        <v/>
      </c>
      <c r="H137" s="39" t="n">
        <v>919</v>
      </c>
      <c r="I137" s="39">
        <f>H137*2.5</f>
        <v/>
      </c>
      <c r="J137" s="45">
        <f>C137+E137+I137</f>
        <v/>
      </c>
      <c r="K137" s="47" t="inlineStr">
        <is>
          <t xml:space="preserve"> 5868</t>
        </is>
      </c>
      <c r="L137" s="47">
        <f>K137</f>
        <v/>
      </c>
      <c r="M137" s="48" t="n">
        <v>5040</v>
      </c>
      <c r="N137" s="39">
        <f>M137*1.6</f>
        <v/>
      </c>
      <c r="O137" s="45" t="n">
        <v>13932</v>
      </c>
      <c r="P137" s="44">
        <f>J137+O137</f>
        <v/>
      </c>
    </row>
    <row r="138">
      <c r="A138" s="43" t="n">
        <v>44562</v>
      </c>
      <c r="B138" s="39" t="n">
        <v>20</v>
      </c>
      <c r="C138" s="39">
        <f>B138*5</f>
        <v/>
      </c>
      <c r="D138" s="39" t="n">
        <v>682</v>
      </c>
      <c r="E138" s="39">
        <f>D138*2.5</f>
        <v/>
      </c>
      <c r="H138" s="39" t="n">
        <v>919</v>
      </c>
      <c r="I138" s="39">
        <f>H138*2.5</f>
        <v/>
      </c>
      <c r="J138" s="45">
        <f>C138+E138+I138</f>
        <v/>
      </c>
      <c r="K138" s="47" t="inlineStr">
        <is>
          <t xml:space="preserve"> 3852</t>
        </is>
      </c>
      <c r="L138" s="47">
        <f>K138</f>
        <v/>
      </c>
      <c r="M138" s="48" t="n">
        <v>3350</v>
      </c>
      <c r="N138" s="39">
        <f>M138*1.6</f>
        <v/>
      </c>
      <c r="O138" s="45" t="n">
        <v>9212</v>
      </c>
      <c r="P138" s="44">
        <f>J138+O138</f>
        <v/>
      </c>
    </row>
    <row r="139">
      <c r="A139" s="43" t="n">
        <v>44593</v>
      </c>
      <c r="B139" s="39" t="n">
        <v>20</v>
      </c>
      <c r="C139" s="39">
        <f>B139*5</f>
        <v/>
      </c>
      <c r="D139" s="39" t="n">
        <v>682</v>
      </c>
      <c r="E139" s="39">
        <f>D139*2.5</f>
        <v/>
      </c>
      <c r="H139" s="39" t="n">
        <v>919</v>
      </c>
      <c r="I139" s="39">
        <f>H139*2.5</f>
        <v/>
      </c>
      <c r="J139" s="45">
        <f>C139+E139+I139</f>
        <v/>
      </c>
      <c r="K139" s="47" t="inlineStr">
        <is>
          <t xml:space="preserve"> 1848</t>
        </is>
      </c>
      <c r="L139" s="47">
        <f>K139</f>
        <v/>
      </c>
      <c r="M139" s="48" t="n">
        <v>1800</v>
      </c>
      <c r="N139" s="39">
        <f>M139*1.6</f>
        <v/>
      </c>
      <c r="O139" s="45" t="n">
        <v>4728</v>
      </c>
      <c r="P139" s="44">
        <f>J139+O139</f>
        <v/>
      </c>
    </row>
    <row r="140">
      <c r="A140" s="43" t="n">
        <v>44621</v>
      </c>
      <c r="B140" s="39" t="n">
        <v>20</v>
      </c>
      <c r="C140" s="39">
        <f>B140*5</f>
        <v/>
      </c>
      <c r="D140" s="39" t="n">
        <v>682</v>
      </c>
      <c r="E140" s="39">
        <f>D140*2.5</f>
        <v/>
      </c>
      <c r="H140" s="39" t="n">
        <v>919</v>
      </c>
      <c r="I140" s="39">
        <f>H140*2.5</f>
        <v/>
      </c>
      <c r="J140" s="45">
        <f>C140+E140+I140</f>
        <v/>
      </c>
      <c r="K140" s="47" t="inlineStr">
        <is>
          <t xml:space="preserve"> 1800</t>
        </is>
      </c>
      <c r="L140" s="47">
        <f>K140</f>
        <v/>
      </c>
      <c r="M140" s="48" t="n">
        <v>2412</v>
      </c>
      <c r="N140" s="39">
        <f>M140*1.6</f>
        <v/>
      </c>
      <c r="O140" s="45" t="n">
        <v>5659</v>
      </c>
      <c r="P140" s="44">
        <f>J140+O140</f>
        <v/>
      </c>
    </row>
    <row r="141">
      <c r="A141" s="43" t="n">
        <v>44652</v>
      </c>
      <c r="B141" s="39" t="n">
        <v>20</v>
      </c>
      <c r="C141" s="39">
        <f>B141*5</f>
        <v/>
      </c>
      <c r="D141" s="39" t="n">
        <v>682</v>
      </c>
      <c r="E141" s="39">
        <f>D141*2.5</f>
        <v/>
      </c>
      <c r="H141" s="39" t="n">
        <v>919</v>
      </c>
      <c r="I141" s="39">
        <f>H141*2.5</f>
        <v/>
      </c>
      <c r="J141" s="45">
        <f>C141+E141+I141</f>
        <v/>
      </c>
      <c r="K141" s="47" t="inlineStr">
        <is>
          <t xml:space="preserve"> 2664</t>
        </is>
      </c>
      <c r="L141" s="47">
        <f>K141</f>
        <v/>
      </c>
      <c r="M141" s="48" t="n">
        <v>2524</v>
      </c>
      <c r="N141" s="39">
        <f>M141*1.6</f>
        <v/>
      </c>
      <c r="O141" s="45" t="n">
        <v>6702</v>
      </c>
      <c r="P141" s="44">
        <f>J141+O141</f>
        <v/>
      </c>
    </row>
    <row r="142">
      <c r="A142" s="43" t="n">
        <v>44682</v>
      </c>
      <c r="B142" s="39" t="n">
        <v>20</v>
      </c>
      <c r="C142" s="39">
        <f>B142*5</f>
        <v/>
      </c>
      <c r="D142" s="39" t="n">
        <v>682</v>
      </c>
      <c r="E142" s="39">
        <f>D142*2.5</f>
        <v/>
      </c>
      <c r="H142" s="39" t="n">
        <v>919</v>
      </c>
      <c r="I142" s="39">
        <f>H142*2.5</f>
        <v/>
      </c>
      <c r="J142" s="45">
        <f>C142+E142+I142</f>
        <v/>
      </c>
      <c r="K142" s="47" t="inlineStr">
        <is>
          <t xml:space="preserve"> 3096</t>
        </is>
      </c>
      <c r="L142" s="47">
        <f>K142</f>
        <v/>
      </c>
      <c r="M142" s="48" t="n">
        <v>2928</v>
      </c>
      <c r="N142" s="39">
        <f>M142*1.6</f>
        <v/>
      </c>
      <c r="O142" s="45" t="n">
        <v>7780</v>
      </c>
      <c r="P142" s="44">
        <f>J142+O142</f>
        <v/>
      </c>
    </row>
    <row r="143">
      <c r="A143" s="43" t="n">
        <v>44713</v>
      </c>
      <c r="B143" s="39" t="n">
        <v>30</v>
      </c>
      <c r="C143" s="39">
        <f>B143*5</f>
        <v/>
      </c>
      <c r="D143" s="39" t="n">
        <v>684</v>
      </c>
      <c r="E143" s="39">
        <f>D143*2.5</f>
        <v/>
      </c>
      <c r="H143" s="39" t="n">
        <v>923</v>
      </c>
      <c r="I143" s="39">
        <f>H143*2.5</f>
        <v/>
      </c>
      <c r="J143" s="45">
        <f>C143+E143+I143</f>
        <v/>
      </c>
      <c r="K143" s="47" t="inlineStr">
        <is>
          <t xml:space="preserve"> 3876</t>
        </is>
      </c>
      <c r="L143" s="47">
        <f>K143</f>
        <v/>
      </c>
      <c r="M143" s="48" t="n">
        <v>3360</v>
      </c>
      <c r="N143" s="39">
        <f>M143*1.6</f>
        <v/>
      </c>
      <c r="O143" s="45" t="n">
        <v>9252</v>
      </c>
      <c r="P143" s="44">
        <f>J143+O143</f>
        <v/>
      </c>
      <c r="R143" s="31" t="inlineStr">
        <is>
          <t>Recycled Paper</t>
        </is>
      </c>
      <c r="S143" s="31" t="inlineStr">
        <is>
          <t>Non-Recycled Paper</t>
        </is>
      </c>
      <c r="T143" s="31" t="inlineStr">
        <is>
          <t>Toilet Roll</t>
        </is>
      </c>
      <c r="U143" s="31" t="inlineStr">
        <is>
          <t>Paper Towel</t>
        </is>
      </c>
    </row>
    <row r="144">
      <c r="A144" s="43" t="n">
        <v>44743</v>
      </c>
      <c r="B144" s="39" t="n">
        <v>36</v>
      </c>
      <c r="C144" s="39">
        <f>B144*5</f>
        <v/>
      </c>
      <c r="D144" s="39" t="n">
        <v>1291</v>
      </c>
      <c r="E144" s="39">
        <f>D144*2.5</f>
        <v/>
      </c>
      <c r="H144" s="39" t="n">
        <v>367</v>
      </c>
      <c r="I144" s="39">
        <f>H144*2.5</f>
        <v/>
      </c>
      <c r="J144" s="45">
        <f>C144+E144+I144</f>
        <v/>
      </c>
      <c r="K144" s="39" t="n">
        <v>2592</v>
      </c>
      <c r="L144" s="47">
        <f>K144</f>
        <v/>
      </c>
      <c r="M144" s="39" t="n">
        <v>1920</v>
      </c>
      <c r="N144" s="39">
        <f>M144*1.6</f>
        <v/>
      </c>
      <c r="O144" s="45">
        <f>L144+N144</f>
        <v/>
      </c>
      <c r="P144" s="44">
        <f>J144+O144</f>
        <v/>
      </c>
    </row>
    <row r="145">
      <c r="A145" s="43" t="n">
        <v>44774</v>
      </c>
      <c r="B145" s="39" t="n">
        <v>36</v>
      </c>
      <c r="C145" s="39">
        <f>B145*5</f>
        <v/>
      </c>
      <c r="D145" s="39" t="n">
        <v>1291</v>
      </c>
      <c r="E145" s="39">
        <f>D145*2.5</f>
        <v/>
      </c>
      <c r="H145" s="39" t="n">
        <v>367</v>
      </c>
      <c r="I145" s="39">
        <f>H145*2.5</f>
        <v/>
      </c>
      <c r="J145" s="45">
        <f>C145+E145+I145</f>
        <v/>
      </c>
      <c r="K145" s="39" t="n">
        <v>2796</v>
      </c>
      <c r="L145" s="47">
        <f>K145</f>
        <v/>
      </c>
      <c r="M145" s="39" t="n">
        <v>4152</v>
      </c>
      <c r="N145" s="39">
        <f>M145*1.6</f>
        <v/>
      </c>
      <c r="O145" s="49">
        <f>L145+N145</f>
        <v/>
      </c>
      <c r="P145" s="44">
        <f>J145+O145</f>
        <v/>
      </c>
    </row>
    <row r="146">
      <c r="A146" s="43" t="n">
        <v>44805</v>
      </c>
      <c r="B146" s="39" t="n">
        <v>36</v>
      </c>
      <c r="C146" s="39">
        <f>B146*5</f>
        <v/>
      </c>
      <c r="D146" s="39" t="n">
        <v>1291</v>
      </c>
      <c r="E146" s="39">
        <f>D146*2.5</f>
        <v/>
      </c>
      <c r="H146" s="39" t="n">
        <v>367</v>
      </c>
      <c r="I146" s="39">
        <f>H146*2.5</f>
        <v/>
      </c>
      <c r="J146" s="45">
        <f>C146+E146+I146</f>
        <v/>
      </c>
      <c r="K146" s="39" t="n">
        <v>5676</v>
      </c>
      <c r="L146" s="47">
        <f>K146</f>
        <v/>
      </c>
      <c r="M146" s="39" t="n">
        <v>4992</v>
      </c>
      <c r="N146" s="39">
        <f>M146*1.6</f>
        <v/>
      </c>
      <c r="O146" s="49">
        <f>L146+N146</f>
        <v/>
      </c>
      <c r="P146" s="44">
        <f>J146+O146</f>
        <v/>
      </c>
    </row>
    <row r="147">
      <c r="A147" s="43" t="n">
        <v>44835</v>
      </c>
      <c r="B147" s="39" t="n">
        <v>36</v>
      </c>
      <c r="C147" s="39">
        <f>B147*5</f>
        <v/>
      </c>
      <c r="D147" s="39" t="n">
        <v>1291</v>
      </c>
      <c r="E147" s="39">
        <f>D147*2.5</f>
        <v/>
      </c>
      <c r="H147" s="39" t="n">
        <v>367</v>
      </c>
      <c r="I147" s="39">
        <f>H147*2.5</f>
        <v/>
      </c>
      <c r="J147" s="45">
        <f>C147+E147+I147</f>
        <v/>
      </c>
      <c r="K147" s="39" t="n">
        <v>5652</v>
      </c>
      <c r="L147" s="47">
        <f>K147</f>
        <v/>
      </c>
      <c r="M147" s="39" t="n">
        <v>5004</v>
      </c>
      <c r="N147" s="39">
        <f>M147*1.6</f>
        <v/>
      </c>
      <c r="O147" s="49">
        <f>L147+N147</f>
        <v/>
      </c>
      <c r="P147" s="44">
        <f>J147+O147</f>
        <v/>
      </c>
    </row>
    <row r="148">
      <c r="A148" s="43" t="n">
        <v>44866</v>
      </c>
      <c r="B148" s="39" t="n">
        <v>36</v>
      </c>
      <c r="C148" s="39">
        <f>B148*5</f>
        <v/>
      </c>
      <c r="D148" s="39" t="n">
        <v>1291</v>
      </c>
      <c r="E148" s="39">
        <f>D148*2.5</f>
        <v/>
      </c>
      <c r="H148" s="39" t="n">
        <v>367</v>
      </c>
      <c r="I148" s="39">
        <f>H148*2.5</f>
        <v/>
      </c>
      <c r="J148" s="45">
        <f>C148+E148+I148</f>
        <v/>
      </c>
      <c r="K148" s="39" t="n">
        <v>5196</v>
      </c>
      <c r="L148" s="47">
        <f>K148</f>
        <v/>
      </c>
      <c r="M148" s="39" t="n">
        <v>5496</v>
      </c>
      <c r="N148" s="39">
        <f>M148*1.6</f>
        <v/>
      </c>
      <c r="O148" s="49">
        <f>L148+N148</f>
        <v/>
      </c>
      <c r="P148" s="44">
        <f>J148+O148</f>
        <v/>
      </c>
    </row>
    <row r="149">
      <c r="A149" s="43" t="n">
        <v>44896</v>
      </c>
      <c r="B149" s="39" t="n">
        <v>36</v>
      </c>
      <c r="C149" s="39">
        <f>B149*5</f>
        <v/>
      </c>
      <c r="D149" s="39" t="n">
        <v>1291</v>
      </c>
      <c r="E149" s="39">
        <f>D149*2.5</f>
        <v/>
      </c>
      <c r="H149" s="39" t="n">
        <v>367</v>
      </c>
      <c r="I149" s="39">
        <f>H149*2.5</f>
        <v/>
      </c>
      <c r="J149" s="45">
        <f>C149+E149+I149</f>
        <v/>
      </c>
      <c r="K149" s="39" t="n">
        <v>5688</v>
      </c>
      <c r="L149" s="47">
        <f>K149</f>
        <v/>
      </c>
      <c r="M149" s="39" t="n">
        <v>3978</v>
      </c>
      <c r="N149" s="39">
        <f>M149*1.6</f>
        <v/>
      </c>
      <c r="O149" s="49">
        <f>L149+N149</f>
        <v/>
      </c>
      <c r="P149" s="44">
        <f>J149+O149</f>
        <v/>
      </c>
    </row>
    <row r="150">
      <c r="A150" s="43" t="n">
        <v>44927</v>
      </c>
      <c r="B150" s="39" t="n">
        <v>36</v>
      </c>
      <c r="C150" s="39">
        <f>B150*5</f>
        <v/>
      </c>
      <c r="D150" s="39" t="n">
        <v>1291</v>
      </c>
      <c r="E150" s="39">
        <f>D150*2.5</f>
        <v/>
      </c>
      <c r="H150" s="39" t="n">
        <v>367</v>
      </c>
      <c r="I150" s="39">
        <f>H150*2.5</f>
        <v/>
      </c>
      <c r="J150" s="45">
        <f>C150+E150+I150</f>
        <v/>
      </c>
      <c r="K150" s="39" t="n">
        <v>3756</v>
      </c>
      <c r="L150" s="47">
        <f>K150</f>
        <v/>
      </c>
      <c r="M150" s="39" t="n">
        <v>2520</v>
      </c>
      <c r="N150" s="39">
        <f>M150*1.6</f>
        <v/>
      </c>
      <c r="O150" s="49">
        <f>L150+N150</f>
        <v/>
      </c>
      <c r="P150" s="44">
        <f>J150+O150</f>
        <v/>
      </c>
    </row>
    <row r="151">
      <c r="A151" s="43" t="n">
        <v>44958</v>
      </c>
      <c r="B151" s="39" t="n">
        <v>36</v>
      </c>
      <c r="C151" s="39">
        <f>B151*5</f>
        <v/>
      </c>
      <c r="D151" s="39" t="n">
        <v>1291</v>
      </c>
      <c r="E151" s="39">
        <f>D151*2.5</f>
        <v/>
      </c>
      <c r="H151" s="39" t="n">
        <v>367</v>
      </c>
      <c r="I151" s="39">
        <f>H151*2.5</f>
        <v/>
      </c>
      <c r="J151" s="45">
        <f>C151+E151+I151</f>
        <v/>
      </c>
      <c r="K151" s="39" t="n">
        <v>3132</v>
      </c>
      <c r="L151" s="47">
        <f>K151</f>
        <v/>
      </c>
      <c r="M151" s="39" t="n">
        <v>3556</v>
      </c>
      <c r="N151" s="39">
        <f>M151*1.6</f>
        <v/>
      </c>
      <c r="O151" s="49">
        <f>L151+N151</f>
        <v/>
      </c>
      <c r="P151" s="44">
        <f>J151+O151</f>
        <v/>
      </c>
    </row>
    <row r="152">
      <c r="A152" s="43" t="n">
        <v>44986</v>
      </c>
      <c r="B152" s="39" t="n">
        <v>36</v>
      </c>
      <c r="C152" s="39">
        <f>B152*5</f>
        <v/>
      </c>
      <c r="D152" s="39" t="n">
        <v>1291</v>
      </c>
      <c r="E152" s="39">
        <f>D152*2.5</f>
        <v/>
      </c>
      <c r="H152" s="39" t="n">
        <v>367</v>
      </c>
      <c r="I152" s="39">
        <f>H152*2.5</f>
        <v/>
      </c>
      <c r="J152" s="45">
        <f>C152+E152+I152</f>
        <v/>
      </c>
      <c r="K152" s="39" t="n">
        <v>6020</v>
      </c>
      <c r="L152" s="47">
        <f>K152</f>
        <v/>
      </c>
      <c r="M152" s="39" t="n">
        <v>4716</v>
      </c>
      <c r="N152" s="39">
        <f>M152*1.6</f>
        <v/>
      </c>
      <c r="O152" s="49">
        <f>L152+N152</f>
        <v/>
      </c>
      <c r="P152" s="44">
        <f>J152+O152</f>
        <v/>
      </c>
    </row>
    <row r="153">
      <c r="A153" s="43" t="n">
        <v>45017</v>
      </c>
      <c r="B153" s="39" t="n">
        <v>36</v>
      </c>
      <c r="C153" s="39">
        <f>B153*5</f>
        <v/>
      </c>
      <c r="D153" s="39" t="n">
        <v>1291</v>
      </c>
      <c r="E153" s="39">
        <f>D153*2.5</f>
        <v/>
      </c>
      <c r="H153" s="39" t="n">
        <v>367</v>
      </c>
      <c r="I153" s="39">
        <f>H153*2.5</f>
        <v/>
      </c>
      <c r="J153" s="45">
        <f>C153+E153+I153</f>
        <v/>
      </c>
      <c r="K153" s="39" t="n">
        <v>4512</v>
      </c>
      <c r="L153" s="47">
        <f>K153</f>
        <v/>
      </c>
      <c r="M153" s="39" t="n">
        <v>3912</v>
      </c>
      <c r="N153" s="39">
        <f>M153*1.6</f>
        <v/>
      </c>
      <c r="O153" s="49">
        <f>L153+N153</f>
        <v/>
      </c>
      <c r="P153" s="44">
        <f>J153+O153</f>
        <v/>
      </c>
    </row>
    <row r="154">
      <c r="A154" s="43" t="n">
        <v>45047</v>
      </c>
      <c r="B154" s="39" t="n">
        <v>36</v>
      </c>
      <c r="C154" s="39">
        <f>B154*5</f>
        <v/>
      </c>
      <c r="D154" s="39" t="n">
        <v>1291</v>
      </c>
      <c r="E154" s="39">
        <f>D154*2.5</f>
        <v/>
      </c>
      <c r="H154" s="39" t="n">
        <v>367</v>
      </c>
      <c r="I154" s="39">
        <f>H154*2.5</f>
        <v/>
      </c>
      <c r="J154" s="45">
        <f>C154+E154+I154</f>
        <v/>
      </c>
      <c r="K154" s="39" t="n">
        <v>4464</v>
      </c>
      <c r="L154" s="47">
        <f>K154</f>
        <v/>
      </c>
      <c r="M154" s="39" t="n">
        <v>4044</v>
      </c>
      <c r="N154" s="39">
        <f>M154*1.6</f>
        <v/>
      </c>
      <c r="O154" s="49">
        <f>L154+N154</f>
        <v/>
      </c>
      <c r="P154" s="44">
        <f>J154+O154</f>
        <v/>
      </c>
      <c r="Q154" s="46">
        <f>SUM(B48:B59)+SUM(D48:D59)+SUM(H48:H59)</f>
        <v/>
      </c>
    </row>
    <row r="155">
      <c r="A155" s="43" t="n">
        <v>45078</v>
      </c>
      <c r="B155" s="39" t="n">
        <v>38</v>
      </c>
      <c r="C155" s="39">
        <f>B155*5</f>
        <v/>
      </c>
      <c r="D155" s="39" t="n">
        <v>1295</v>
      </c>
      <c r="E155" s="39">
        <f>D155*2.5</f>
        <v/>
      </c>
      <c r="H155" s="39" t="n">
        <v>371</v>
      </c>
      <c r="I155" s="39">
        <f>H155*2.5</f>
        <v/>
      </c>
      <c r="J155" s="45">
        <f>C155+E155+I155</f>
        <v/>
      </c>
      <c r="K155" s="39" t="n">
        <v>4920</v>
      </c>
      <c r="L155" s="47">
        <f>K155</f>
        <v/>
      </c>
      <c r="M155" s="39" t="n">
        <v>4148</v>
      </c>
      <c r="N155" s="39">
        <f>M155*1.6</f>
        <v/>
      </c>
      <c r="O155" s="49">
        <f>L155+N155</f>
        <v/>
      </c>
      <c r="P155" s="44">
        <f>J155+O155</f>
        <v/>
      </c>
      <c r="Q155" s="31" t="n">
        <v>20338</v>
      </c>
    </row>
    <row r="156">
      <c r="A156" s="43" t="n">
        <v>45108</v>
      </c>
      <c r="B156" s="39" t="n">
        <v>22</v>
      </c>
      <c r="C156" s="39">
        <f>B156*5</f>
        <v/>
      </c>
      <c r="D156" s="39" t="n">
        <v>615</v>
      </c>
      <c r="E156" s="39">
        <f>D156*2.5</f>
        <v/>
      </c>
      <c r="F156" s="39" t="n">
        <v>0</v>
      </c>
      <c r="G156" s="39">
        <f>F156*5</f>
        <v/>
      </c>
      <c r="H156" s="39" t="n">
        <v>195</v>
      </c>
      <c r="I156" s="39">
        <f>H156*2.5</f>
        <v/>
      </c>
      <c r="J156" s="45">
        <f>C156+E156+I156</f>
        <v/>
      </c>
      <c r="K156" s="39" t="n">
        <v>4203</v>
      </c>
      <c r="L156" s="47">
        <f>K156</f>
        <v/>
      </c>
      <c r="M156" s="39" t="n">
        <v>3528</v>
      </c>
      <c r="N156" s="39">
        <f>M156*1.6</f>
        <v/>
      </c>
      <c r="O156" s="49">
        <f>L156+N156</f>
        <v/>
      </c>
      <c r="P156" s="44">
        <f>J156+O156</f>
        <v/>
      </c>
      <c r="Q156" s="31">
        <f>SUM(B156:B167)+SUM(D156:D167)+SUM(H156:H167)</f>
        <v/>
      </c>
      <c r="R156" s="46">
        <f>(Q156-Q155)/Q155*100</f>
        <v/>
      </c>
    </row>
    <row r="157">
      <c r="A157" s="43" t="n">
        <v>45139</v>
      </c>
      <c r="B157" s="39" t="n">
        <v>27</v>
      </c>
      <c r="C157" s="39">
        <f>B157*5</f>
        <v/>
      </c>
      <c r="D157" s="39" t="n">
        <v>616</v>
      </c>
      <c r="E157" s="39">
        <f>D157*2.5</f>
        <v/>
      </c>
      <c r="F157" s="39" t="n">
        <v>5</v>
      </c>
      <c r="G157" s="39">
        <f>F157*5</f>
        <v/>
      </c>
      <c r="H157" s="39">
        <f>575-5</f>
        <v/>
      </c>
      <c r="I157" s="39">
        <f>H157*2.5</f>
        <v/>
      </c>
      <c r="J157" s="45">
        <f>C157+E157+I157</f>
        <v/>
      </c>
      <c r="K157" s="39" t="n">
        <v>4203</v>
      </c>
      <c r="L157" s="47">
        <f>K157</f>
        <v/>
      </c>
      <c r="M157" s="39" t="n">
        <v>3528</v>
      </c>
      <c r="N157" s="39">
        <f>M157*1.6</f>
        <v/>
      </c>
      <c r="O157" s="49">
        <f>L157+N157</f>
        <v/>
      </c>
      <c r="P157" s="44">
        <f>J157+O157</f>
        <v/>
      </c>
    </row>
    <row r="158">
      <c r="A158" s="43" t="n">
        <v>45170</v>
      </c>
      <c r="B158" s="39" t="n">
        <v>12</v>
      </c>
      <c r="C158" s="39">
        <f>B158*5</f>
        <v/>
      </c>
      <c r="D158" s="39" t="n">
        <v>530</v>
      </c>
      <c r="E158" s="39">
        <f>D158*2.5</f>
        <v/>
      </c>
      <c r="F158" s="39" t="n">
        <v>5</v>
      </c>
      <c r="G158" s="39">
        <f>F158*5</f>
        <v/>
      </c>
      <c r="H158" s="39">
        <f>360-5</f>
        <v/>
      </c>
      <c r="I158" s="39">
        <f>H158*2.5</f>
        <v/>
      </c>
      <c r="J158" s="45">
        <f>C158+E158+I158</f>
        <v/>
      </c>
      <c r="K158" s="39" t="n">
        <v>4203</v>
      </c>
      <c r="L158" s="47">
        <f>K158</f>
        <v/>
      </c>
      <c r="M158" s="39" t="n">
        <v>3528</v>
      </c>
      <c r="N158" s="39">
        <f>M158*1.6</f>
        <v/>
      </c>
      <c r="O158" s="49">
        <f>L158+N158</f>
        <v/>
      </c>
      <c r="P158" s="44">
        <f>J158+O158</f>
        <v/>
      </c>
    </row>
    <row r="159">
      <c r="A159" s="43" t="n">
        <v>45200</v>
      </c>
      <c r="B159" s="39" t="n">
        <v>19</v>
      </c>
      <c r="C159" s="39">
        <f>B159*5</f>
        <v/>
      </c>
      <c r="D159" s="39" t="n">
        <v>700</v>
      </c>
      <c r="E159" s="39">
        <f>D159*2.5</f>
        <v/>
      </c>
      <c r="F159" s="39" t="n">
        <v>5</v>
      </c>
      <c r="G159" s="39">
        <f>F159*5</f>
        <v/>
      </c>
      <c r="H159" s="39">
        <f>310-5</f>
        <v/>
      </c>
      <c r="I159" s="39">
        <f>H159*2.5</f>
        <v/>
      </c>
      <c r="J159" s="45">
        <f>C159+E159+I159</f>
        <v/>
      </c>
      <c r="K159" s="39" t="n">
        <v>4203</v>
      </c>
      <c r="L159" s="47">
        <f>K159</f>
        <v/>
      </c>
      <c r="M159" s="39" t="n">
        <v>3528</v>
      </c>
      <c r="N159" s="39">
        <f>M159*1.6</f>
        <v/>
      </c>
      <c r="O159" s="49">
        <f>L159+N159</f>
        <v/>
      </c>
      <c r="P159" s="44">
        <f>J159+O159</f>
        <v/>
      </c>
      <c r="Q159" s="337" t="n"/>
    </row>
    <row r="160">
      <c r="A160" s="43" t="n">
        <v>45231</v>
      </c>
      <c r="B160" s="39" t="n">
        <v>6</v>
      </c>
      <c r="C160" s="39">
        <f>B160*5</f>
        <v/>
      </c>
      <c r="D160" s="39" t="n">
        <v>866</v>
      </c>
      <c r="E160" s="39">
        <f>D160*2.5</f>
        <v/>
      </c>
      <c r="G160" s="39">
        <f>F160*5</f>
        <v/>
      </c>
      <c r="H160" s="39" t="n">
        <v>155</v>
      </c>
      <c r="I160" s="39">
        <f>H160*2.5</f>
        <v/>
      </c>
      <c r="J160" s="45">
        <f>C160+E160+I160</f>
        <v/>
      </c>
      <c r="K160" s="39" t="n">
        <v>6936</v>
      </c>
      <c r="L160" s="47">
        <f>K160</f>
        <v/>
      </c>
      <c r="M160" s="39" t="n">
        <v>5844</v>
      </c>
      <c r="N160" s="39">
        <f>M160*1.6</f>
        <v/>
      </c>
      <c r="O160" s="49">
        <f>L160+N160</f>
        <v/>
      </c>
      <c r="P160" s="44">
        <f>J160+O160</f>
        <v/>
      </c>
      <c r="Q160" s="46" t="n"/>
    </row>
    <row r="161">
      <c r="A161" s="43" t="n">
        <v>45261</v>
      </c>
      <c r="B161" s="39" t="n">
        <v>9</v>
      </c>
      <c r="C161" s="39">
        <f>B161*5</f>
        <v/>
      </c>
      <c r="D161" s="39" t="n">
        <v>815</v>
      </c>
      <c r="E161" s="39">
        <f>D161*2.5</f>
        <v/>
      </c>
      <c r="G161" s="39">
        <f>F161*5</f>
        <v/>
      </c>
      <c r="H161" s="39" t="n">
        <v>825</v>
      </c>
      <c r="I161" s="39">
        <f>H161*2.5</f>
        <v/>
      </c>
      <c r="J161" s="45">
        <f>C161+E161+I161</f>
        <v/>
      </c>
      <c r="K161" s="39" t="n">
        <v>5220</v>
      </c>
      <c r="L161" s="47">
        <f>K161</f>
        <v/>
      </c>
      <c r="M161" s="39" t="n">
        <v>4068</v>
      </c>
      <c r="N161" s="39">
        <f>M161*1.6</f>
        <v/>
      </c>
      <c r="O161" s="49">
        <f>L161+N161</f>
        <v/>
      </c>
      <c r="P161" s="44">
        <f>J161+O161</f>
        <v/>
      </c>
    </row>
    <row r="162">
      <c r="A162" s="43" t="n">
        <v>45292</v>
      </c>
      <c r="B162" s="39" t="n">
        <v>80</v>
      </c>
      <c r="C162" s="39">
        <f>B162*5</f>
        <v/>
      </c>
      <c r="D162" s="39" t="n">
        <v>610</v>
      </c>
      <c r="E162" s="39">
        <f>D162*2.5</f>
        <v/>
      </c>
      <c r="G162" s="39">
        <f>F162*5</f>
        <v/>
      </c>
      <c r="H162" s="39" t="n">
        <v>420</v>
      </c>
      <c r="I162" s="39">
        <f>H162*2.5</f>
        <v/>
      </c>
      <c r="J162" s="45">
        <f>C162+E162+I162</f>
        <v/>
      </c>
      <c r="K162" s="39" t="n">
        <v>4608</v>
      </c>
      <c r="L162" s="47">
        <f>K162</f>
        <v/>
      </c>
      <c r="M162" s="39" t="n">
        <v>3576</v>
      </c>
      <c r="N162" s="39">
        <f>M162*1.6</f>
        <v/>
      </c>
      <c r="O162" s="49">
        <f>L162+N162</f>
        <v/>
      </c>
      <c r="P162" s="44">
        <f>J162+O162</f>
        <v/>
      </c>
      <c r="R162" s="31" t="inlineStr">
        <is>
          <t>2022 data was collected annually and divided by no. of months. Unclear why the last month seems to have a diferent data from the other months. A3 recycled paper had been merged into recycled A4 paper.</t>
        </is>
      </c>
    </row>
    <row r="163">
      <c r="A163" s="43" t="n">
        <v>45323</v>
      </c>
      <c r="B163" s="39" t="n">
        <v>25</v>
      </c>
      <c r="C163" s="39">
        <f>B163*5</f>
        <v/>
      </c>
      <c r="D163" s="39" t="n">
        <v>610</v>
      </c>
      <c r="E163" s="39">
        <f>D163*2.5</f>
        <v/>
      </c>
      <c r="G163" s="39">
        <f>F163*5</f>
        <v/>
      </c>
      <c r="H163" s="39" t="n">
        <v>635</v>
      </c>
      <c r="I163" s="39">
        <f>H163*2.5</f>
        <v/>
      </c>
      <c r="J163" s="45">
        <f>C163+E163+I163</f>
        <v/>
      </c>
      <c r="K163" s="39" t="n">
        <v>3912</v>
      </c>
      <c r="L163" s="47">
        <f>K163</f>
        <v/>
      </c>
      <c r="M163" s="39" t="n">
        <v>3684</v>
      </c>
      <c r="N163" s="39">
        <f>M163*1.6</f>
        <v/>
      </c>
      <c r="O163" s="49">
        <f>L163+N163</f>
        <v/>
      </c>
      <c r="P163" s="44">
        <f>J163+O163</f>
        <v/>
      </c>
      <c r="R163" s="31" t="inlineStr">
        <is>
          <t>What about recycled paper? Shredded paper recycled?</t>
        </is>
      </c>
    </row>
    <row r="164">
      <c r="A164" s="43" t="n">
        <v>45352</v>
      </c>
      <c r="B164" s="39" t="n">
        <v>51</v>
      </c>
      <c r="C164" s="39">
        <f>B164*5</f>
        <v/>
      </c>
      <c r="D164" s="39" t="n">
        <v>530</v>
      </c>
      <c r="E164" s="39">
        <f>D164*2.5</f>
        <v/>
      </c>
      <c r="G164" s="39">
        <f>F164*5</f>
        <v/>
      </c>
      <c r="H164" s="39" t="n">
        <v>725</v>
      </c>
      <c r="I164" s="39">
        <f>H164*2.5</f>
        <v/>
      </c>
      <c r="J164" s="45">
        <f>C164+E164+I164</f>
        <v/>
      </c>
      <c r="K164" s="39" t="n">
        <v>5320</v>
      </c>
      <c r="L164" s="39">
        <f>K164</f>
        <v/>
      </c>
      <c r="M164" s="39" t="n">
        <v>4644</v>
      </c>
      <c r="N164" s="39">
        <f>M164*1.6</f>
        <v/>
      </c>
      <c r="O164" s="45">
        <f>L164+N164</f>
        <v/>
      </c>
      <c r="P164" s="44">
        <f>J164+O164</f>
        <v/>
      </c>
    </row>
    <row r="165">
      <c r="A165" s="43" t="n">
        <v>45383</v>
      </c>
      <c r="B165" s="39" t="n">
        <v>7</v>
      </c>
      <c r="C165" s="39">
        <f>B165*5</f>
        <v/>
      </c>
      <c r="D165" s="39" t="n">
        <v>485</v>
      </c>
      <c r="E165" s="39">
        <f>D165*2.5</f>
        <v/>
      </c>
      <c r="G165" s="39">
        <f>F165*5</f>
        <v/>
      </c>
      <c r="H165" s="39" t="n">
        <v>295</v>
      </c>
      <c r="I165" s="39">
        <f>H165*2.5</f>
        <v/>
      </c>
      <c r="J165" s="45">
        <f>C165+E165+I165</f>
        <v/>
      </c>
      <c r="K165" s="39" t="n">
        <v>4872</v>
      </c>
      <c r="L165" s="39" t="n">
        <v>4344</v>
      </c>
      <c r="M165" s="39" t="n">
        <v>4344</v>
      </c>
      <c r="N165" s="39">
        <f>M165*1.6</f>
        <v/>
      </c>
      <c r="O165" s="45">
        <f>L165+N165</f>
        <v/>
      </c>
      <c r="P165" s="44">
        <f>J165+O165</f>
        <v/>
      </c>
    </row>
    <row r="166">
      <c r="A166" s="43" t="n">
        <v>45413</v>
      </c>
      <c r="B166" s="39" t="n">
        <v>19</v>
      </c>
      <c r="C166" s="39">
        <f>B166*5</f>
        <v/>
      </c>
      <c r="D166" s="39" t="n">
        <v>1060</v>
      </c>
      <c r="E166" s="39">
        <f>D166*2.5</f>
        <v/>
      </c>
      <c r="G166" s="39">
        <f>F166*5</f>
        <v/>
      </c>
      <c r="H166" s="39" t="n">
        <v>770</v>
      </c>
      <c r="I166" s="39">
        <f>H166*2.5</f>
        <v/>
      </c>
      <c r="J166" s="45">
        <f>C166+E166+I166</f>
        <v/>
      </c>
      <c r="K166" s="39" t="n">
        <v>6156</v>
      </c>
      <c r="L166" s="39">
        <f>K166</f>
        <v/>
      </c>
      <c r="M166" s="39" t="n">
        <v>5124</v>
      </c>
      <c r="N166" s="39">
        <f>M166*1.6</f>
        <v/>
      </c>
      <c r="O166" s="45">
        <f>L166+N166</f>
        <v/>
      </c>
      <c r="P166" s="44">
        <f>J166+O166</f>
        <v/>
      </c>
    </row>
    <row r="167">
      <c r="A167" s="43" t="n">
        <v>45444</v>
      </c>
      <c r="B167" s="39" t="n">
        <v>30</v>
      </c>
      <c r="C167" s="39">
        <f>B167*5</f>
        <v/>
      </c>
      <c r="D167" s="39" t="n">
        <v>675</v>
      </c>
      <c r="E167" s="39">
        <f>D167*2.5</f>
        <v/>
      </c>
      <c r="G167" s="39">
        <f>F167*5</f>
        <v/>
      </c>
      <c r="H167" s="39" t="n">
        <v>130</v>
      </c>
      <c r="I167" s="39">
        <f>H167*2.5</f>
        <v/>
      </c>
      <c r="J167" s="45">
        <f>C167+E167+I167</f>
        <v/>
      </c>
      <c r="K167" s="39" t="n">
        <v>3264</v>
      </c>
      <c r="L167" s="39">
        <f>K167</f>
        <v/>
      </c>
      <c r="M167" s="39" t="n">
        <v>2544</v>
      </c>
      <c r="N167" s="39">
        <f>M167*1.6</f>
        <v/>
      </c>
      <c r="O167" s="45">
        <f>L167+N167</f>
        <v/>
      </c>
      <c r="P167" s="44">
        <f>J167+O167</f>
        <v/>
      </c>
    </row>
    <row r="168">
      <c r="A168" s="43" t="n">
        <v>45474</v>
      </c>
      <c r="B168" s="39" t="n">
        <v>0</v>
      </c>
      <c r="C168" s="39">
        <f>B168*5</f>
        <v/>
      </c>
      <c r="D168" s="39">
        <f>340+30</f>
        <v/>
      </c>
      <c r="E168" s="39">
        <f>D168*2.5</f>
        <v/>
      </c>
      <c r="G168" s="39">
        <f>F168*5</f>
        <v/>
      </c>
      <c r="H168" s="39" t="n">
        <v>205</v>
      </c>
      <c r="I168" s="39">
        <f>H168*2.5</f>
        <v/>
      </c>
      <c r="J168" s="45">
        <f>C168+E168+I168</f>
        <v/>
      </c>
      <c r="K168" s="39" t="n">
        <v>4116</v>
      </c>
      <c r="L168" s="39">
        <f>K168</f>
        <v/>
      </c>
      <c r="M168" s="39" t="n">
        <v>3744</v>
      </c>
      <c r="N168" s="39">
        <f>M168*1.6</f>
        <v/>
      </c>
      <c r="O168" s="45">
        <f>L168+N168</f>
        <v/>
      </c>
      <c r="P168" s="44">
        <f>J168+O168</f>
        <v/>
      </c>
    </row>
    <row r="169">
      <c r="A169" s="43" t="n">
        <v>45505</v>
      </c>
      <c r="B169" s="39">
        <f>12+60</f>
        <v/>
      </c>
      <c r="C169" s="39">
        <f>B169*5</f>
        <v/>
      </c>
      <c r="D169" s="39">
        <f>540+80+30</f>
        <v/>
      </c>
      <c r="E169" s="39">
        <f>D169*2.5</f>
        <v/>
      </c>
      <c r="F169" s="39">
        <f>8+5</f>
        <v/>
      </c>
      <c r="G169" s="39">
        <f>F169*5</f>
        <v/>
      </c>
      <c r="H169" s="39" t="n">
        <v>1000</v>
      </c>
      <c r="I169" s="39">
        <f>H169*2.5</f>
        <v/>
      </c>
      <c r="J169" s="45">
        <f>C169+E169+I169</f>
        <v/>
      </c>
      <c r="K169" s="39" t="n">
        <v>3696</v>
      </c>
      <c r="L169" s="39">
        <f>K169</f>
        <v/>
      </c>
      <c r="M169" s="39" t="n">
        <v>3456</v>
      </c>
      <c r="N169" s="39">
        <f>M169*1.6</f>
        <v/>
      </c>
      <c r="O169" s="45">
        <f>L169+N169</f>
        <v/>
      </c>
      <c r="P169" s="44">
        <f>J169+O169</f>
        <v/>
      </c>
    </row>
    <row r="170">
      <c r="A170" s="43" t="n">
        <v>45536</v>
      </c>
      <c r="B170" s="39" t="n">
        <v>10</v>
      </c>
      <c r="C170" s="39">
        <f>B170*5</f>
        <v/>
      </c>
      <c r="D170" s="39">
        <f>390+100</f>
        <v/>
      </c>
      <c r="E170" s="39">
        <f>D170*2.5</f>
        <v/>
      </c>
      <c r="F170" s="39" t="n">
        <v>5</v>
      </c>
      <c r="G170" s="39">
        <f>F170*5</f>
        <v/>
      </c>
      <c r="H170" s="39">
        <f>265+50+40+100+50+50+5+50+25</f>
        <v/>
      </c>
      <c r="I170" s="39">
        <f>H170*2.5</f>
        <v/>
      </c>
      <c r="J170" s="45">
        <f>C170+E170+I170</f>
        <v/>
      </c>
      <c r="K170" s="39" t="n">
        <v>4800</v>
      </c>
      <c r="L170" s="39">
        <f>K170</f>
        <v/>
      </c>
      <c r="M170" s="39" t="n">
        <v>4020</v>
      </c>
      <c r="N170" s="39">
        <f>M170*1.6</f>
        <v/>
      </c>
      <c r="O170" s="45">
        <f>L170+N170</f>
        <v/>
      </c>
      <c r="P170" s="44">
        <f>J170+O170</f>
        <v/>
      </c>
    </row>
    <row r="171">
      <c r="A171" s="43" t="n">
        <v>45566</v>
      </c>
      <c r="B171" s="39" t="n">
        <v>15</v>
      </c>
      <c r="C171" s="39">
        <f>B171*5</f>
        <v/>
      </c>
      <c r="D171" s="39" t="n">
        <v>930</v>
      </c>
      <c r="E171" s="39">
        <f>D171*2.5</f>
        <v/>
      </c>
      <c r="G171" s="39">
        <f>F171*5</f>
        <v/>
      </c>
      <c r="H171" s="39">
        <f>5+20+200+50+30+100+15+50+15+5+30</f>
        <v/>
      </c>
      <c r="I171" s="39">
        <f>H171*2.5</f>
        <v/>
      </c>
      <c r="J171" s="45">
        <f>C171+E171+I171</f>
        <v/>
      </c>
      <c r="K171" s="39" t="n">
        <v>6408</v>
      </c>
      <c r="L171" s="39">
        <f>K171</f>
        <v/>
      </c>
      <c r="M171" s="39" t="n">
        <v>5340</v>
      </c>
      <c r="N171" s="39">
        <f>M171*1.6</f>
        <v/>
      </c>
      <c r="O171" s="45">
        <f>L171+N171</f>
        <v/>
      </c>
      <c r="P171" s="44">
        <f>J171+O171</f>
        <v/>
      </c>
    </row>
    <row r="172">
      <c r="A172" s="43" t="n">
        <v>45597</v>
      </c>
      <c r="B172" s="39" t="n">
        <v>7</v>
      </c>
      <c r="C172" s="39">
        <f>B172*5</f>
        <v/>
      </c>
      <c r="D172" s="39" t="n">
        <v>550</v>
      </c>
      <c r="E172" s="39">
        <f>D172*2.5</f>
        <v/>
      </c>
      <c r="G172" s="39">
        <f>F172*5</f>
        <v/>
      </c>
      <c r="H172" s="39">
        <f>30+50+5+5+70+10+40+40+5+125+50+55+50+100+40</f>
        <v/>
      </c>
      <c r="I172" s="39">
        <f>H172*2.5</f>
        <v/>
      </c>
      <c r="J172" s="45">
        <f>C172+E172+I172</f>
        <v/>
      </c>
      <c r="K172" s="39" t="n">
        <v>5028</v>
      </c>
      <c r="L172" s="39">
        <f>K172</f>
        <v/>
      </c>
      <c r="M172" s="39" t="n">
        <v>4392</v>
      </c>
      <c r="N172" s="39">
        <f>M172*1.6</f>
        <v/>
      </c>
      <c r="O172" s="45">
        <f>L172+N172</f>
        <v/>
      </c>
      <c r="P172" s="44">
        <f>J172+O172</f>
        <v/>
      </c>
    </row>
    <row r="173">
      <c r="A173" s="43" t="n">
        <v>45627</v>
      </c>
      <c r="B173" s="39" t="n">
        <v>7</v>
      </c>
      <c r="C173" s="39">
        <f>B173*5</f>
        <v/>
      </c>
      <c r="D173" s="39" t="n">
        <v>785</v>
      </c>
      <c r="E173" s="39">
        <f>D173*2.5</f>
        <v/>
      </c>
      <c r="G173" s="39">
        <f>F173*5</f>
        <v/>
      </c>
      <c r="H173" s="39">
        <f>30+50+25+200+25+50+5+15+30</f>
        <v/>
      </c>
      <c r="I173" s="39">
        <f>H173*2.5</f>
        <v/>
      </c>
      <c r="J173" s="45">
        <f>C173+E173+I173</f>
        <v/>
      </c>
      <c r="K173" s="39" t="n">
        <v>4392</v>
      </c>
      <c r="L173" s="39">
        <f>K173</f>
        <v/>
      </c>
      <c r="M173" s="39" t="n">
        <v>4116</v>
      </c>
      <c r="N173" s="39">
        <f>M173*1.6</f>
        <v/>
      </c>
      <c r="O173" s="45">
        <f>L173+N173</f>
        <v/>
      </c>
      <c r="P173" s="44">
        <f>J173+O173</f>
        <v/>
      </c>
    </row>
    <row r="174">
      <c r="A174" s="43" t="n">
        <v>45658</v>
      </c>
      <c r="B174" s="39">
        <f>6+4</f>
        <v/>
      </c>
      <c r="C174" s="39">
        <f>B174*5</f>
        <v/>
      </c>
      <c r="D174" s="39">
        <f>450+30</f>
        <v/>
      </c>
      <c r="E174" s="39">
        <f>D174*2.5</f>
        <v/>
      </c>
      <c r="G174" s="39">
        <f>F174*5</f>
        <v/>
      </c>
      <c r="H174" s="39">
        <f>60+25+15+35+50+200+200+200+50+50+25+100</f>
        <v/>
      </c>
      <c r="I174" s="39">
        <f>H174*2.5</f>
        <v/>
      </c>
      <c r="J174" s="45">
        <f>C174+E174+I174</f>
        <v/>
      </c>
      <c r="K174" s="39" t="n">
        <v>4152</v>
      </c>
      <c r="L174" s="39">
        <f>K174</f>
        <v/>
      </c>
      <c r="M174" s="39" t="n">
        <v>2928</v>
      </c>
      <c r="N174" s="39">
        <f>M174*1.6</f>
        <v/>
      </c>
      <c r="O174" s="45">
        <f>L174+N174</f>
        <v/>
      </c>
      <c r="P174" s="44">
        <f>J174+O174</f>
        <v/>
      </c>
    </row>
    <row r="175">
      <c r="A175" s="43" t="n">
        <v>45689</v>
      </c>
      <c r="B175" s="39">
        <f>17+33+5+5</f>
        <v/>
      </c>
      <c r="C175" s="39">
        <f>B175*5</f>
        <v/>
      </c>
      <c r="D175" s="39">
        <f>680+50+70</f>
        <v/>
      </c>
      <c r="E175" s="39">
        <f>D175*2.5</f>
        <v/>
      </c>
      <c r="G175" s="39">
        <f>F175*5</f>
        <v/>
      </c>
      <c r="H175" s="39">
        <f>45+5+20+5+30+5+50+20+30+5+5+10</f>
        <v/>
      </c>
      <c r="I175" s="39">
        <f>H175*2.5</f>
        <v/>
      </c>
      <c r="J175" s="45">
        <f>C175+E175+I175</f>
        <v/>
      </c>
      <c r="K175" s="39" t="n">
        <v>5148</v>
      </c>
      <c r="L175" s="39">
        <f>K175</f>
        <v/>
      </c>
      <c r="M175" s="39" t="n">
        <v>3732</v>
      </c>
      <c r="N175" s="39">
        <f>M175*1.6</f>
        <v/>
      </c>
      <c r="O175" s="45">
        <f>L175+N175</f>
        <v/>
      </c>
      <c r="P175" s="44">
        <f>J175+O175</f>
        <v/>
      </c>
    </row>
    <row r="176">
      <c r="A176" s="43" t="n">
        <v>45717</v>
      </c>
      <c r="B176" s="39">
        <f>24+15</f>
        <v/>
      </c>
      <c r="C176" s="39">
        <f>B176*5</f>
        <v/>
      </c>
      <c r="D176" s="39">
        <f>660+50</f>
        <v/>
      </c>
      <c r="E176" s="39">
        <f>D176*2.5</f>
        <v/>
      </c>
      <c r="G176" s="39">
        <f>F176*5</f>
        <v/>
      </c>
      <c r="H176" s="39">
        <f>45+50+10+15+10+50+5+250+40+30+15+75+25+15+5+10</f>
        <v/>
      </c>
      <c r="I176" s="39">
        <f>H176*2.5</f>
        <v/>
      </c>
      <c r="J176" s="45">
        <f>C176+E176+I176</f>
        <v/>
      </c>
      <c r="K176" s="39" t="n">
        <v>5244</v>
      </c>
      <c r="L176" s="39">
        <f>K176</f>
        <v/>
      </c>
      <c r="M176" s="39" t="n">
        <v>3588</v>
      </c>
      <c r="N176" s="39">
        <f>M176*1.6</f>
        <v/>
      </c>
      <c r="O176" s="45">
        <f>L176+N176</f>
        <v/>
      </c>
      <c r="P176" s="44">
        <f>J176+O176</f>
        <v/>
      </c>
    </row>
    <row r="177">
      <c r="A177" s="43" t="n">
        <v>45748</v>
      </c>
      <c r="B177" s="39" t="n">
        <v>26</v>
      </c>
      <c r="C177" s="39">
        <f>B177*5</f>
        <v/>
      </c>
      <c r="D177" s="39">
        <f>50+570+20</f>
        <v/>
      </c>
      <c r="E177" s="39">
        <f>D177*2.5</f>
        <v/>
      </c>
      <c r="G177" s="39">
        <f>F177*5</f>
        <v/>
      </c>
      <c r="H177" s="39">
        <f>10+10+75+200+25+5+50+20+50</f>
        <v/>
      </c>
      <c r="I177" s="39">
        <f>H177*2.5</f>
        <v/>
      </c>
      <c r="J177" s="45">
        <f>C177+E177+I177</f>
        <v/>
      </c>
      <c r="K177" s="39" t="n">
        <v>5568</v>
      </c>
      <c r="L177" s="39">
        <f>K177</f>
        <v/>
      </c>
      <c r="M177" s="39" t="n">
        <v>4788</v>
      </c>
      <c r="N177" s="39">
        <f>M177*1.6</f>
        <v/>
      </c>
      <c r="O177" s="45">
        <f>L177+N177</f>
        <v/>
      </c>
      <c r="P177" s="44">
        <f>J177+O177</f>
        <v/>
      </c>
    </row>
    <row r="178">
      <c r="A178" s="43" t="n">
        <v>45778</v>
      </c>
      <c r="B178" s="39">
        <f>25+25</f>
        <v/>
      </c>
      <c r="C178" s="39">
        <f>B178*5</f>
        <v/>
      </c>
      <c r="D178" s="39">
        <f>30+755</f>
        <v/>
      </c>
      <c r="E178" s="39">
        <f>D178*2.5</f>
        <v/>
      </c>
      <c r="G178" s="39">
        <f>F178*5</f>
        <v/>
      </c>
      <c r="H178" s="39">
        <f>25+50+50+10+200+200+30+50+30+5+40+20+50+125+25</f>
        <v/>
      </c>
      <c r="I178" s="39">
        <f>H178*2.5</f>
        <v/>
      </c>
      <c r="J178" s="45">
        <f>C178+E178+I178</f>
        <v/>
      </c>
      <c r="K178" s="39" t="n">
        <v>5364</v>
      </c>
      <c r="L178" s="39">
        <f>K178</f>
        <v/>
      </c>
      <c r="M178" s="39" t="n">
        <v>3300</v>
      </c>
      <c r="N178" s="39">
        <f>M178*1.6</f>
        <v/>
      </c>
      <c r="O178" s="45">
        <f>L178+N178</f>
        <v/>
      </c>
      <c r="P178" s="44">
        <f>J178+O178</f>
        <v/>
      </c>
      <c r="Q178" s="46" t="n"/>
    </row>
    <row r="179">
      <c r="A179" s="43" t="n">
        <v>45809</v>
      </c>
      <c r="B179" s="39" t="n">
        <v>0</v>
      </c>
      <c r="C179" s="39" t="n">
        <v>10</v>
      </c>
      <c r="D179" s="39" t="n">
        <v>380</v>
      </c>
      <c r="E179" s="39">
        <f>D179*2.5</f>
        <v/>
      </c>
      <c r="G179" s="39">
        <f>F179*5</f>
        <v/>
      </c>
      <c r="H179" s="39">
        <f>75+25+50+5+500+100+25</f>
        <v/>
      </c>
      <c r="I179" s="39">
        <f>H179*2.5</f>
        <v/>
      </c>
      <c r="J179" s="45">
        <f>C179+E179+I179</f>
        <v/>
      </c>
      <c r="K179" s="39" t="n">
        <v>3636</v>
      </c>
      <c r="L179" s="39">
        <f>K179</f>
        <v/>
      </c>
      <c r="M179" s="39" t="n">
        <v>3093</v>
      </c>
      <c r="N179" s="39">
        <f>M179*1.6</f>
        <v/>
      </c>
      <c r="O179" s="45">
        <f>L179+N179</f>
        <v/>
      </c>
      <c r="P179" s="44">
        <f>J179+O179</f>
        <v/>
      </c>
    </row>
    <row r="180">
      <c r="P180" s="44" t="n"/>
    </row>
    <row r="181">
      <c r="P181" s="44" t="n"/>
    </row>
    <row r="182">
      <c r="N182" s="505" t="n"/>
      <c r="P182" s="44" t="n"/>
    </row>
    <row r="183">
      <c r="P183" s="44" t="n"/>
    </row>
    <row r="184">
      <c r="P184" s="44" t="n"/>
    </row>
    <row r="185">
      <c r="P185" s="44" t="n"/>
    </row>
    <row r="186">
      <c r="P186" s="44" t="n"/>
    </row>
    <row r="187">
      <c r="P187" s="44" t="n"/>
    </row>
    <row r="188">
      <c r="P188" s="44" t="n"/>
    </row>
    <row r="189">
      <c r="P189" s="44" t="n"/>
    </row>
    <row r="190">
      <c r="P190" s="44" t="n"/>
    </row>
    <row r="191">
      <c r="P191" s="44" t="n"/>
    </row>
    <row r="192">
      <c r="P192" s="44" t="n"/>
    </row>
    <row r="193">
      <c r="P193" s="44" t="n"/>
    </row>
    <row r="194">
      <c r="P194" s="44" t="n"/>
    </row>
    <row r="195">
      <c r="P195" s="44" t="n"/>
    </row>
    <row r="196">
      <c r="P196" s="44" t="n"/>
    </row>
    <row r="197">
      <c r="P197" s="44" t="n"/>
    </row>
    <row r="198">
      <c r="P198" s="44" t="n"/>
    </row>
    <row r="199">
      <c r="P199" s="44" t="n"/>
    </row>
    <row r="200">
      <c r="P200" s="44" t="n"/>
    </row>
    <row r="201">
      <c r="P201" s="44" t="n"/>
    </row>
    <row r="202">
      <c r="P202" s="44" t="n"/>
    </row>
    <row r="203">
      <c r="P203" s="44" t="n"/>
    </row>
    <row r="204">
      <c r="P204" s="44" t="n"/>
    </row>
    <row r="205">
      <c r="P205" s="44" t="n"/>
    </row>
    <row r="206">
      <c r="P206" s="44" t="n"/>
    </row>
    <row r="207">
      <c r="P207" s="44" t="n"/>
    </row>
    <row r="208">
      <c r="P208" s="44" t="n"/>
    </row>
    <row r="209">
      <c r="P209" s="44" t="n"/>
    </row>
    <row r="210">
      <c r="P210" s="44" t="n"/>
    </row>
    <row r="211">
      <c r="P211" s="44" t="n"/>
    </row>
    <row r="212">
      <c r="P212" s="44" t="n"/>
    </row>
    <row r="213">
      <c r="P213" s="44" t="n"/>
    </row>
    <row r="214">
      <c r="P214" s="44" t="n"/>
    </row>
    <row r="215">
      <c r="P215" s="44" t="n"/>
    </row>
    <row r="216">
      <c r="P216" s="44" t="n"/>
    </row>
    <row r="217">
      <c r="P217" s="44" t="n"/>
    </row>
    <row r="218">
      <c r="P218" s="44" t="n"/>
    </row>
    <row r="219">
      <c r="P219" s="44" t="n"/>
    </row>
    <row r="220">
      <c r="P220" s="44" t="n"/>
    </row>
    <row r="221">
      <c r="P221" s="44" t="n"/>
    </row>
    <row r="222">
      <c r="P222" s="44" t="n"/>
    </row>
    <row r="223">
      <c r="P223" s="44" t="n"/>
    </row>
    <row r="224">
      <c r="P224" s="44" t="n"/>
    </row>
    <row r="225">
      <c r="P225" s="44" t="n"/>
    </row>
    <row r="226">
      <c r="P226" s="44" t="n"/>
    </row>
    <row r="227">
      <c r="P227" s="44" t="n"/>
    </row>
    <row r="228">
      <c r="P228" s="44" t="n"/>
    </row>
    <row r="229">
      <c r="P229" s="44" t="n"/>
    </row>
    <row r="230">
      <c r="P230" s="44" t="n"/>
    </row>
    <row r="231">
      <c r="P231" s="44" t="n"/>
    </row>
    <row r="232">
      <c r="P232" s="44" t="n"/>
    </row>
    <row r="233">
      <c r="P233" s="44" t="n"/>
    </row>
    <row r="234">
      <c r="P234" s="44" t="n"/>
    </row>
    <row r="235">
      <c r="P235" s="44" t="n"/>
    </row>
    <row r="236">
      <c r="P236" s="44" t="n"/>
    </row>
    <row r="237">
      <c r="P237" s="421" t="n"/>
    </row>
    <row r="238">
      <c r="P238" s="421" t="n"/>
    </row>
    <row r="239">
      <c r="P239" s="421" t="n"/>
    </row>
    <row r="240">
      <c r="P240" s="421" t="n"/>
    </row>
    <row r="241">
      <c r="P241" s="421" t="n"/>
    </row>
    <row r="242">
      <c r="P242" s="421" t="n"/>
    </row>
    <row r="243">
      <c r="P243" s="421" t="n"/>
    </row>
    <row r="244">
      <c r="P244" s="421" t="n"/>
    </row>
    <row r="245">
      <c r="P245" s="421" t="n"/>
    </row>
    <row r="246">
      <c r="P246" s="421" t="n"/>
    </row>
    <row r="247">
      <c r="P247" s="421" t="n"/>
    </row>
    <row r="248">
      <c r="P248" s="421" t="n"/>
    </row>
    <row r="249">
      <c r="P249" s="421" t="n"/>
    </row>
    <row r="250">
      <c r="P250" s="421" t="n"/>
    </row>
    <row r="251">
      <c r="P251" s="421" t="n"/>
    </row>
    <row r="252">
      <c r="P252" s="421" t="n"/>
    </row>
    <row r="253">
      <c r="P253" s="421" t="n"/>
    </row>
    <row r="254">
      <c r="P254" s="421" t="n"/>
    </row>
    <row r="255">
      <c r="P255" s="421" t="n"/>
    </row>
    <row r="256">
      <c r="P256" s="421" t="n"/>
    </row>
    <row r="257">
      <c r="P257" s="421" t="n"/>
    </row>
    <row r="258">
      <c r="P258" s="421" t="n"/>
    </row>
    <row r="259">
      <c r="P259" s="421" t="n"/>
    </row>
    <row r="260">
      <c r="P260" s="421" t="n"/>
    </row>
    <row r="261">
      <c r="P261" s="421" t="n"/>
    </row>
    <row r="262">
      <c r="P262" s="421" t="n"/>
    </row>
    <row r="263">
      <c r="P263" s="421" t="n"/>
    </row>
    <row r="264">
      <c r="P264" s="421" t="n"/>
    </row>
    <row r="265">
      <c r="P265" s="421" t="n"/>
    </row>
    <row r="266">
      <c r="P266" s="421" t="n"/>
    </row>
    <row r="267">
      <c r="P267" s="421" t="n"/>
    </row>
    <row r="268">
      <c r="P268" s="421" t="n"/>
    </row>
    <row r="269">
      <c r="P269" s="421" t="n"/>
    </row>
    <row r="270">
      <c r="P270" s="421" t="n"/>
    </row>
    <row r="271">
      <c r="P271" s="421" t="n"/>
    </row>
    <row r="272">
      <c r="P272" s="421" t="n"/>
    </row>
    <row r="273">
      <c r="P273" s="421" t="n"/>
    </row>
    <row r="274">
      <c r="P274" s="421" t="n"/>
    </row>
    <row r="275">
      <c r="P275" s="421" t="n"/>
    </row>
    <row r="276">
      <c r="P276" s="421" t="n"/>
    </row>
    <row r="277">
      <c r="P277" s="421" t="n"/>
    </row>
    <row r="278">
      <c r="P278" s="421" t="n"/>
    </row>
    <row r="279">
      <c r="P279" s="421" t="n"/>
    </row>
    <row r="280">
      <c r="P280" s="421" t="n"/>
    </row>
    <row r="281">
      <c r="P281" s="421" t="n"/>
    </row>
    <row r="282">
      <c r="P282" s="421" t="n"/>
    </row>
    <row r="283">
      <c r="P283" s="421" t="n"/>
    </row>
    <row r="284">
      <c r="P284" s="421" t="n"/>
    </row>
    <row r="285">
      <c r="P285" s="421" t="n"/>
    </row>
    <row r="286">
      <c r="P286" s="421" t="n"/>
    </row>
    <row r="287">
      <c r="P287" s="421" t="n"/>
    </row>
    <row r="288">
      <c r="P288" s="421" t="n"/>
    </row>
    <row r="289">
      <c r="P289" s="421" t="n"/>
    </row>
    <row r="290">
      <c r="P290" s="421" t="n"/>
    </row>
    <row r="291">
      <c r="P291" s="421" t="n"/>
    </row>
    <row r="292">
      <c r="P292" s="421" t="n"/>
    </row>
    <row r="293">
      <c r="P293" s="421" t="n"/>
    </row>
    <row r="294">
      <c r="P294" s="421" t="n"/>
    </row>
    <row r="295">
      <c r="P295" s="421" t="n"/>
    </row>
    <row r="296">
      <c r="P296" s="421" t="n"/>
    </row>
    <row r="297">
      <c r="P297" s="421" t="n"/>
    </row>
    <row r="298">
      <c r="P298" s="421" t="n"/>
    </row>
    <row r="299">
      <c r="P299" s="421" t="n"/>
    </row>
    <row r="300">
      <c r="P300" s="421" t="n"/>
    </row>
    <row r="301">
      <c r="P301" s="421" t="n"/>
    </row>
    <row r="302">
      <c r="P302" s="421" t="n"/>
    </row>
    <row r="303">
      <c r="P303" s="421" t="n"/>
    </row>
    <row r="304">
      <c r="P304" s="421" t="n"/>
    </row>
    <row r="305">
      <c r="P305" s="421" t="n"/>
    </row>
    <row r="306">
      <c r="P306" s="421" t="n"/>
    </row>
    <row r="307">
      <c r="P307" s="421" t="n"/>
    </row>
    <row r="308">
      <c r="P308" s="421" t="n"/>
    </row>
    <row r="309">
      <c r="P309" s="421" t="n"/>
    </row>
    <row r="310">
      <c r="P310" s="421" t="n"/>
    </row>
    <row r="311">
      <c r="P311" s="421" t="n"/>
    </row>
    <row r="312">
      <c r="P312" s="421" t="n"/>
    </row>
    <row r="313">
      <c r="P313" s="421" t="n"/>
    </row>
    <row r="314">
      <c r="P314" s="421" t="n"/>
    </row>
    <row r="315">
      <c r="P315" s="421" t="n"/>
    </row>
    <row r="316">
      <c r="P316" s="421" t="n"/>
    </row>
    <row r="317">
      <c r="P317" s="421" t="n"/>
    </row>
    <row r="318">
      <c r="P318" s="421" t="n"/>
    </row>
    <row r="319">
      <c r="P319" s="421" t="n"/>
    </row>
    <row r="320">
      <c r="P320" s="421" t="n"/>
    </row>
    <row r="321">
      <c r="P321" s="421" t="n"/>
    </row>
    <row r="322">
      <c r="P322" s="421" t="n"/>
    </row>
    <row r="323">
      <c r="P323" s="421" t="n"/>
    </row>
    <row r="324">
      <c r="P324" s="421" t="n"/>
    </row>
    <row r="325">
      <c r="P325" s="421" t="n"/>
    </row>
    <row r="326">
      <c r="P326" s="421" t="n"/>
    </row>
    <row r="327">
      <c r="P327" s="421" t="n"/>
    </row>
    <row r="328">
      <c r="P328" s="421" t="n"/>
    </row>
    <row r="329">
      <c r="P329" s="421" t="n"/>
    </row>
    <row r="330">
      <c r="P330" s="421" t="n"/>
    </row>
    <row r="331">
      <c r="P331" s="421" t="n"/>
    </row>
    <row r="332">
      <c r="P332" s="421" t="n"/>
    </row>
    <row r="333">
      <c r="P333" s="421" t="n"/>
    </row>
    <row r="334">
      <c r="P334" s="421" t="n"/>
    </row>
    <row r="335">
      <c r="P335" s="421" t="n"/>
    </row>
    <row r="336">
      <c r="P336" s="421" t="n"/>
    </row>
    <row r="337">
      <c r="P337" s="421" t="n"/>
    </row>
    <row r="338">
      <c r="P338" s="421" t="n"/>
    </row>
    <row r="339">
      <c r="P339" s="421" t="n"/>
    </row>
    <row r="340">
      <c r="P340" s="421" t="n"/>
    </row>
    <row r="341">
      <c r="P341" s="421" t="n"/>
    </row>
    <row r="342">
      <c r="P342" s="421" t="n"/>
    </row>
    <row r="343">
      <c r="P343" s="421" t="n"/>
    </row>
    <row r="344">
      <c r="P344" s="421" t="n"/>
    </row>
    <row r="345">
      <c r="P345" s="421" t="n"/>
    </row>
    <row r="346">
      <c r="P346" s="421" t="n"/>
    </row>
    <row r="347">
      <c r="P347" s="421" t="n"/>
    </row>
    <row r="348">
      <c r="P348" s="421" t="n"/>
    </row>
    <row r="349">
      <c r="P349" s="421" t="n"/>
    </row>
    <row r="350">
      <c r="P350" s="421" t="n"/>
    </row>
    <row r="351">
      <c r="P351" s="421" t="n"/>
    </row>
    <row r="352">
      <c r="P352" s="421" t="n"/>
    </row>
    <row r="353">
      <c r="P353" s="421" t="n"/>
    </row>
    <row r="354">
      <c r="P354" s="421" t="n"/>
    </row>
    <row r="355">
      <c r="P355" s="421" t="n"/>
    </row>
    <row r="356">
      <c r="P356" s="421" t="n"/>
    </row>
    <row r="357">
      <c r="P357" s="421" t="n"/>
    </row>
    <row r="358">
      <c r="P358" s="421" t="n"/>
    </row>
    <row r="359">
      <c r="P359" s="421" t="n"/>
    </row>
    <row r="360">
      <c r="P360" s="421" t="n"/>
    </row>
    <row r="361">
      <c r="P361" s="421" t="n"/>
    </row>
    <row r="362">
      <c r="P362" s="421" t="n"/>
    </row>
    <row r="363">
      <c r="P363" s="421" t="n"/>
    </row>
    <row r="364">
      <c r="P364" s="421" t="n"/>
    </row>
    <row r="365">
      <c r="P365" s="421" t="n"/>
    </row>
    <row r="366">
      <c r="P366" s="421" t="n"/>
    </row>
    <row r="367">
      <c r="P367" s="421" t="n"/>
    </row>
    <row r="368">
      <c r="P368" s="421" t="n"/>
    </row>
    <row r="369">
      <c r="P369" s="421" t="n"/>
    </row>
    <row r="370">
      <c r="P370" s="421" t="n"/>
    </row>
    <row r="371">
      <c r="P371" s="421" t="n"/>
    </row>
    <row r="372">
      <c r="P372" s="421" t="n"/>
    </row>
    <row r="373">
      <c r="P373" s="421" t="n"/>
    </row>
    <row r="374">
      <c r="P374" s="421" t="n"/>
    </row>
    <row r="375">
      <c r="P375" s="421" t="n"/>
    </row>
    <row r="376">
      <c r="P376" s="421" t="n"/>
    </row>
    <row r="377">
      <c r="P377" s="421" t="n"/>
    </row>
    <row r="378">
      <c r="P378" s="421" t="n"/>
    </row>
    <row r="379">
      <c r="P379" s="421" t="n"/>
    </row>
    <row r="380">
      <c r="P380" s="421" t="n"/>
    </row>
    <row r="381">
      <c r="P381" s="421" t="n"/>
    </row>
    <row r="382">
      <c r="P382" s="421" t="n"/>
    </row>
    <row r="383">
      <c r="P383" s="421" t="n"/>
    </row>
    <row r="384">
      <c r="P384" s="421" t="n"/>
    </row>
    <row r="385">
      <c r="P385" s="421" t="n"/>
    </row>
    <row r="386">
      <c r="P386" s="421" t="n"/>
    </row>
    <row r="387">
      <c r="P387" s="421" t="n"/>
    </row>
    <row r="388">
      <c r="P388" s="421" t="n"/>
    </row>
    <row r="389">
      <c r="P389" s="421" t="n"/>
    </row>
    <row r="390">
      <c r="P390" s="421" t="n"/>
    </row>
    <row r="391">
      <c r="P391" s="421" t="n"/>
    </row>
    <row r="392">
      <c r="P392" s="421" t="n"/>
    </row>
    <row r="393">
      <c r="P393" s="421" t="n"/>
    </row>
    <row r="394">
      <c r="P394" s="421" t="n"/>
    </row>
    <row r="395">
      <c r="P395" s="421" t="n"/>
    </row>
    <row r="396">
      <c r="P396" s="421" t="n"/>
    </row>
    <row r="397">
      <c r="P397" s="421" t="n"/>
    </row>
    <row r="398">
      <c r="P398" s="421" t="n"/>
    </row>
    <row r="399">
      <c r="P399" s="421" t="n"/>
    </row>
    <row r="400">
      <c r="P400" s="421" t="n"/>
    </row>
    <row r="401">
      <c r="P401" s="421" t="n"/>
    </row>
    <row r="402">
      <c r="P402" s="421" t="n"/>
    </row>
    <row r="403">
      <c r="P403" s="421" t="n"/>
    </row>
    <row r="404">
      <c r="P404" s="421" t="n"/>
    </row>
    <row r="405">
      <c r="P405" s="421" t="n"/>
    </row>
    <row r="406">
      <c r="P406" s="421" t="n"/>
    </row>
    <row r="407">
      <c r="P407" s="421" t="n"/>
    </row>
    <row r="408">
      <c r="P408" s="421" t="n"/>
    </row>
    <row r="409">
      <c r="P409" s="421" t="n"/>
    </row>
    <row r="410">
      <c r="P410" s="421" t="n"/>
    </row>
    <row r="411">
      <c r="P411" s="421" t="n"/>
    </row>
    <row r="412">
      <c r="P412" s="421" t="n"/>
    </row>
    <row r="413">
      <c r="P413" s="421" t="n"/>
    </row>
    <row r="414">
      <c r="P414" s="421" t="n"/>
    </row>
    <row r="415">
      <c r="P415" s="421" t="n"/>
    </row>
    <row r="416">
      <c r="P416" s="421" t="n"/>
    </row>
    <row r="417">
      <c r="P417" s="421" t="n"/>
    </row>
    <row r="418">
      <c r="P418" s="421" t="n"/>
    </row>
    <row r="419">
      <c r="P419" s="421" t="n"/>
    </row>
    <row r="420">
      <c r="P420" s="421" t="n"/>
    </row>
    <row r="421">
      <c r="P421" s="421" t="n"/>
    </row>
    <row r="422">
      <c r="P422" s="421" t="n"/>
    </row>
    <row r="423">
      <c r="P423" s="421" t="n"/>
    </row>
    <row r="424">
      <c r="P424" s="421" t="n"/>
    </row>
    <row r="425">
      <c r="P425" s="421" t="n"/>
    </row>
    <row r="426">
      <c r="P426" s="421" t="n"/>
    </row>
    <row r="427">
      <c r="P427" s="421" t="n"/>
    </row>
    <row r="428">
      <c r="P428" s="421" t="n"/>
    </row>
    <row r="429">
      <c r="P429" s="421" t="n"/>
    </row>
    <row r="430">
      <c r="P430" s="421" t="n"/>
    </row>
    <row r="431">
      <c r="P431" s="421" t="n"/>
    </row>
    <row r="432">
      <c r="P432" s="421" t="n"/>
    </row>
    <row r="433">
      <c r="P433" s="421" t="n"/>
    </row>
    <row r="434">
      <c r="P434" s="421" t="n"/>
    </row>
    <row r="435">
      <c r="P435" s="421" t="n"/>
    </row>
    <row r="436">
      <c r="P436" s="421" t="n"/>
    </row>
    <row r="437">
      <c r="P437" s="421" t="n"/>
    </row>
    <row r="438">
      <c r="P438" s="421" t="n"/>
    </row>
    <row r="439">
      <c r="P439" s="421" t="n"/>
    </row>
    <row r="440">
      <c r="P440" s="421" t="n"/>
    </row>
    <row r="441">
      <c r="P441" s="421" t="n"/>
    </row>
    <row r="442">
      <c r="P442" s="421" t="n"/>
    </row>
    <row r="443">
      <c r="P443" s="421" t="n"/>
    </row>
    <row r="444">
      <c r="P444" s="421" t="n"/>
    </row>
    <row r="445">
      <c r="P445" s="421" t="n"/>
    </row>
    <row r="446">
      <c r="P446" s="421" t="n"/>
    </row>
    <row r="447">
      <c r="P447" s="421" t="n"/>
    </row>
    <row r="448">
      <c r="P448" s="421" t="n"/>
    </row>
    <row r="449">
      <c r="P449" s="421" t="n"/>
    </row>
    <row r="450">
      <c r="P450" s="421" t="n"/>
    </row>
    <row r="451">
      <c r="P451" s="421" t="n"/>
    </row>
    <row r="452">
      <c r="P452" s="421" t="n"/>
    </row>
    <row r="453">
      <c r="P453" s="421" t="n"/>
    </row>
    <row r="454">
      <c r="P454" s="421" t="n"/>
    </row>
    <row r="455">
      <c r="P455" s="421" t="n"/>
    </row>
    <row r="456">
      <c r="P456" s="421" t="n"/>
    </row>
    <row r="457">
      <c r="P457" s="421" t="n"/>
    </row>
    <row r="458">
      <c r="P458" s="421" t="n"/>
    </row>
    <row r="459">
      <c r="P459" s="421" t="n"/>
    </row>
    <row r="460">
      <c r="P460" s="421" t="n"/>
    </row>
    <row r="461">
      <c r="P461" s="421" t="n"/>
    </row>
    <row r="462">
      <c r="P462" s="421" t="n"/>
    </row>
    <row r="463">
      <c r="P463" s="421" t="n"/>
    </row>
    <row r="464">
      <c r="P464" s="421" t="n"/>
    </row>
    <row r="465">
      <c r="P465" s="421" t="n"/>
    </row>
    <row r="466">
      <c r="P466" s="421" t="n"/>
    </row>
    <row r="467">
      <c r="P467" s="421" t="n"/>
    </row>
    <row r="468">
      <c r="P468" s="421" t="n"/>
    </row>
    <row r="469">
      <c r="P469" s="421" t="n"/>
    </row>
    <row r="470">
      <c r="P470" s="421" t="n"/>
    </row>
    <row r="471">
      <c r="P471" s="421" t="n"/>
    </row>
    <row r="472">
      <c r="P472" s="421" t="n"/>
    </row>
    <row r="473">
      <c r="P473" s="421" t="n"/>
    </row>
    <row r="474">
      <c r="P474" s="421" t="n"/>
    </row>
    <row r="475">
      <c r="P475" s="421" t="n"/>
    </row>
    <row r="476">
      <c r="P476" s="421" t="n"/>
    </row>
    <row r="477">
      <c r="P477" s="421" t="n"/>
    </row>
    <row r="478">
      <c r="P478" s="421" t="n"/>
    </row>
    <row r="479">
      <c r="P479" s="421" t="n"/>
    </row>
    <row r="480">
      <c r="P480" s="421" t="n"/>
    </row>
    <row r="481">
      <c r="P481" s="421" t="n"/>
    </row>
    <row r="482">
      <c r="P482" s="421" t="n"/>
    </row>
    <row r="483">
      <c r="P483" s="421" t="n"/>
    </row>
    <row r="484">
      <c r="P484" s="421" t="n"/>
    </row>
    <row r="485">
      <c r="P485" s="421" t="n"/>
    </row>
    <row r="486">
      <c r="P486" s="421" t="n"/>
    </row>
    <row r="487">
      <c r="P487" s="421" t="n"/>
    </row>
    <row r="488">
      <c r="P488" s="421" t="n"/>
    </row>
    <row r="489">
      <c r="P489" s="421" t="n"/>
    </row>
    <row r="490">
      <c r="P490" s="421" t="n"/>
    </row>
    <row r="491">
      <c r="P491" s="421" t="n"/>
    </row>
    <row r="492">
      <c r="P492" s="421" t="n"/>
    </row>
    <row r="493">
      <c r="P493" s="421" t="n"/>
    </row>
    <row r="494">
      <c r="P494" s="421" t="n"/>
    </row>
    <row r="495">
      <c r="P495" s="421" t="n"/>
    </row>
    <row r="496">
      <c r="P496" s="421" t="n"/>
    </row>
    <row r="497">
      <c r="P497" s="421" t="n"/>
    </row>
    <row r="498">
      <c r="P498" s="421" t="n"/>
    </row>
    <row r="499">
      <c r="P499" s="421" t="n"/>
    </row>
    <row r="500">
      <c r="P500" s="421" t="n"/>
    </row>
    <row r="501">
      <c r="P501" s="421" t="n"/>
    </row>
    <row r="502">
      <c r="P502" s="421" t="n"/>
    </row>
    <row r="503">
      <c r="P503" s="421" t="n"/>
    </row>
    <row r="504">
      <c r="P504" s="421" t="n"/>
    </row>
    <row r="505">
      <c r="P505" s="421" t="n"/>
    </row>
    <row r="506">
      <c r="P506" s="421" t="n"/>
    </row>
    <row r="507">
      <c r="P507" s="421" t="n"/>
    </row>
    <row r="508">
      <c r="P508" s="421" t="n"/>
    </row>
    <row r="509">
      <c r="P509" s="421" t="n"/>
    </row>
    <row r="510">
      <c r="P510" s="421" t="n"/>
    </row>
    <row r="511">
      <c r="P511" s="421" t="n"/>
    </row>
    <row r="512">
      <c r="P512" s="421" t="n"/>
    </row>
    <row r="513">
      <c r="P513" s="421" t="n"/>
    </row>
    <row r="514">
      <c r="P514" s="421" t="n"/>
    </row>
    <row r="515">
      <c r="P515" s="421" t="n"/>
    </row>
    <row r="516">
      <c r="P516" s="421" t="n"/>
    </row>
    <row r="517">
      <c r="P517" s="421" t="n"/>
    </row>
    <row r="518">
      <c r="P518" s="421" t="n"/>
    </row>
    <row r="519">
      <c r="P519" s="421" t="n"/>
    </row>
    <row r="520">
      <c r="P520" s="421" t="n"/>
    </row>
    <row r="521">
      <c r="P521" s="421" t="n"/>
    </row>
    <row r="522">
      <c r="P522" s="421" t="n"/>
    </row>
    <row r="523">
      <c r="P523" s="421" t="n"/>
    </row>
    <row r="524">
      <c r="P524" s="421" t="n"/>
    </row>
    <row r="525">
      <c r="P525" s="421" t="n"/>
    </row>
    <row r="526">
      <c r="P526" s="421" t="n"/>
    </row>
    <row r="527">
      <c r="P527" s="421" t="n"/>
    </row>
    <row r="528">
      <c r="P528" s="421" t="n"/>
    </row>
    <row r="529">
      <c r="P529" s="421" t="n"/>
    </row>
    <row r="530">
      <c r="P530" s="421" t="n"/>
    </row>
    <row r="531">
      <c r="P531" s="421" t="n"/>
    </row>
    <row r="532">
      <c r="P532" s="421" t="n"/>
    </row>
    <row r="533">
      <c r="P533" s="421" t="n"/>
    </row>
    <row r="534">
      <c r="P534" s="421" t="n"/>
    </row>
    <row r="535">
      <c r="P535" s="421" t="n"/>
    </row>
    <row r="536">
      <c r="P536" s="421" t="n"/>
    </row>
    <row r="537">
      <c r="P537" s="421" t="n"/>
    </row>
    <row r="538">
      <c r="P538" s="421" t="n"/>
    </row>
    <row r="539">
      <c r="P539" s="421" t="n"/>
    </row>
    <row r="540">
      <c r="P540" s="421" t="n"/>
    </row>
    <row r="541">
      <c r="P541" s="421" t="n"/>
    </row>
    <row r="542">
      <c r="P542" s="421" t="n"/>
    </row>
    <row r="543">
      <c r="P543" s="421" t="n"/>
    </row>
    <row r="544">
      <c r="P544" s="421" t="n"/>
    </row>
    <row r="545">
      <c r="P545" s="421" t="n"/>
    </row>
    <row r="546">
      <c r="P546" s="421" t="n"/>
    </row>
    <row r="547">
      <c r="P547" s="421" t="n"/>
    </row>
    <row r="548">
      <c r="P548" s="421" t="n"/>
    </row>
    <row r="549">
      <c r="P549" s="421" t="n"/>
    </row>
    <row r="550">
      <c r="P550" s="421" t="n"/>
    </row>
    <row r="551">
      <c r="P551" s="421" t="n"/>
    </row>
    <row r="552">
      <c r="P552" s="421" t="n"/>
    </row>
    <row r="553">
      <c r="P553" s="421" t="n"/>
    </row>
    <row r="554">
      <c r="P554" s="421" t="n"/>
    </row>
    <row r="555">
      <c r="P555" s="421" t="n"/>
    </row>
    <row r="556">
      <c r="P556" s="421" t="n"/>
    </row>
    <row r="557">
      <c r="P557" s="421" t="n"/>
    </row>
    <row r="558">
      <c r="P558" s="421" t="n"/>
    </row>
    <row r="559">
      <c r="P559" s="421" t="n"/>
    </row>
    <row r="560">
      <c r="P560" s="421" t="n"/>
    </row>
    <row r="561">
      <c r="P561" s="421" t="n"/>
    </row>
    <row r="562">
      <c r="P562" s="421" t="n"/>
    </row>
    <row r="563">
      <c r="P563" s="421" t="n"/>
    </row>
    <row r="564">
      <c r="P564" s="421" t="n"/>
    </row>
    <row r="565">
      <c r="P565" s="421" t="n"/>
    </row>
    <row r="566">
      <c r="P566" s="421" t="n"/>
    </row>
    <row r="567">
      <c r="P567" s="421" t="n"/>
    </row>
    <row r="568">
      <c r="P568" s="421" t="n"/>
    </row>
    <row r="569">
      <c r="P569" s="421" t="n"/>
    </row>
    <row r="570">
      <c r="P570" s="421" t="n"/>
    </row>
    <row r="571">
      <c r="P571" s="421" t="n"/>
    </row>
    <row r="572">
      <c r="P572" s="421" t="n"/>
    </row>
    <row r="573">
      <c r="P573" s="421" t="n"/>
    </row>
    <row r="574">
      <c r="P574" s="421" t="n"/>
    </row>
    <row r="575">
      <c r="P575" s="421" t="n"/>
    </row>
    <row r="576">
      <c r="P576" s="421" t="n"/>
    </row>
    <row r="577">
      <c r="P577" s="421" t="n"/>
    </row>
    <row r="578">
      <c r="P578" s="421" t="n"/>
    </row>
    <row r="579">
      <c r="P579" s="421" t="n"/>
    </row>
    <row r="580">
      <c r="P580" s="421" t="n"/>
    </row>
    <row r="581">
      <c r="P581" s="421" t="n"/>
    </row>
    <row r="582">
      <c r="P582" s="421" t="n"/>
    </row>
    <row r="583">
      <c r="P583" s="421" t="n"/>
    </row>
    <row r="584">
      <c r="P584" s="421" t="n"/>
    </row>
    <row r="585">
      <c r="P585" s="421" t="n"/>
    </row>
    <row r="586">
      <c r="P586" s="421" t="n"/>
    </row>
    <row r="587">
      <c r="P587" s="421" t="n"/>
    </row>
    <row r="588">
      <c r="P588" s="421" t="n"/>
    </row>
    <row r="589">
      <c r="P589" s="421" t="n"/>
    </row>
    <row r="590">
      <c r="P590" s="421" t="n"/>
    </row>
    <row r="591">
      <c r="P591" s="421" t="n"/>
    </row>
    <row r="592">
      <c r="P592" s="421" t="n"/>
    </row>
    <row r="593">
      <c r="P593" s="421" t="n"/>
    </row>
    <row r="594">
      <c r="P594" s="421" t="n"/>
    </row>
    <row r="595">
      <c r="P595" s="421" t="n"/>
    </row>
    <row r="596">
      <c r="P596" s="421" t="n"/>
    </row>
    <row r="597">
      <c r="P597" s="421" t="n"/>
    </row>
    <row r="598">
      <c r="P598" s="421" t="n"/>
    </row>
    <row r="599">
      <c r="P599" s="421" t="n"/>
    </row>
    <row r="600">
      <c r="P600" s="421" t="n"/>
    </row>
    <row r="601">
      <c r="P601" s="421" t="n"/>
    </row>
    <row r="602">
      <c r="P602" s="421" t="n"/>
    </row>
    <row r="603">
      <c r="P603" s="421" t="n"/>
    </row>
    <row r="604">
      <c r="P604" s="421" t="n"/>
    </row>
    <row r="605">
      <c r="P605" s="421" t="n"/>
    </row>
    <row r="606">
      <c r="P606" s="421" t="n"/>
    </row>
    <row r="607">
      <c r="P607" s="421" t="n"/>
    </row>
    <row r="608">
      <c r="P608" s="421" t="n"/>
    </row>
    <row r="609">
      <c r="P609" s="421" t="n"/>
    </row>
    <row r="610">
      <c r="P610" s="421" t="n"/>
    </row>
    <row r="611">
      <c r="P611" s="421" t="n"/>
    </row>
    <row r="612">
      <c r="P612" s="421" t="n"/>
    </row>
    <row r="613">
      <c r="P613" s="421" t="n"/>
    </row>
    <row r="614">
      <c r="P614" s="421" t="n"/>
    </row>
    <row r="615">
      <c r="P615" s="421" t="n"/>
    </row>
    <row r="616">
      <c r="P616" s="421" t="n"/>
    </row>
    <row r="617">
      <c r="P617" s="421" t="n"/>
    </row>
    <row r="618">
      <c r="P618" s="421" t="n"/>
    </row>
    <row r="619">
      <c r="P619" s="421" t="n"/>
    </row>
    <row r="620">
      <c r="P620" s="421" t="n"/>
    </row>
    <row r="621">
      <c r="P621" s="421" t="n"/>
    </row>
    <row r="622">
      <c r="P622" s="421" t="n"/>
    </row>
    <row r="623">
      <c r="P623" s="421" t="n"/>
    </row>
    <row r="624">
      <c r="P624" s="421" t="n"/>
    </row>
    <row r="625">
      <c r="P625" s="421" t="n"/>
    </row>
    <row r="626">
      <c r="P626" s="421" t="n"/>
    </row>
    <row r="627">
      <c r="P627" s="421" t="n"/>
    </row>
    <row r="628">
      <c r="P628" s="421" t="n"/>
    </row>
    <row r="629">
      <c r="P629" s="421" t="n"/>
    </row>
    <row r="630">
      <c r="P630" s="421" t="n"/>
    </row>
    <row r="631">
      <c r="P631" s="421" t="n"/>
    </row>
    <row r="632">
      <c r="P632" s="421" t="n"/>
    </row>
    <row r="633">
      <c r="P633" s="421" t="n"/>
    </row>
    <row r="634">
      <c r="P634" s="421" t="n"/>
    </row>
    <row r="635">
      <c r="P635" s="421" t="n"/>
    </row>
    <row r="636">
      <c r="P636" s="421" t="n"/>
    </row>
    <row r="637">
      <c r="P637" s="421" t="n"/>
    </row>
    <row r="638">
      <c r="P638" s="421" t="n"/>
    </row>
    <row r="639">
      <c r="P639" s="421" t="n"/>
    </row>
    <row r="640">
      <c r="P640" s="421" t="n"/>
    </row>
    <row r="641">
      <c r="P641" s="421" t="n"/>
    </row>
    <row r="642">
      <c r="P642" s="421" t="n"/>
    </row>
    <row r="643">
      <c r="P643" s="421" t="n"/>
    </row>
    <row r="644">
      <c r="P644" s="421" t="n"/>
    </row>
    <row r="645">
      <c r="P645" s="421" t="n"/>
    </row>
    <row r="646">
      <c r="P646" s="421" t="n"/>
    </row>
    <row r="647">
      <c r="P647" s="421" t="n"/>
    </row>
    <row r="648">
      <c r="P648" s="421" t="n"/>
    </row>
    <row r="649">
      <c r="P649" s="421" t="n"/>
    </row>
    <row r="650">
      <c r="P650" s="421" t="n"/>
    </row>
    <row r="651">
      <c r="P651" s="421" t="n"/>
    </row>
    <row r="652">
      <c r="P652" s="421" t="n"/>
    </row>
    <row r="653">
      <c r="P653" s="421" t="n"/>
    </row>
    <row r="654">
      <c r="P654" s="421" t="n"/>
    </row>
    <row r="655">
      <c r="P655" s="421" t="n"/>
    </row>
    <row r="656">
      <c r="P656" s="421" t="n"/>
    </row>
    <row r="657">
      <c r="P657" s="421" t="n"/>
    </row>
    <row r="658">
      <c r="P658" s="421" t="n"/>
    </row>
    <row r="659">
      <c r="P659" s="421" t="n"/>
    </row>
    <row r="660">
      <c r="P660" s="421" t="n"/>
    </row>
    <row r="661">
      <c r="P661" s="421" t="n"/>
    </row>
    <row r="662">
      <c r="P662" s="421" t="n"/>
    </row>
    <row r="663">
      <c r="P663" s="421" t="n"/>
    </row>
    <row r="664">
      <c r="P664" s="421" t="n"/>
    </row>
    <row r="665">
      <c r="P665" s="421" t="n"/>
    </row>
    <row r="666">
      <c r="P666" s="421" t="n"/>
    </row>
    <row r="667">
      <c r="P667" s="421" t="n"/>
    </row>
    <row r="668">
      <c r="P668" s="421" t="n"/>
    </row>
    <row r="669">
      <c r="P669" s="421" t="n"/>
    </row>
    <row r="670">
      <c r="P670" s="421" t="n"/>
    </row>
    <row r="671">
      <c r="P671" s="421" t="n"/>
    </row>
    <row r="672">
      <c r="P672" s="421" t="n"/>
    </row>
    <row r="673">
      <c r="P673" s="421" t="n"/>
    </row>
    <row r="674">
      <c r="P674" s="421" t="n"/>
    </row>
    <row r="675">
      <c r="P675" s="421" t="n"/>
    </row>
    <row r="676">
      <c r="P676" s="421" t="n"/>
    </row>
    <row r="677">
      <c r="P677" s="421" t="n"/>
    </row>
    <row r="678">
      <c r="P678" s="421" t="n"/>
    </row>
    <row r="679">
      <c r="P679" s="421" t="n"/>
    </row>
    <row r="680">
      <c r="P680" s="421" t="n"/>
    </row>
    <row r="681">
      <c r="P681" s="421" t="n"/>
    </row>
    <row r="682">
      <c r="P682" s="421" t="n"/>
    </row>
    <row r="683">
      <c r="P683" s="421" t="n"/>
    </row>
    <row r="684">
      <c r="P684" s="421" t="n"/>
    </row>
    <row r="685">
      <c r="P685" s="421" t="n"/>
    </row>
    <row r="686">
      <c r="P686" s="421" t="n"/>
    </row>
    <row r="687">
      <c r="P687" s="421" t="n"/>
    </row>
    <row r="688">
      <c r="P688" s="421" t="n"/>
    </row>
    <row r="689">
      <c r="P689" s="421" t="n"/>
    </row>
    <row r="690">
      <c r="P690" s="421" t="n"/>
    </row>
    <row r="691">
      <c r="P691" s="421" t="n"/>
    </row>
    <row r="692">
      <c r="P692" s="421" t="n"/>
    </row>
    <row r="693">
      <c r="P693" s="421" t="n"/>
    </row>
    <row r="694">
      <c r="P694" s="421" t="n"/>
    </row>
    <row r="695">
      <c r="P695" s="421" t="n"/>
    </row>
    <row r="696">
      <c r="P696" s="421" t="n"/>
    </row>
    <row r="697">
      <c r="P697" s="421" t="n"/>
    </row>
    <row r="698">
      <c r="P698" s="421" t="n"/>
    </row>
    <row r="699">
      <c r="P699" s="421" t="n"/>
    </row>
    <row r="700">
      <c r="P700" s="421" t="n"/>
    </row>
    <row r="701">
      <c r="P701" s="421" t="n"/>
    </row>
    <row r="702">
      <c r="P702" s="421" t="n"/>
    </row>
    <row r="703">
      <c r="P703" s="421" t="n"/>
    </row>
    <row r="704">
      <c r="P704" s="421" t="n"/>
    </row>
    <row r="705">
      <c r="P705" s="421" t="n"/>
    </row>
    <row r="706">
      <c r="P706" s="421" t="n"/>
    </row>
    <row r="707">
      <c r="P707" s="421" t="n"/>
    </row>
    <row r="708">
      <c r="P708" s="421" t="n"/>
    </row>
    <row r="709">
      <c r="P709" s="421" t="n"/>
    </row>
    <row r="710">
      <c r="P710" s="421" t="n"/>
    </row>
    <row r="711">
      <c r="P711" s="421" t="n"/>
    </row>
    <row r="712">
      <c r="P712" s="421" t="n"/>
    </row>
    <row r="713">
      <c r="P713" s="421" t="n"/>
    </row>
    <row r="714">
      <c r="P714" s="421" t="n"/>
    </row>
    <row r="715">
      <c r="P715" s="421" t="n"/>
    </row>
    <row r="716">
      <c r="P716" s="421" t="n"/>
    </row>
    <row r="717">
      <c r="P717" s="421" t="n"/>
    </row>
    <row r="718">
      <c r="P718" s="421" t="n"/>
    </row>
    <row r="719">
      <c r="P719" s="421" t="n"/>
    </row>
    <row r="720">
      <c r="P720" s="421" t="n"/>
    </row>
    <row r="721">
      <c r="P721" s="421" t="n"/>
    </row>
    <row r="722">
      <c r="P722" s="421" t="n"/>
    </row>
    <row r="723">
      <c r="P723" s="421" t="n"/>
    </row>
    <row r="724">
      <c r="P724" s="421" t="n"/>
    </row>
    <row r="725">
      <c r="P725" s="421" t="n"/>
    </row>
    <row r="726">
      <c r="P726" s="421" t="n"/>
    </row>
    <row r="727">
      <c r="P727" s="421" t="n"/>
    </row>
    <row r="728">
      <c r="P728" s="421" t="n"/>
    </row>
    <row r="729">
      <c r="P729" s="421" t="n"/>
    </row>
    <row r="730">
      <c r="P730" s="421" t="n"/>
    </row>
    <row r="731">
      <c r="P731" s="421" t="n"/>
    </row>
    <row r="732">
      <c r="P732" s="421" t="n"/>
    </row>
    <row r="733">
      <c r="P733" s="421" t="n"/>
    </row>
    <row r="734">
      <c r="P734" s="421" t="n"/>
    </row>
    <row r="735">
      <c r="P735" s="421" t="n"/>
    </row>
    <row r="736">
      <c r="P736" s="421" t="n"/>
    </row>
    <row r="737">
      <c r="P737" s="421" t="n"/>
    </row>
    <row r="738">
      <c r="P738" s="421" t="n"/>
    </row>
    <row r="739">
      <c r="P739" s="421" t="n"/>
    </row>
    <row r="740">
      <c r="P740" s="421" t="n"/>
    </row>
    <row r="741">
      <c r="P741" s="421" t="n"/>
    </row>
    <row r="742">
      <c r="P742" s="421" t="n"/>
    </row>
    <row r="743">
      <c r="P743" s="421" t="n"/>
    </row>
    <row r="744">
      <c r="P744" s="421" t="n"/>
    </row>
    <row r="745">
      <c r="P745" s="421" t="n"/>
    </row>
    <row r="746">
      <c r="P746" s="421" t="n"/>
    </row>
    <row r="747">
      <c r="P747" s="421" t="n"/>
    </row>
    <row r="748">
      <c r="P748" s="421" t="n"/>
    </row>
    <row r="749">
      <c r="P749" s="421" t="n"/>
    </row>
    <row r="750">
      <c r="P750" s="421" t="n"/>
    </row>
    <row r="751">
      <c r="P751" s="421" t="n"/>
    </row>
    <row r="752">
      <c r="P752" s="421" t="n"/>
    </row>
    <row r="753">
      <c r="P753" s="421" t="n"/>
    </row>
    <row r="754">
      <c r="P754" s="421" t="n"/>
    </row>
    <row r="755">
      <c r="P755" s="421" t="n"/>
    </row>
    <row r="756">
      <c r="P756" s="421" t="n"/>
    </row>
    <row r="757">
      <c r="P757" s="421" t="n"/>
    </row>
    <row r="758">
      <c r="P758" s="421" t="n"/>
    </row>
    <row r="759">
      <c r="P759" s="421" t="n"/>
    </row>
    <row r="760">
      <c r="P760" s="421" t="n"/>
    </row>
    <row r="761">
      <c r="P761" s="421" t="n"/>
    </row>
    <row r="762">
      <c r="P762" s="421" t="n"/>
    </row>
    <row r="763">
      <c r="P763" s="421" t="n"/>
    </row>
    <row r="764">
      <c r="P764" s="421" t="n"/>
    </row>
    <row r="765">
      <c r="P765" s="421" t="n"/>
    </row>
    <row r="766">
      <c r="P766" s="421" t="n"/>
    </row>
    <row r="767">
      <c r="P767" s="421" t="n"/>
    </row>
    <row r="768">
      <c r="P768" s="421" t="n"/>
    </row>
    <row r="769">
      <c r="P769" s="421" t="n"/>
    </row>
    <row r="770">
      <c r="P770" s="421" t="n"/>
    </row>
    <row r="771">
      <c r="P771" s="421" t="n"/>
    </row>
    <row r="772">
      <c r="P772" s="421" t="n"/>
    </row>
    <row r="773">
      <c r="P773" s="421" t="n"/>
    </row>
    <row r="774">
      <c r="P774" s="421" t="n"/>
    </row>
    <row r="775">
      <c r="P775" s="421" t="n"/>
    </row>
    <row r="776">
      <c r="P776" s="421" t="n"/>
    </row>
    <row r="777">
      <c r="P777" s="421" t="n"/>
    </row>
    <row r="778">
      <c r="P778" s="421" t="n"/>
    </row>
    <row r="779">
      <c r="P779" s="421" t="n"/>
    </row>
    <row r="780">
      <c r="P780" s="421" t="n"/>
    </row>
    <row r="781">
      <c r="P781" s="421" t="n"/>
    </row>
    <row r="782">
      <c r="P782" s="421" t="n"/>
    </row>
    <row r="783">
      <c r="P783" s="421" t="n"/>
    </row>
    <row r="784">
      <c r="P784" s="421" t="n"/>
    </row>
    <row r="785">
      <c r="P785" s="421" t="n"/>
    </row>
    <row r="786">
      <c r="P786" s="421" t="n"/>
    </row>
    <row r="787">
      <c r="P787" s="421" t="n"/>
    </row>
    <row r="788">
      <c r="P788" s="421" t="n"/>
    </row>
    <row r="789">
      <c r="P789" s="421" t="n"/>
    </row>
    <row r="790">
      <c r="P790" s="421" t="n"/>
    </row>
    <row r="791">
      <c r="P791" s="421" t="n"/>
    </row>
    <row r="792">
      <c r="P792" s="421" t="n"/>
    </row>
    <row r="793">
      <c r="P793" s="421" t="n"/>
    </row>
    <row r="794">
      <c r="P794" s="421" t="n"/>
    </row>
    <row r="795">
      <c r="P795" s="421" t="n"/>
    </row>
    <row r="796">
      <c r="P796" s="421" t="n"/>
    </row>
    <row r="797">
      <c r="P797" s="421" t="n"/>
    </row>
    <row r="798">
      <c r="P798" s="421" t="n"/>
    </row>
    <row r="799">
      <c r="P799" s="421" t="n"/>
    </row>
    <row r="800">
      <c r="P800" s="421" t="n"/>
    </row>
    <row r="801">
      <c r="P801" s="421" t="n"/>
    </row>
    <row r="802">
      <c r="P802" s="421" t="n"/>
    </row>
    <row r="803">
      <c r="P803" s="421" t="n"/>
    </row>
    <row r="804">
      <c r="P804" s="421" t="n"/>
    </row>
    <row r="805">
      <c r="P805" s="421" t="n"/>
    </row>
    <row r="806">
      <c r="P806" s="421" t="n"/>
    </row>
    <row r="807">
      <c r="P807" s="421" t="n"/>
    </row>
    <row r="808">
      <c r="P808" s="421" t="n"/>
    </row>
    <row r="809">
      <c r="P809" s="421" t="n"/>
    </row>
    <row r="810">
      <c r="P810" s="421" t="n"/>
    </row>
    <row r="811">
      <c r="P811" s="421" t="n"/>
    </row>
    <row r="812">
      <c r="P812" s="421" t="n"/>
    </row>
    <row r="813">
      <c r="P813" s="421" t="n"/>
    </row>
    <row r="814">
      <c r="P814" s="421" t="n"/>
    </row>
    <row r="815">
      <c r="P815" s="421" t="n"/>
    </row>
    <row r="816">
      <c r="P816" s="421" t="n"/>
    </row>
    <row r="817">
      <c r="P817" s="421" t="n"/>
    </row>
    <row r="818">
      <c r="P818" s="421" t="n"/>
    </row>
    <row r="819">
      <c r="P819" s="421" t="n"/>
    </row>
    <row r="820">
      <c r="P820" s="421" t="n"/>
    </row>
    <row r="821">
      <c r="P821" s="421" t="n"/>
    </row>
    <row r="822">
      <c r="P822" s="421" t="n"/>
    </row>
    <row r="823">
      <c r="P823" s="421" t="n"/>
    </row>
    <row r="824">
      <c r="P824" s="421" t="n"/>
    </row>
    <row r="825">
      <c r="P825" s="421" t="n"/>
    </row>
    <row r="826">
      <c r="P826" s="421" t="n"/>
    </row>
    <row r="827">
      <c r="P827" s="421" t="n"/>
    </row>
    <row r="828">
      <c r="P828" s="421" t="n"/>
    </row>
    <row r="829">
      <c r="P829" s="421" t="n"/>
    </row>
    <row r="830">
      <c r="P830" s="421" t="n"/>
    </row>
    <row r="831">
      <c r="P831" s="421" t="n"/>
    </row>
    <row r="832">
      <c r="P832" s="421" t="n"/>
    </row>
    <row r="833">
      <c r="P833" s="421" t="n"/>
    </row>
    <row r="834">
      <c r="P834" s="421" t="n"/>
    </row>
    <row r="835">
      <c r="P835" s="421" t="n"/>
    </row>
    <row r="836">
      <c r="P836" s="421" t="n"/>
    </row>
    <row r="837">
      <c r="P837" s="421" t="n"/>
    </row>
    <row r="838">
      <c r="P838" s="421" t="n"/>
    </row>
    <row r="839">
      <c r="P839" s="421" t="n"/>
    </row>
    <row r="840">
      <c r="P840" s="421" t="n"/>
    </row>
    <row r="841">
      <c r="P841" s="421" t="n"/>
    </row>
    <row r="842">
      <c r="P842" s="421" t="n"/>
    </row>
    <row r="843">
      <c r="P843" s="421" t="n"/>
    </row>
    <row r="844">
      <c r="P844" s="421" t="n"/>
    </row>
    <row r="845">
      <c r="P845" s="421" t="n"/>
    </row>
    <row r="846">
      <c r="P846" s="421" t="n"/>
    </row>
    <row r="847">
      <c r="P847" s="421" t="n"/>
    </row>
    <row r="848">
      <c r="P848" s="421" t="n"/>
    </row>
    <row r="849">
      <c r="P849" s="421" t="n"/>
    </row>
    <row r="850">
      <c r="P850" s="421" t="n"/>
    </row>
    <row r="851">
      <c r="P851" s="421" t="n"/>
    </row>
    <row r="852">
      <c r="P852" s="421" t="n"/>
    </row>
    <row r="853">
      <c r="P853" s="421" t="n"/>
    </row>
    <row r="854">
      <c r="P854" s="421" t="n"/>
    </row>
    <row r="855">
      <c r="P855" s="421" t="n"/>
    </row>
    <row r="856">
      <c r="P856" s="421" t="n"/>
    </row>
    <row r="857">
      <c r="P857" s="421" t="n"/>
    </row>
    <row r="858">
      <c r="P858" s="421" t="n"/>
    </row>
    <row r="859">
      <c r="P859" s="421" t="n"/>
    </row>
    <row r="860">
      <c r="P860" s="421" t="n"/>
    </row>
    <row r="861">
      <c r="P861" s="421" t="n"/>
    </row>
    <row r="862">
      <c r="P862" s="421" t="n"/>
    </row>
    <row r="863">
      <c r="P863" s="421" t="n"/>
    </row>
    <row r="864">
      <c r="P864" s="421" t="n"/>
    </row>
    <row r="865">
      <c r="P865" s="421" t="n"/>
    </row>
    <row r="866">
      <c r="P866" s="421" t="n"/>
    </row>
    <row r="867">
      <c r="P867" s="421" t="n"/>
    </row>
    <row r="868">
      <c r="P868" s="421" t="n"/>
    </row>
    <row r="869">
      <c r="P869" s="421" t="n"/>
    </row>
    <row r="870">
      <c r="P870" s="421" t="n"/>
    </row>
    <row r="871">
      <c r="P871" s="421" t="n"/>
    </row>
    <row r="872">
      <c r="P872" s="421" t="n"/>
    </row>
    <row r="873">
      <c r="P873" s="421" t="n"/>
    </row>
    <row r="874">
      <c r="P874" s="421" t="n"/>
    </row>
    <row r="875">
      <c r="P875" s="421" t="n"/>
    </row>
    <row r="876">
      <c r="P876" s="421" t="n"/>
    </row>
    <row r="877">
      <c r="P877" s="421" t="n"/>
    </row>
    <row r="878">
      <c r="P878" s="421" t="n"/>
    </row>
    <row r="879">
      <c r="P879" s="421" t="n"/>
    </row>
    <row r="880">
      <c r="P880" s="421" t="n"/>
    </row>
    <row r="881">
      <c r="P881" s="421" t="n"/>
    </row>
    <row r="882">
      <c r="P882" s="421" t="n"/>
    </row>
    <row r="883">
      <c r="P883" s="421" t="n"/>
    </row>
    <row r="884">
      <c r="P884" s="421" t="n"/>
    </row>
    <row r="885">
      <c r="P885" s="421" t="n"/>
    </row>
    <row r="886">
      <c r="P886" s="421" t="n"/>
    </row>
    <row r="887">
      <c r="P887" s="421" t="n"/>
    </row>
    <row r="888">
      <c r="P888" s="421" t="n"/>
    </row>
    <row r="889">
      <c r="P889" s="421" t="n"/>
    </row>
    <row r="890">
      <c r="P890" s="421" t="n"/>
    </row>
    <row r="891">
      <c r="P891" s="421" t="n"/>
    </row>
    <row r="892">
      <c r="P892" s="421" t="n"/>
    </row>
    <row r="893">
      <c r="P893" s="421" t="n"/>
    </row>
    <row r="894">
      <c r="P894" s="421" t="n"/>
    </row>
    <row r="895">
      <c r="P895" s="421" t="n"/>
    </row>
    <row r="896">
      <c r="P896" s="421" t="n"/>
    </row>
    <row r="897">
      <c r="P897" s="421" t="n"/>
    </row>
    <row r="898">
      <c r="P898" s="421" t="n"/>
    </row>
    <row r="899">
      <c r="P899" s="421" t="n"/>
    </row>
    <row r="900">
      <c r="P900" s="421" t="n"/>
    </row>
    <row r="901">
      <c r="P901" s="421" t="n"/>
    </row>
    <row r="902">
      <c r="P902" s="421" t="n"/>
    </row>
    <row r="903">
      <c r="P903" s="421" t="n"/>
    </row>
    <row r="904">
      <c r="P904" s="421" t="n"/>
    </row>
    <row r="905">
      <c r="P905" s="421" t="n"/>
    </row>
    <row r="906">
      <c r="P906" s="421" t="n"/>
    </row>
    <row r="907">
      <c r="P907" s="421" t="n"/>
    </row>
    <row r="908">
      <c r="P908" s="421" t="n"/>
    </row>
    <row r="909">
      <c r="P909" s="421" t="n"/>
    </row>
    <row r="910">
      <c r="P910" s="421" t="n"/>
    </row>
    <row r="911">
      <c r="P911" s="421" t="n"/>
    </row>
    <row r="912">
      <c r="P912" s="421" t="n"/>
    </row>
    <row r="913">
      <c r="P913" s="421" t="n"/>
    </row>
    <row r="914">
      <c r="P914" s="421" t="n"/>
    </row>
    <row r="915">
      <c r="P915" s="421" t="n"/>
    </row>
    <row r="916">
      <c r="P916" s="421" t="n"/>
    </row>
    <row r="917">
      <c r="P917" s="421" t="n"/>
    </row>
    <row r="918">
      <c r="P918" s="421" t="n"/>
    </row>
    <row r="919">
      <c r="P919" s="421" t="n"/>
    </row>
    <row r="920">
      <c r="P920" s="421" t="n"/>
    </row>
    <row r="921">
      <c r="P921" s="421" t="n"/>
    </row>
    <row r="922">
      <c r="P922" s="421" t="n"/>
    </row>
    <row r="923">
      <c r="P923" s="421" t="n"/>
    </row>
    <row r="924">
      <c r="P924" s="421" t="n"/>
    </row>
    <row r="925">
      <c r="P925" s="421" t="n"/>
    </row>
    <row r="926">
      <c r="P926" s="421" t="n"/>
    </row>
    <row r="927">
      <c r="P927" s="421" t="n"/>
    </row>
    <row r="928">
      <c r="P928" s="421" t="n"/>
    </row>
    <row r="929">
      <c r="P929" s="421" t="n"/>
    </row>
    <row r="930">
      <c r="P930" s="421" t="n"/>
    </row>
    <row r="931">
      <c r="P931" s="421" t="n"/>
    </row>
    <row r="932">
      <c r="P932" s="421" t="n"/>
    </row>
    <row r="933">
      <c r="P933" s="421" t="n"/>
    </row>
    <row r="934">
      <c r="P934" s="421" t="n"/>
    </row>
    <row r="935">
      <c r="P935" s="421" t="n"/>
    </row>
    <row r="936">
      <c r="P936" s="421" t="n"/>
    </row>
    <row r="937">
      <c r="P937" s="421" t="n"/>
    </row>
    <row r="938">
      <c r="P938" s="421" t="n"/>
    </row>
    <row r="939">
      <c r="P939" s="421" t="n"/>
    </row>
    <row r="940">
      <c r="P940" s="421" t="n"/>
    </row>
    <row r="941">
      <c r="P941" s="421" t="n"/>
    </row>
    <row r="942">
      <c r="P942" s="421" t="n"/>
    </row>
    <row r="943">
      <c r="P943" s="421" t="n"/>
    </row>
    <row r="944">
      <c r="P944" s="421" t="n"/>
    </row>
    <row r="945">
      <c r="P945" s="421" t="n"/>
    </row>
    <row r="946">
      <c r="P946" s="421" t="n"/>
    </row>
    <row r="947">
      <c r="P947" s="421" t="n"/>
    </row>
    <row r="948">
      <c r="P948" s="421" t="n"/>
    </row>
    <row r="949">
      <c r="P949" s="421" t="n"/>
    </row>
    <row r="950">
      <c r="P950" s="421" t="n"/>
    </row>
    <row r="951">
      <c r="P951" s="421" t="n"/>
    </row>
    <row r="952">
      <c r="P952" s="421" t="n"/>
    </row>
    <row r="953">
      <c r="P953" s="421" t="n"/>
    </row>
    <row r="954">
      <c r="P954" s="421" t="n"/>
    </row>
    <row r="955">
      <c r="P955" s="421" t="n"/>
    </row>
    <row r="956">
      <c r="P956" s="421" t="n"/>
    </row>
    <row r="957">
      <c r="P957" s="421" t="n"/>
    </row>
    <row r="958">
      <c r="P958" s="421" t="n"/>
    </row>
    <row r="959">
      <c r="P959" s="421" t="n"/>
    </row>
    <row r="960">
      <c r="P960" s="421" t="n"/>
    </row>
    <row r="961">
      <c r="P961" s="421" t="n"/>
    </row>
    <row r="962">
      <c r="P962" s="421" t="n"/>
    </row>
    <row r="963">
      <c r="P963" s="421" t="n"/>
    </row>
    <row r="964">
      <c r="P964" s="421" t="n"/>
    </row>
    <row r="965">
      <c r="P965" s="421" t="n"/>
    </row>
    <row r="966">
      <c r="P966" s="421" t="n"/>
    </row>
    <row r="967">
      <c r="P967" s="421" t="n"/>
    </row>
    <row r="968">
      <c r="P968" s="421" t="n"/>
    </row>
    <row r="969">
      <c r="P969" s="421" t="n"/>
    </row>
    <row r="970">
      <c r="P970" s="421" t="n"/>
    </row>
    <row r="971">
      <c r="P971" s="421" t="n"/>
    </row>
    <row r="972">
      <c r="P972" s="421" t="n"/>
    </row>
    <row r="973">
      <c r="P973" s="421" t="n"/>
    </row>
    <row r="974">
      <c r="P974" s="421" t="n"/>
    </row>
    <row r="975">
      <c r="P975" s="421" t="n"/>
    </row>
    <row r="976">
      <c r="P976" s="421" t="n"/>
    </row>
    <row r="977">
      <c r="P977" s="421" t="n"/>
    </row>
    <row r="978">
      <c r="P978" s="421" t="n"/>
    </row>
    <row r="979">
      <c r="P979" s="421" t="n"/>
    </row>
    <row r="980">
      <c r="P980" s="421" t="n"/>
    </row>
    <row r="981">
      <c r="P981" s="421" t="n"/>
    </row>
    <row r="982">
      <c r="P982" s="421" t="n"/>
    </row>
    <row r="983">
      <c r="P983" s="421" t="n"/>
    </row>
    <row r="984">
      <c r="P984" s="421" t="n"/>
    </row>
    <row r="985">
      <c r="P985" s="421" t="n"/>
    </row>
    <row r="986">
      <c r="P986" s="421" t="n"/>
    </row>
    <row r="987">
      <c r="P987" s="421" t="n"/>
    </row>
    <row r="988">
      <c r="P988" s="421" t="n"/>
    </row>
    <row r="989">
      <c r="P989" s="421" t="n"/>
    </row>
    <row r="990">
      <c r="P990" s="421" t="n"/>
    </row>
    <row r="991">
      <c r="P991" s="421" t="n"/>
    </row>
    <row r="992">
      <c r="P992" s="421" t="n"/>
    </row>
    <row r="993">
      <c r="P993" s="421" t="n"/>
    </row>
    <row r="994">
      <c r="P994" s="421" t="n"/>
    </row>
    <row r="995">
      <c r="P995" s="421" t="n"/>
    </row>
    <row r="996">
      <c r="P996" s="421" t="n"/>
    </row>
    <row r="997">
      <c r="P997" s="421" t="n"/>
    </row>
    <row r="998">
      <c r="P998" s="421" t="n"/>
    </row>
    <row r="999">
      <c r="P999" s="421" t="n"/>
    </row>
    <row r="1000">
      <c r="P1000" s="421" t="n"/>
    </row>
    <row r="1001">
      <c r="P1001" s="421" t="n"/>
    </row>
    <row r="1002">
      <c r="P1002" s="421" t="n"/>
    </row>
    <row r="1003">
      <c r="P1003" s="421" t="n"/>
    </row>
    <row r="1004">
      <c r="P1004" s="421" t="n"/>
    </row>
    <row r="1005">
      <c r="P1005" s="421" t="n"/>
    </row>
    <row r="1006">
      <c r="P1006" s="421" t="n"/>
    </row>
    <row r="1007">
      <c r="P1007" s="421" t="n"/>
    </row>
    <row r="1008">
      <c r="P1008" s="421" t="n"/>
    </row>
    <row r="1009">
      <c r="P1009" s="421" t="n"/>
    </row>
    <row r="1010">
      <c r="P1010" s="421" t="n"/>
    </row>
    <row r="1011">
      <c r="P1011" s="421" t="n"/>
    </row>
    <row r="1012">
      <c r="P1012" s="421" t="n"/>
    </row>
    <row r="1013">
      <c r="P1013" s="421" t="n"/>
    </row>
    <row r="1014">
      <c r="P1014" s="421" t="n"/>
    </row>
    <row r="1015">
      <c r="P1015" s="421" t="n"/>
    </row>
    <row r="1016">
      <c r="P1016" s="421" t="n"/>
    </row>
    <row r="1017">
      <c r="P1017" s="421" t="n"/>
    </row>
    <row r="1018">
      <c r="P1018" s="421" t="n"/>
    </row>
    <row r="1019">
      <c r="P1019" s="421" t="n"/>
    </row>
    <row r="1020">
      <c r="P1020" s="421" t="n"/>
    </row>
    <row r="1021">
      <c r="P1021" s="421" t="n"/>
    </row>
    <row r="1022">
      <c r="P1022" s="421" t="n"/>
    </row>
    <row r="1023">
      <c r="P1023" s="421" t="n"/>
    </row>
    <row r="1024">
      <c r="P1024" s="421" t="n"/>
    </row>
    <row r="1025">
      <c r="P1025" s="421" t="n"/>
    </row>
    <row r="1026">
      <c r="P1026" s="421" t="n"/>
    </row>
    <row r="1027">
      <c r="P1027" s="421" t="n"/>
    </row>
    <row r="1028">
      <c r="P1028" s="421" t="n"/>
    </row>
    <row r="1029">
      <c r="P1029" s="421" t="n"/>
    </row>
    <row r="1030">
      <c r="P1030" s="421" t="n"/>
    </row>
    <row r="1031">
      <c r="P1031" s="421" t="n"/>
    </row>
    <row r="1032">
      <c r="P1032" s="421" t="n"/>
    </row>
    <row r="1033">
      <c r="P1033" s="421" t="n"/>
    </row>
    <row r="1034">
      <c r="P1034" s="421" t="n"/>
    </row>
    <row r="1035">
      <c r="P1035" s="421" t="n"/>
    </row>
    <row r="1036">
      <c r="P1036" s="421" t="n"/>
    </row>
    <row r="1037">
      <c r="P1037" s="421" t="n"/>
    </row>
    <row r="1038">
      <c r="P1038" s="421" t="n"/>
    </row>
    <row r="1039">
      <c r="P1039" s="421" t="n"/>
    </row>
    <row r="1040">
      <c r="P1040" s="421" t="n"/>
    </row>
    <row r="1041">
      <c r="P1041" s="421" t="n"/>
    </row>
    <row r="1042">
      <c r="P1042" s="421" t="n"/>
    </row>
    <row r="1043">
      <c r="P1043" s="421" t="n"/>
    </row>
    <row r="1044">
      <c r="P1044" s="421" t="n"/>
    </row>
    <row r="1045">
      <c r="P1045" s="421" t="n"/>
    </row>
    <row r="1046">
      <c r="P1046" s="421" t="n"/>
    </row>
    <row r="1047">
      <c r="P1047" s="421" t="n"/>
    </row>
    <row r="1048">
      <c r="P1048" s="421" t="n"/>
    </row>
    <row r="1049">
      <c r="P1049" s="421" t="n"/>
    </row>
    <row r="1050">
      <c r="P1050" s="421" t="n"/>
    </row>
    <row r="1051">
      <c r="P1051" s="421" t="n"/>
    </row>
    <row r="1052">
      <c r="P1052" s="421" t="n"/>
    </row>
    <row r="1053">
      <c r="P1053" s="421" t="n"/>
    </row>
    <row r="1054">
      <c r="P1054" s="421" t="n"/>
    </row>
    <row r="1055">
      <c r="P1055" s="421" t="n"/>
    </row>
    <row r="1056">
      <c r="P1056" s="421" t="n"/>
    </row>
    <row r="1057">
      <c r="P1057" s="421" t="n"/>
    </row>
    <row r="1058">
      <c r="P1058" s="421" t="n"/>
    </row>
    <row r="1059">
      <c r="P1059" s="421" t="n"/>
    </row>
    <row r="1060">
      <c r="P1060" s="421" t="n"/>
    </row>
    <row r="1061">
      <c r="P1061" s="421" t="n"/>
    </row>
    <row r="1062">
      <c r="P1062" s="421" t="n"/>
    </row>
    <row r="1063">
      <c r="P1063" s="421" t="n"/>
    </row>
    <row r="1064">
      <c r="P1064" s="421" t="n"/>
    </row>
    <row r="1065">
      <c r="P1065" s="421" t="n"/>
    </row>
    <row r="1066">
      <c r="P1066" s="421" t="n"/>
    </row>
    <row r="1067">
      <c r="P1067" s="421" t="n"/>
    </row>
    <row r="1068">
      <c r="P1068" s="421" t="n"/>
    </row>
    <row r="1069">
      <c r="P1069" s="421" t="n"/>
    </row>
    <row r="1070">
      <c r="P1070" s="421" t="n"/>
    </row>
    <row r="1071">
      <c r="P1071" s="421" t="n"/>
    </row>
    <row r="1072">
      <c r="P1072" s="421" t="n"/>
    </row>
    <row r="1073">
      <c r="P1073" s="421" t="n"/>
    </row>
    <row r="1074">
      <c r="P1074" s="421" t="n"/>
    </row>
    <row r="1075">
      <c r="P1075" s="421" t="n"/>
    </row>
    <row r="1076">
      <c r="P1076" s="421" t="n"/>
    </row>
    <row r="1077">
      <c r="P1077" s="421" t="n"/>
    </row>
    <row r="1078">
      <c r="P1078" s="421" t="n"/>
    </row>
    <row r="1079">
      <c r="P1079" s="421" t="n"/>
    </row>
    <row r="1080">
      <c r="P1080" s="421" t="n"/>
    </row>
    <row r="1081">
      <c r="P1081" s="421" t="n"/>
    </row>
    <row r="1082">
      <c r="P1082" s="421" t="n"/>
    </row>
    <row r="1083">
      <c r="P1083" s="421" t="n"/>
    </row>
    <row r="1084">
      <c r="P1084" s="421" t="n"/>
    </row>
    <row r="1085">
      <c r="P1085" s="421" t="n"/>
    </row>
    <row r="1086">
      <c r="P1086" s="421" t="n"/>
    </row>
    <row r="1087">
      <c r="P1087" s="421" t="n"/>
    </row>
    <row r="1088">
      <c r="P1088" s="421" t="n"/>
    </row>
    <row r="1089">
      <c r="P1089" s="421" t="n"/>
    </row>
    <row r="1090">
      <c r="P1090" s="421" t="n"/>
    </row>
    <row r="1091">
      <c r="P1091" s="421" t="n"/>
    </row>
    <row r="1092">
      <c r="P1092" s="421" t="n"/>
    </row>
    <row r="1093">
      <c r="P1093" s="421" t="n"/>
    </row>
    <row r="1094">
      <c r="P1094" s="421" t="n"/>
    </row>
    <row r="1095">
      <c r="P1095" s="421" t="n"/>
    </row>
    <row r="1096">
      <c r="P1096" s="421" t="n"/>
    </row>
    <row r="1097">
      <c r="P1097" s="421" t="n"/>
    </row>
    <row r="1098">
      <c r="P1098" s="421" t="n"/>
    </row>
    <row r="1099">
      <c r="P1099" s="421" t="n"/>
    </row>
    <row r="1100">
      <c r="P1100" s="421" t="n"/>
    </row>
    <row r="1101">
      <c r="P1101" s="421" t="n"/>
    </row>
    <row r="1102">
      <c r="P1102" s="421" t="n"/>
    </row>
    <row r="1103">
      <c r="P1103" s="421" t="n"/>
    </row>
    <row r="1104">
      <c r="P1104" s="421" t="n"/>
    </row>
    <row r="1105">
      <c r="P1105" s="421" t="n"/>
    </row>
    <row r="1106">
      <c r="P1106" s="421" t="n"/>
    </row>
    <row r="1107">
      <c r="P1107" s="421" t="n"/>
    </row>
    <row r="1108">
      <c r="P1108" s="421" t="n"/>
    </row>
    <row r="1109">
      <c r="P1109" s="421" t="n"/>
    </row>
    <row r="1110">
      <c r="P1110" s="421" t="n"/>
    </row>
    <row r="1111">
      <c r="P1111" s="421" t="n"/>
    </row>
    <row r="1112">
      <c r="P1112" s="421" t="n"/>
    </row>
    <row r="1113">
      <c r="P1113" s="421" t="n"/>
    </row>
    <row r="1114">
      <c r="P1114" s="421" t="n"/>
    </row>
    <row r="1115">
      <c r="P1115" s="421" t="n"/>
    </row>
    <row r="1116">
      <c r="P1116" s="421" t="n"/>
    </row>
    <row r="1117">
      <c r="P1117" s="421" t="n"/>
    </row>
    <row r="1118">
      <c r="P1118" s="421" t="n"/>
    </row>
    <row r="1119">
      <c r="P1119" s="421" t="n"/>
    </row>
    <row r="1120">
      <c r="P1120" s="421" t="n"/>
    </row>
    <row r="1121">
      <c r="P1121" s="421" t="n"/>
    </row>
    <row r="1122">
      <c r="P1122" s="421" t="n"/>
    </row>
    <row r="1123">
      <c r="P1123" s="421" t="n"/>
    </row>
    <row r="1124">
      <c r="P1124" s="421" t="n"/>
    </row>
    <row r="1125">
      <c r="P1125" s="421" t="n"/>
    </row>
    <row r="1126">
      <c r="P1126" s="421" t="n"/>
    </row>
    <row r="1127">
      <c r="P1127" s="421" t="n"/>
    </row>
    <row r="1128">
      <c r="P1128" s="421" t="n"/>
    </row>
    <row r="1129">
      <c r="P1129" s="421" t="n"/>
    </row>
    <row r="1130">
      <c r="P1130" s="421" t="n"/>
    </row>
    <row r="1131">
      <c r="P1131" s="421" t="n"/>
    </row>
    <row r="1132">
      <c r="P1132" s="421" t="n"/>
    </row>
    <row r="1133">
      <c r="P1133" s="421" t="n"/>
    </row>
    <row r="1134">
      <c r="P1134" s="421" t="n"/>
    </row>
    <row r="1135">
      <c r="P1135" s="421" t="n"/>
    </row>
    <row r="1136">
      <c r="P1136" s="421" t="n"/>
    </row>
    <row r="1137">
      <c r="P1137" s="421" t="n"/>
    </row>
    <row r="1138">
      <c r="P1138" s="421" t="n"/>
    </row>
    <row r="1139">
      <c r="P1139" s="421" t="n"/>
    </row>
    <row r="1140">
      <c r="P1140" s="421" t="n"/>
    </row>
    <row r="1141">
      <c r="P1141" s="421" t="n"/>
    </row>
    <row r="1142">
      <c r="P1142" s="421" t="n"/>
    </row>
    <row r="1143">
      <c r="P1143" s="421" t="n"/>
    </row>
    <row r="1144">
      <c r="P1144" s="421" t="n"/>
    </row>
    <row r="1145">
      <c r="P1145" s="421" t="n"/>
    </row>
    <row r="1146">
      <c r="P1146" s="421" t="n"/>
    </row>
    <row r="1147">
      <c r="P1147" s="421" t="n"/>
    </row>
    <row r="1148">
      <c r="P1148" s="421" t="n"/>
    </row>
    <row r="1149">
      <c r="P1149" s="421" t="n"/>
    </row>
    <row r="1150">
      <c r="P1150" s="421" t="n"/>
    </row>
    <row r="1151">
      <c r="P1151" s="421" t="n"/>
    </row>
    <row r="1152">
      <c r="P1152" s="421" t="n"/>
    </row>
    <row r="1153">
      <c r="P1153" s="421" t="n"/>
    </row>
    <row r="1154">
      <c r="P1154" s="421" t="n"/>
    </row>
    <row r="1155">
      <c r="P1155" s="421" t="n"/>
    </row>
    <row r="1156">
      <c r="P1156" s="421" t="n"/>
    </row>
    <row r="1157">
      <c r="P1157" s="421" t="n"/>
    </row>
    <row r="1158">
      <c r="P1158" s="421" t="n"/>
    </row>
    <row r="1159">
      <c r="P1159" s="421" t="n"/>
    </row>
    <row r="1160">
      <c r="P1160" s="421" t="n"/>
    </row>
    <row r="1161">
      <c r="P1161" s="421" t="n"/>
    </row>
    <row r="1162">
      <c r="P1162" s="421" t="n"/>
    </row>
    <row r="1163">
      <c r="P1163" s="421" t="n"/>
    </row>
    <row r="1164">
      <c r="P1164" s="421" t="n"/>
    </row>
    <row r="1165">
      <c r="P1165" s="421" t="n"/>
    </row>
    <row r="1166">
      <c r="P1166" s="421" t="n"/>
    </row>
    <row r="1167">
      <c r="P1167" s="421" t="n"/>
    </row>
    <row r="1168">
      <c r="P1168" s="421" t="n"/>
    </row>
    <row r="1169">
      <c r="P1169" s="421" t="n"/>
    </row>
    <row r="1170">
      <c r="P1170" s="421" t="n"/>
    </row>
    <row r="1171">
      <c r="P1171" s="421" t="n"/>
    </row>
    <row r="1172">
      <c r="P1172" s="421" t="n"/>
    </row>
    <row r="1173">
      <c r="P1173" s="421" t="n"/>
    </row>
    <row r="1174">
      <c r="P1174" s="421" t="n"/>
    </row>
    <row r="1175">
      <c r="P1175" s="421" t="n"/>
    </row>
    <row r="1176">
      <c r="P1176" s="421" t="n"/>
    </row>
    <row r="1177">
      <c r="P1177" s="421" t="n"/>
    </row>
    <row r="1178">
      <c r="P1178" s="421" t="n"/>
    </row>
    <row r="1179">
      <c r="P1179" s="421" t="n"/>
    </row>
    <row r="1180">
      <c r="P1180" s="421" t="n"/>
    </row>
    <row r="1181">
      <c r="P1181" s="421" t="n"/>
    </row>
    <row r="1182">
      <c r="P1182" s="421" t="n"/>
    </row>
    <row r="1183">
      <c r="P1183" s="421" t="n"/>
    </row>
    <row r="1184">
      <c r="P1184" s="421" t="n"/>
    </row>
    <row r="1185">
      <c r="P1185" s="421" t="n"/>
    </row>
    <row r="1186">
      <c r="P1186" s="421" t="n"/>
    </row>
    <row r="1187">
      <c r="P1187" s="421" t="n"/>
    </row>
    <row r="1188">
      <c r="P1188" s="421" t="n"/>
    </row>
    <row r="1189">
      <c r="P1189" s="421" t="n"/>
    </row>
    <row r="1190">
      <c r="P1190" s="421" t="n"/>
    </row>
    <row r="1191">
      <c r="P1191" s="421" t="n"/>
    </row>
    <row r="1192">
      <c r="P1192" s="421" t="n"/>
    </row>
    <row r="1193">
      <c r="P1193" s="421" t="n"/>
    </row>
    <row r="1194">
      <c r="P1194" s="421" t="n"/>
    </row>
    <row r="1195">
      <c r="P1195" s="421" t="n"/>
    </row>
    <row r="1196">
      <c r="P1196" s="421" t="n"/>
    </row>
    <row r="1197">
      <c r="P1197" s="421" t="n"/>
    </row>
    <row r="1198">
      <c r="P1198" s="421" t="n"/>
    </row>
    <row r="1199">
      <c r="P1199" s="421" t="n"/>
    </row>
    <row r="1200">
      <c r="P1200" s="421" t="n"/>
    </row>
    <row r="1201">
      <c r="P1201" s="421" t="n"/>
    </row>
    <row r="1202">
      <c r="P1202" s="421" t="n"/>
    </row>
    <row r="1203">
      <c r="P1203" s="421" t="n"/>
    </row>
    <row r="1204">
      <c r="P1204" s="421" t="n"/>
    </row>
    <row r="1205">
      <c r="P1205" s="421" t="n"/>
    </row>
    <row r="1206">
      <c r="P1206" s="421" t="n"/>
    </row>
    <row r="1207">
      <c r="P1207" s="421" t="n"/>
    </row>
    <row r="1208">
      <c r="P1208" s="421" t="n"/>
    </row>
    <row r="1209">
      <c r="P1209" s="421" t="n"/>
    </row>
    <row r="1210">
      <c r="P1210" s="421" t="n"/>
    </row>
    <row r="1211">
      <c r="P1211" s="421" t="n"/>
    </row>
    <row r="1212">
      <c r="P1212" s="421" t="n"/>
    </row>
    <row r="1213">
      <c r="P1213" s="421" t="n"/>
    </row>
    <row r="1214">
      <c r="P1214" s="421" t="n"/>
    </row>
    <row r="1215">
      <c r="P1215" s="421" t="n"/>
    </row>
    <row r="1216">
      <c r="P1216" s="421" t="n"/>
    </row>
    <row r="1217">
      <c r="P1217" s="421" t="n"/>
    </row>
    <row r="1218">
      <c r="P1218" s="421" t="n"/>
    </row>
    <row r="1219">
      <c r="P1219" s="421" t="n"/>
    </row>
    <row r="1220">
      <c r="P1220" s="421" t="n"/>
    </row>
    <row r="1221">
      <c r="P1221" s="421" t="n"/>
    </row>
    <row r="1222">
      <c r="P1222" s="421" t="n"/>
    </row>
    <row r="1223">
      <c r="P1223" s="421" t="n"/>
    </row>
    <row r="1224">
      <c r="P1224" s="421" t="n"/>
    </row>
    <row r="1225">
      <c r="P1225" s="421" t="n"/>
    </row>
    <row r="1226">
      <c r="P1226" s="421" t="n"/>
    </row>
    <row r="1227">
      <c r="P1227" s="421" t="n"/>
    </row>
    <row r="1228">
      <c r="P1228" s="421" t="n"/>
    </row>
    <row r="1229">
      <c r="P1229" s="421" t="n"/>
    </row>
    <row r="1230">
      <c r="P1230" s="421" t="n"/>
    </row>
    <row r="1231">
      <c r="P1231" s="421" t="n"/>
    </row>
    <row r="1232">
      <c r="P1232" s="421" t="n"/>
    </row>
    <row r="1233">
      <c r="P1233" s="421" t="n"/>
    </row>
    <row r="1234">
      <c r="P1234" s="421" t="n"/>
    </row>
    <row r="1235">
      <c r="P1235" s="421" t="n"/>
    </row>
    <row r="1236">
      <c r="P1236" s="421" t="n"/>
    </row>
    <row r="1237">
      <c r="P1237" s="421" t="n"/>
    </row>
    <row r="1238">
      <c r="P1238" s="421" t="n"/>
    </row>
    <row r="1239">
      <c r="P1239" s="421" t="n"/>
    </row>
    <row r="1240">
      <c r="P1240" s="421" t="n"/>
    </row>
    <row r="1241">
      <c r="P1241" s="421" t="n"/>
    </row>
    <row r="1242">
      <c r="P1242" s="421" t="n"/>
    </row>
    <row r="1243">
      <c r="P1243" s="421" t="n"/>
    </row>
    <row r="1244">
      <c r="P1244" s="421" t="n"/>
    </row>
    <row r="1245">
      <c r="P1245" s="421" t="n"/>
    </row>
    <row r="1246">
      <c r="P1246" s="421" t="n"/>
    </row>
    <row r="1247">
      <c r="P1247" s="421" t="n"/>
    </row>
    <row r="1248">
      <c r="P1248" s="421" t="n"/>
    </row>
    <row r="1249">
      <c r="P1249" s="421" t="n"/>
    </row>
    <row r="1250">
      <c r="P1250" s="421" t="n"/>
    </row>
    <row r="1251">
      <c r="P1251" s="421" t="n"/>
    </row>
    <row r="1252">
      <c r="P1252" s="421" t="n"/>
    </row>
    <row r="1253">
      <c r="P1253" s="421" t="n"/>
    </row>
    <row r="1254">
      <c r="P1254" s="421" t="n"/>
    </row>
    <row r="1255">
      <c r="P1255" s="421" t="n"/>
    </row>
    <row r="1256">
      <c r="P1256" s="421" t="n"/>
    </row>
    <row r="1257">
      <c r="P1257" s="421" t="n"/>
    </row>
    <row r="1258">
      <c r="P1258" s="421" t="n"/>
    </row>
    <row r="1259">
      <c r="P1259" s="421" t="n"/>
    </row>
    <row r="1260">
      <c r="P1260" s="421" t="n"/>
    </row>
    <row r="1261">
      <c r="P1261" s="421" t="n"/>
    </row>
    <row r="1262">
      <c r="P1262" s="421" t="n"/>
    </row>
    <row r="1263">
      <c r="P1263" s="421" t="n"/>
    </row>
    <row r="1264">
      <c r="P1264" s="421" t="n"/>
    </row>
    <row r="1265">
      <c r="P1265" s="421" t="n"/>
    </row>
    <row r="1266">
      <c r="P1266" s="421" t="n"/>
    </row>
    <row r="1267">
      <c r="P1267" s="421" t="n"/>
    </row>
    <row r="1268">
      <c r="P1268" s="421" t="n"/>
    </row>
    <row r="1269">
      <c r="P1269" s="421" t="n"/>
    </row>
    <row r="1270">
      <c r="P1270" s="421" t="n"/>
    </row>
    <row r="1271">
      <c r="P1271" s="421" t="n"/>
    </row>
    <row r="1272">
      <c r="P1272" s="421" t="n"/>
    </row>
    <row r="1273">
      <c r="P1273" s="421" t="n"/>
    </row>
    <row r="1274">
      <c r="P1274" s="421" t="n"/>
    </row>
    <row r="1275">
      <c r="P1275" s="421" t="n"/>
    </row>
    <row r="1276">
      <c r="P1276" s="421" t="n"/>
    </row>
    <row r="1277">
      <c r="P1277" s="421" t="n"/>
    </row>
    <row r="1278">
      <c r="P1278" s="421" t="n"/>
    </row>
    <row r="1279">
      <c r="P1279" s="421" t="n"/>
    </row>
    <row r="1280">
      <c r="P1280" s="421" t="n"/>
    </row>
    <row r="1281">
      <c r="P1281" s="421" t="n"/>
    </row>
    <row r="1282">
      <c r="P1282" s="421" t="n"/>
    </row>
    <row r="1283">
      <c r="P1283" s="421" t="n"/>
    </row>
    <row r="1284">
      <c r="P1284" s="421" t="n"/>
    </row>
    <row r="1285">
      <c r="P1285" s="421" t="n"/>
    </row>
    <row r="1286">
      <c r="P1286" s="421" t="n"/>
    </row>
    <row r="1287">
      <c r="P1287" s="421" t="n"/>
    </row>
    <row r="1288">
      <c r="P1288" s="421" t="n"/>
    </row>
    <row r="1289">
      <c r="P1289" s="421" t="n"/>
    </row>
    <row r="1290">
      <c r="P1290" s="421" t="n"/>
    </row>
    <row r="1291">
      <c r="P1291" s="421" t="n"/>
    </row>
    <row r="1292">
      <c r="P1292" s="421" t="n"/>
    </row>
    <row r="1293">
      <c r="P1293" s="421" t="n"/>
    </row>
    <row r="1294">
      <c r="P1294" s="421" t="n"/>
    </row>
    <row r="1295">
      <c r="P1295" s="421" t="n"/>
    </row>
    <row r="1296">
      <c r="P1296" s="421" t="n"/>
    </row>
    <row r="1297">
      <c r="P1297" s="421" t="n"/>
    </row>
    <row r="1298">
      <c r="P1298" s="421" t="n"/>
    </row>
    <row r="1299">
      <c r="P1299" s="421" t="n"/>
    </row>
    <row r="1300">
      <c r="P1300" s="421" t="n"/>
    </row>
    <row r="1301">
      <c r="P1301" s="421" t="n"/>
    </row>
    <row r="1302">
      <c r="P1302" s="421" t="n"/>
    </row>
    <row r="1303">
      <c r="P1303" s="421" t="n"/>
    </row>
    <row r="1304">
      <c r="P1304" s="421" t="n"/>
    </row>
    <row r="1305">
      <c r="P1305" s="421" t="n"/>
    </row>
    <row r="1306">
      <c r="P1306" s="421" t="n"/>
    </row>
    <row r="1307">
      <c r="P1307" s="421" t="n"/>
    </row>
    <row r="1308">
      <c r="P1308" s="421" t="n"/>
    </row>
    <row r="1309">
      <c r="P1309" s="421" t="n"/>
    </row>
    <row r="1310">
      <c r="P1310" s="421" t="n"/>
    </row>
    <row r="1311">
      <c r="P1311" s="421" t="n"/>
    </row>
    <row r="1312">
      <c r="P1312" s="421" t="n"/>
    </row>
    <row r="1313">
      <c r="P1313" s="421" t="n"/>
    </row>
    <row r="1314">
      <c r="P1314" s="421" t="n"/>
    </row>
    <row r="1315">
      <c r="P1315" s="421" t="n"/>
    </row>
    <row r="1316">
      <c r="P1316" s="421" t="n"/>
    </row>
    <row r="1317">
      <c r="P1317" s="421" t="n"/>
    </row>
    <row r="1318">
      <c r="P1318" s="421" t="n"/>
    </row>
    <row r="1319">
      <c r="P1319" s="421" t="n"/>
    </row>
    <row r="1320">
      <c r="P1320" s="421" t="n"/>
    </row>
    <row r="1321">
      <c r="P1321" s="421" t="n"/>
    </row>
    <row r="1322">
      <c r="P1322" s="421" t="n"/>
    </row>
    <row r="1323">
      <c r="P1323" s="421" t="n"/>
    </row>
    <row r="1324">
      <c r="P1324" s="421" t="n"/>
    </row>
    <row r="1325">
      <c r="P1325" s="421" t="n"/>
    </row>
    <row r="1326">
      <c r="P1326" s="421" t="n"/>
    </row>
    <row r="1327">
      <c r="P1327" s="421" t="n"/>
    </row>
    <row r="1328">
      <c r="P1328" s="421" t="n"/>
    </row>
    <row r="1329">
      <c r="P1329" s="421" t="n"/>
    </row>
    <row r="1330">
      <c r="P1330" s="421" t="n"/>
    </row>
    <row r="1331">
      <c r="P1331" s="421" t="n"/>
    </row>
    <row r="1332">
      <c r="P1332" s="421" t="n"/>
    </row>
    <row r="1333">
      <c r="P1333" s="421" t="n"/>
    </row>
    <row r="1334">
      <c r="P1334" s="421" t="n"/>
    </row>
    <row r="1335">
      <c r="P1335" s="421" t="n"/>
    </row>
    <row r="1336">
      <c r="P1336" s="421" t="n"/>
    </row>
    <row r="1337">
      <c r="P1337" s="421" t="n"/>
    </row>
    <row r="1338">
      <c r="P1338" s="421" t="n"/>
    </row>
    <row r="1339">
      <c r="P1339" s="421" t="n"/>
    </row>
    <row r="1340">
      <c r="P1340" s="421" t="n"/>
    </row>
    <row r="1341">
      <c r="P1341" s="421" t="n"/>
    </row>
    <row r="1342">
      <c r="P1342" s="421" t="n"/>
    </row>
    <row r="1343">
      <c r="P1343" s="421" t="n"/>
    </row>
    <row r="1344">
      <c r="P1344" s="421" t="n"/>
    </row>
    <row r="1345">
      <c r="P1345" s="421" t="n"/>
    </row>
    <row r="1346">
      <c r="P1346" s="421" t="n"/>
    </row>
    <row r="1347">
      <c r="P1347" s="421" t="n"/>
    </row>
    <row r="1348">
      <c r="P1348" s="421" t="n"/>
    </row>
    <row r="1349">
      <c r="P1349" s="421" t="n"/>
    </row>
    <row r="1350">
      <c r="P1350" s="421" t="n"/>
    </row>
    <row r="1351">
      <c r="P1351" s="421" t="n"/>
    </row>
    <row r="1352">
      <c r="P1352" s="421" t="n"/>
    </row>
    <row r="1353">
      <c r="P1353" s="421" t="n"/>
    </row>
    <row r="1354">
      <c r="P1354" s="421" t="n"/>
    </row>
    <row r="1355">
      <c r="P1355" s="421" t="n"/>
    </row>
    <row r="1356">
      <c r="P1356" s="421" t="n"/>
    </row>
    <row r="1357">
      <c r="P1357" s="421" t="n"/>
    </row>
    <row r="1358">
      <c r="P1358" s="421" t="n"/>
    </row>
    <row r="1359">
      <c r="P1359" s="421" t="n"/>
    </row>
    <row r="1360">
      <c r="P1360" s="421" t="n"/>
    </row>
    <row r="1361">
      <c r="P1361" s="421" t="n"/>
    </row>
    <row r="1362">
      <c r="P1362" s="421" t="n"/>
    </row>
    <row r="1363">
      <c r="P1363" s="421" t="n"/>
    </row>
    <row r="1364">
      <c r="P1364" s="421" t="n"/>
    </row>
    <row r="1365">
      <c r="P1365" s="421" t="n"/>
    </row>
    <row r="1366">
      <c r="P1366" s="421" t="n"/>
    </row>
    <row r="1367">
      <c r="P1367" s="421" t="n"/>
    </row>
    <row r="1368">
      <c r="P1368" s="421" t="n"/>
    </row>
    <row r="1369">
      <c r="P1369" s="421" t="n"/>
    </row>
    <row r="1370">
      <c r="P1370" s="421" t="n"/>
    </row>
    <row r="1371">
      <c r="P1371" s="421" t="n"/>
    </row>
    <row r="1372">
      <c r="P1372" s="421" t="n"/>
    </row>
    <row r="1373">
      <c r="P1373" s="421" t="n"/>
    </row>
    <row r="1374">
      <c r="P1374" s="421" t="n"/>
    </row>
    <row r="1375">
      <c r="P1375" s="421" t="n"/>
    </row>
    <row r="1376">
      <c r="P1376" s="421" t="n"/>
    </row>
    <row r="1377">
      <c r="P1377" s="421" t="n"/>
    </row>
    <row r="1378">
      <c r="P1378" s="421" t="n"/>
    </row>
    <row r="1379">
      <c r="P1379" s="421" t="n"/>
    </row>
    <row r="1380">
      <c r="P1380" s="421" t="n"/>
    </row>
    <row r="1381">
      <c r="P1381" s="421" t="n"/>
    </row>
    <row r="1382">
      <c r="P1382" s="421" t="n"/>
    </row>
    <row r="1383">
      <c r="P1383" s="421" t="n"/>
    </row>
    <row r="1384">
      <c r="P1384" s="421" t="n"/>
    </row>
    <row r="1385">
      <c r="P1385" s="421" t="n"/>
    </row>
    <row r="1386">
      <c r="P1386" s="421" t="n"/>
    </row>
    <row r="1387">
      <c r="P1387" s="421" t="n"/>
    </row>
    <row r="1388">
      <c r="P1388" s="421" t="n"/>
    </row>
    <row r="1389">
      <c r="P1389" s="421" t="n"/>
    </row>
    <row r="1390">
      <c r="P1390" s="421" t="n"/>
    </row>
    <row r="1391">
      <c r="P1391" s="421" t="n"/>
    </row>
    <row r="1392">
      <c r="P1392" s="421" t="n"/>
    </row>
    <row r="1393">
      <c r="P1393" s="421" t="n"/>
    </row>
    <row r="1394">
      <c r="P1394" s="421" t="n"/>
    </row>
    <row r="1395">
      <c r="P1395" s="421" t="n"/>
    </row>
    <row r="1396">
      <c r="P1396" s="421" t="n"/>
    </row>
    <row r="1397">
      <c r="P1397" s="421" t="n"/>
    </row>
    <row r="1398">
      <c r="P1398" s="421" t="n"/>
    </row>
    <row r="1399">
      <c r="P1399" s="421" t="n"/>
    </row>
    <row r="1400">
      <c r="P1400" s="421" t="n"/>
    </row>
    <row r="1401">
      <c r="P1401" s="421" t="n"/>
    </row>
    <row r="1402">
      <c r="P1402" s="421" t="n"/>
    </row>
    <row r="1403">
      <c r="P1403" s="421" t="n"/>
    </row>
    <row r="1404">
      <c r="P1404" s="421" t="n"/>
    </row>
    <row r="1405">
      <c r="P1405" s="421" t="n"/>
    </row>
    <row r="1406">
      <c r="P1406" s="421" t="n"/>
    </row>
    <row r="1407">
      <c r="P1407" s="421" t="n"/>
    </row>
    <row r="1408">
      <c r="P1408" s="421" t="n"/>
    </row>
    <row r="1409">
      <c r="P1409" s="421" t="n"/>
    </row>
    <row r="1410">
      <c r="P1410" s="421" t="n"/>
    </row>
    <row r="1411">
      <c r="P1411" s="421" t="n"/>
    </row>
    <row r="1412">
      <c r="P1412" s="421" t="n"/>
    </row>
    <row r="1413">
      <c r="P1413" s="421" t="n"/>
    </row>
    <row r="1414">
      <c r="P1414" s="421" t="n"/>
    </row>
    <row r="1415">
      <c r="P1415" s="421" t="n"/>
    </row>
    <row r="1416">
      <c r="P1416" s="421" t="n"/>
    </row>
    <row r="1417">
      <c r="P1417" s="421" t="n"/>
    </row>
    <row r="1418">
      <c r="P1418" s="421" t="n"/>
    </row>
    <row r="1419">
      <c r="P1419" s="421" t="n"/>
    </row>
    <row r="1420">
      <c r="P1420" s="421" t="n"/>
    </row>
    <row r="1421">
      <c r="P1421" s="421" t="n"/>
    </row>
    <row r="1422">
      <c r="P1422" s="421" t="n"/>
    </row>
    <row r="1423">
      <c r="P1423" s="421" t="n"/>
    </row>
    <row r="1424">
      <c r="P1424" s="421" t="n"/>
    </row>
    <row r="1425">
      <c r="P1425" s="421" t="n"/>
    </row>
    <row r="1426">
      <c r="P1426" s="421" t="n"/>
    </row>
    <row r="1427">
      <c r="P1427" s="421" t="n"/>
    </row>
    <row r="1428">
      <c r="P1428" s="421" t="n"/>
    </row>
    <row r="1429">
      <c r="P1429" s="421" t="n"/>
    </row>
    <row r="1430">
      <c r="P1430" s="421" t="n"/>
    </row>
    <row r="1431">
      <c r="P1431" s="421" t="n"/>
    </row>
    <row r="1432">
      <c r="P1432" s="421" t="n"/>
    </row>
    <row r="1433">
      <c r="P1433" s="421" t="n"/>
    </row>
    <row r="1434">
      <c r="P1434" s="421" t="n"/>
    </row>
    <row r="1435">
      <c r="P1435" s="421" t="n"/>
    </row>
    <row r="1436">
      <c r="P1436" s="421" t="n"/>
    </row>
    <row r="1437">
      <c r="P1437" s="421" t="n"/>
    </row>
    <row r="1438">
      <c r="P1438" s="421" t="n"/>
    </row>
    <row r="1439">
      <c r="P1439" s="421" t="n"/>
    </row>
    <row r="1440">
      <c r="P1440" s="421" t="n"/>
    </row>
    <row r="1441">
      <c r="P1441" s="421" t="n"/>
    </row>
    <row r="1442">
      <c r="P1442" s="421" t="n"/>
    </row>
    <row r="1443">
      <c r="P1443" s="421" t="n"/>
    </row>
    <row r="1444">
      <c r="P1444" s="421" t="n"/>
    </row>
    <row r="1445">
      <c r="P1445" s="421" t="n"/>
    </row>
    <row r="1446">
      <c r="P1446" s="421" t="n"/>
    </row>
    <row r="1447">
      <c r="P1447" s="421" t="n"/>
    </row>
    <row r="1448">
      <c r="P1448" s="421" t="n"/>
    </row>
    <row r="1449">
      <c r="P1449" s="421" t="n"/>
    </row>
    <row r="1450">
      <c r="P1450" s="421" t="n"/>
    </row>
    <row r="1451">
      <c r="P1451" s="421" t="n"/>
    </row>
    <row r="1452">
      <c r="P1452" s="421" t="n"/>
    </row>
    <row r="1453">
      <c r="P1453" s="421" t="n"/>
    </row>
    <row r="1454">
      <c r="P1454" s="421" t="n"/>
    </row>
    <row r="1455">
      <c r="P1455" s="421" t="n"/>
    </row>
    <row r="1456">
      <c r="P1456" s="421" t="n"/>
    </row>
    <row r="1457">
      <c r="P1457" s="421" t="n"/>
    </row>
    <row r="1458">
      <c r="P1458" s="421" t="n"/>
    </row>
    <row r="1459">
      <c r="P1459" s="421" t="n"/>
    </row>
    <row r="1460">
      <c r="P1460" s="421" t="n"/>
    </row>
    <row r="1461">
      <c r="P1461" s="421" t="n"/>
    </row>
    <row r="1462">
      <c r="P1462" s="421" t="n"/>
    </row>
    <row r="1463">
      <c r="P1463" s="421" t="n"/>
    </row>
    <row r="1464">
      <c r="P1464" s="421" t="n"/>
    </row>
    <row r="1465">
      <c r="P1465" s="421" t="n"/>
    </row>
    <row r="1466">
      <c r="P1466" s="421" t="n"/>
    </row>
    <row r="1467">
      <c r="P1467" s="421" t="n"/>
    </row>
    <row r="1468">
      <c r="P1468" s="421" t="n"/>
    </row>
    <row r="1469">
      <c r="P1469" s="421" t="n"/>
    </row>
    <row r="1470">
      <c r="P1470" s="421" t="n"/>
    </row>
    <row r="1471">
      <c r="P1471" s="421" t="n"/>
    </row>
    <row r="1472">
      <c r="P1472" s="421" t="n"/>
    </row>
    <row r="1473">
      <c r="P1473" s="421" t="n"/>
    </row>
    <row r="1474">
      <c r="P1474" s="421" t="n"/>
    </row>
    <row r="1475">
      <c r="P1475" s="421" t="n"/>
    </row>
    <row r="1476">
      <c r="P1476" s="421" t="n"/>
    </row>
    <row r="1477">
      <c r="P1477" s="421" t="n"/>
    </row>
    <row r="1478">
      <c r="P1478" s="421" t="n"/>
    </row>
    <row r="1479">
      <c r="P1479" s="421" t="n"/>
    </row>
    <row r="1480">
      <c r="P1480" s="421" t="n"/>
    </row>
    <row r="1481">
      <c r="P1481" s="421" t="n"/>
    </row>
    <row r="1482">
      <c r="P1482" s="421" t="n"/>
    </row>
    <row r="1483">
      <c r="P1483" s="421" t="n"/>
    </row>
    <row r="1484">
      <c r="P1484" s="421" t="n"/>
    </row>
    <row r="1485">
      <c r="P1485" s="421" t="n"/>
    </row>
    <row r="1486">
      <c r="P1486" s="421" t="n"/>
    </row>
    <row r="1487">
      <c r="P1487" s="421" t="n"/>
    </row>
    <row r="1488">
      <c r="P1488" s="421" t="n"/>
    </row>
    <row r="1489">
      <c r="P1489" s="421" t="n"/>
    </row>
    <row r="1490">
      <c r="P1490" s="421" t="n"/>
    </row>
    <row r="1491">
      <c r="P1491" s="421" t="n"/>
    </row>
    <row r="1492">
      <c r="P1492" s="421" t="n"/>
    </row>
    <row r="1493">
      <c r="P1493" s="421" t="n"/>
    </row>
    <row r="1494">
      <c r="P1494" s="421" t="n"/>
    </row>
    <row r="1495">
      <c r="P1495" s="421" t="n"/>
    </row>
    <row r="1496">
      <c r="P1496" s="421" t="n"/>
    </row>
    <row r="1497">
      <c r="P1497" s="421" t="n"/>
    </row>
    <row r="1498">
      <c r="P1498" s="421" t="n"/>
    </row>
    <row r="1499">
      <c r="P1499" s="421" t="n"/>
    </row>
    <row r="1500">
      <c r="P1500" s="421" t="n"/>
    </row>
    <row r="1501">
      <c r="P1501" s="421" t="n"/>
    </row>
    <row r="1502">
      <c r="P1502" s="421" t="n"/>
    </row>
    <row r="1503">
      <c r="P1503" s="421" t="n"/>
    </row>
    <row r="1504">
      <c r="P1504" s="421" t="n"/>
    </row>
    <row r="1505">
      <c r="P1505" s="421" t="n"/>
    </row>
    <row r="1506">
      <c r="P1506" s="421" t="n"/>
    </row>
    <row r="1507">
      <c r="P1507" s="421" t="n"/>
    </row>
    <row r="1508">
      <c r="P1508" s="421" t="n"/>
    </row>
    <row r="1509">
      <c r="P1509" s="421" t="n"/>
    </row>
    <row r="1510">
      <c r="P1510" s="421" t="n"/>
    </row>
    <row r="1511">
      <c r="P1511" s="421" t="n"/>
    </row>
    <row r="1512">
      <c r="P1512" s="421" t="n"/>
    </row>
    <row r="1513">
      <c r="P1513" s="421" t="n"/>
    </row>
    <row r="1514">
      <c r="P1514" s="421" t="n"/>
    </row>
    <row r="1515">
      <c r="P1515" s="421" t="n"/>
    </row>
    <row r="1516">
      <c r="P1516" s="421" t="n"/>
    </row>
    <row r="1517">
      <c r="P1517" s="421" t="n"/>
    </row>
    <row r="1518">
      <c r="P1518" s="421" t="n"/>
    </row>
    <row r="1519">
      <c r="P1519" s="421" t="n"/>
    </row>
    <row r="1520">
      <c r="P1520" s="421" t="n"/>
    </row>
    <row r="1521">
      <c r="P1521" s="421" t="n"/>
    </row>
    <row r="1522">
      <c r="P1522" s="421" t="n"/>
    </row>
    <row r="1523">
      <c r="P1523" s="421" t="n"/>
    </row>
    <row r="1524">
      <c r="P1524" s="421" t="n"/>
    </row>
    <row r="1525">
      <c r="P1525" s="421" t="n"/>
    </row>
    <row r="1526">
      <c r="P1526" s="421" t="n"/>
    </row>
    <row r="1527">
      <c r="P1527" s="421" t="n"/>
    </row>
    <row r="1528">
      <c r="P1528" s="421" t="n"/>
    </row>
    <row r="1529">
      <c r="P1529" s="421" t="n"/>
    </row>
    <row r="1530">
      <c r="P1530" s="421" t="n"/>
    </row>
    <row r="1531">
      <c r="P1531" s="421" t="n"/>
    </row>
    <row r="1532">
      <c r="P1532" s="421" t="n"/>
    </row>
    <row r="1533">
      <c r="P1533" s="421" t="n"/>
    </row>
    <row r="1534">
      <c r="P1534" s="421" t="n"/>
    </row>
    <row r="1535">
      <c r="P1535" s="421" t="n"/>
    </row>
    <row r="1536">
      <c r="P1536" s="421" t="n"/>
    </row>
    <row r="1537">
      <c r="P1537" s="421" t="n"/>
    </row>
    <row r="1538">
      <c r="P1538" s="421" t="n"/>
    </row>
    <row r="1539">
      <c r="P1539" s="421" t="n"/>
    </row>
    <row r="1540">
      <c r="P1540" s="421" t="n"/>
    </row>
    <row r="1541">
      <c r="P1541" s="421" t="n"/>
    </row>
    <row r="1542">
      <c r="P1542" s="421" t="n"/>
    </row>
    <row r="1543">
      <c r="P1543" s="421" t="n"/>
    </row>
    <row r="1544">
      <c r="P1544" s="421" t="n"/>
    </row>
    <row r="1545">
      <c r="P1545" s="421" t="n"/>
    </row>
    <row r="1546">
      <c r="P1546" s="421" t="n"/>
    </row>
    <row r="1547">
      <c r="P1547" s="421" t="n"/>
    </row>
    <row r="1548">
      <c r="P1548" s="421" t="n"/>
    </row>
    <row r="1549">
      <c r="P1549" s="421" t="n"/>
    </row>
    <row r="1550">
      <c r="P1550" s="421" t="n"/>
    </row>
    <row r="1551">
      <c r="P1551" s="421" t="n"/>
    </row>
    <row r="1552">
      <c r="P1552" s="421" t="n"/>
    </row>
    <row r="1553">
      <c r="P1553" s="421" t="n"/>
    </row>
    <row r="1554">
      <c r="P1554" s="421" t="n"/>
    </row>
    <row r="1555">
      <c r="P1555" s="421" t="n"/>
    </row>
    <row r="1556">
      <c r="P1556" s="421" t="n"/>
    </row>
    <row r="1557">
      <c r="P1557" s="421" t="n"/>
    </row>
    <row r="1558">
      <c r="P1558" s="421" t="n"/>
    </row>
    <row r="1559">
      <c r="P1559" s="421" t="n"/>
    </row>
    <row r="1560">
      <c r="P1560" s="421" t="n"/>
    </row>
    <row r="1561">
      <c r="P1561" s="421" t="n"/>
    </row>
    <row r="1562">
      <c r="P1562" s="421" t="n"/>
    </row>
    <row r="1563">
      <c r="P1563" s="421" t="n"/>
    </row>
    <row r="1564">
      <c r="P1564" s="421" t="n"/>
    </row>
    <row r="1565">
      <c r="P1565" s="421" t="n"/>
    </row>
    <row r="1566">
      <c r="P1566" s="421" t="n"/>
    </row>
    <row r="1567">
      <c r="P1567" s="421" t="n"/>
    </row>
    <row r="1568">
      <c r="P1568" s="421" t="n"/>
    </row>
    <row r="1569">
      <c r="P1569" s="421" t="n"/>
    </row>
    <row r="1570">
      <c r="P1570" s="421" t="n"/>
    </row>
    <row r="1571">
      <c r="P1571" s="421" t="n"/>
    </row>
    <row r="1572">
      <c r="P1572" s="421" t="n"/>
    </row>
    <row r="1573">
      <c r="P1573" s="421" t="n"/>
    </row>
    <row r="1574">
      <c r="P1574" s="421" t="n"/>
    </row>
    <row r="1575">
      <c r="P1575" s="421" t="n"/>
    </row>
    <row r="1576">
      <c r="P1576" s="421" t="n"/>
    </row>
    <row r="1577">
      <c r="P1577" s="421" t="n"/>
    </row>
    <row r="1578">
      <c r="P1578" s="421" t="n"/>
    </row>
    <row r="1579">
      <c r="P1579" s="421" t="n"/>
    </row>
    <row r="1580">
      <c r="P1580" s="421" t="n"/>
    </row>
    <row r="1581">
      <c r="P1581" s="421" t="n"/>
    </row>
    <row r="1582">
      <c r="P1582" s="421" t="n"/>
    </row>
    <row r="1583">
      <c r="P1583" s="421" t="n"/>
    </row>
    <row r="1584">
      <c r="P1584" s="421" t="n"/>
    </row>
    <row r="1585">
      <c r="P1585" s="421" t="n"/>
    </row>
    <row r="1586">
      <c r="P1586" s="421" t="n"/>
    </row>
    <row r="1587">
      <c r="P1587" s="421" t="n"/>
    </row>
    <row r="1588">
      <c r="P1588" s="421" t="n"/>
    </row>
    <row r="1589">
      <c r="P1589" s="421" t="n"/>
    </row>
    <row r="1590">
      <c r="P1590" s="421" t="n"/>
    </row>
    <row r="1591">
      <c r="P1591" s="421" t="n"/>
    </row>
    <row r="1592">
      <c r="P1592" s="421" t="n"/>
    </row>
    <row r="1593">
      <c r="P1593" s="421" t="n"/>
    </row>
    <row r="1594">
      <c r="P1594" s="421" t="n"/>
    </row>
    <row r="1595">
      <c r="P1595" s="421" t="n"/>
    </row>
    <row r="1596">
      <c r="P1596" s="421" t="n"/>
    </row>
    <row r="1597">
      <c r="P1597" s="421" t="n"/>
    </row>
    <row r="1598">
      <c r="P1598" s="421" t="n"/>
    </row>
    <row r="1599">
      <c r="P1599" s="421" t="n"/>
    </row>
    <row r="1600">
      <c r="P1600" s="421" t="n"/>
    </row>
    <row r="1601">
      <c r="P1601" s="421" t="n"/>
    </row>
    <row r="1602">
      <c r="P1602" s="421" t="n"/>
    </row>
    <row r="1603">
      <c r="P1603" s="421" t="n"/>
    </row>
    <row r="1604">
      <c r="P1604" s="421" t="n"/>
    </row>
    <row r="1605">
      <c r="P1605" s="421" t="n"/>
    </row>
    <row r="1606">
      <c r="P1606" s="421" t="n"/>
    </row>
    <row r="1607">
      <c r="P1607" s="421" t="n"/>
    </row>
    <row r="1608">
      <c r="P1608" s="421" t="n"/>
    </row>
    <row r="1609">
      <c r="P1609" s="421" t="n"/>
    </row>
    <row r="1610">
      <c r="P1610" s="421" t="n"/>
    </row>
    <row r="1611">
      <c r="P1611" s="421" t="n"/>
    </row>
    <row r="1612">
      <c r="P1612" s="421" t="n"/>
    </row>
    <row r="1613">
      <c r="P1613" s="421" t="n"/>
    </row>
    <row r="1614">
      <c r="P1614" s="421" t="n"/>
    </row>
    <row r="1615">
      <c r="P1615" s="421" t="n"/>
    </row>
    <row r="1616">
      <c r="P1616" s="421" t="n"/>
    </row>
    <row r="1617">
      <c r="P1617" s="421" t="n"/>
    </row>
    <row r="1618">
      <c r="P1618" s="421" t="n"/>
    </row>
    <row r="1619">
      <c r="P1619" s="421" t="n"/>
    </row>
    <row r="1620">
      <c r="P1620" s="421" t="n"/>
    </row>
    <row r="1621">
      <c r="P1621" s="421" t="n"/>
    </row>
    <row r="1622">
      <c r="P1622" s="421" t="n"/>
    </row>
    <row r="1623">
      <c r="P1623" s="421" t="n"/>
    </row>
    <row r="1624">
      <c r="P1624" s="421" t="n"/>
    </row>
    <row r="1625">
      <c r="P1625" s="421" t="n"/>
    </row>
    <row r="1626">
      <c r="P1626" s="421" t="n"/>
    </row>
    <row r="1627">
      <c r="P1627" s="421" t="n"/>
    </row>
    <row r="1628">
      <c r="P1628" s="421" t="n"/>
    </row>
    <row r="1629">
      <c r="P1629" s="421" t="n"/>
    </row>
    <row r="1630">
      <c r="P1630" s="421" t="n"/>
    </row>
    <row r="1631">
      <c r="P1631" s="421" t="n"/>
    </row>
    <row r="1632">
      <c r="P1632" s="421" t="n"/>
    </row>
    <row r="1633">
      <c r="P1633" s="421" t="n"/>
    </row>
    <row r="1634">
      <c r="P1634" s="421" t="n"/>
    </row>
    <row r="1635">
      <c r="P1635" s="421" t="n"/>
    </row>
    <row r="1636">
      <c r="P1636" s="421" t="n"/>
    </row>
    <row r="1637">
      <c r="P1637" s="421" t="n"/>
    </row>
    <row r="1638">
      <c r="P1638" s="421" t="n"/>
    </row>
    <row r="1639">
      <c r="P1639" s="421" t="n"/>
    </row>
    <row r="1640">
      <c r="P1640" s="421" t="n"/>
    </row>
    <row r="1641">
      <c r="P1641" s="421" t="n"/>
    </row>
    <row r="1642">
      <c r="P1642" s="421" t="n"/>
    </row>
    <row r="1643">
      <c r="P1643" s="421" t="n"/>
    </row>
    <row r="1644">
      <c r="P1644" s="421" t="n"/>
    </row>
    <row r="1645">
      <c r="P1645" s="421" t="n"/>
    </row>
    <row r="1646">
      <c r="P1646" s="421" t="n"/>
    </row>
    <row r="1647">
      <c r="P1647" s="421" t="n"/>
    </row>
    <row r="1648">
      <c r="P1648" s="421" t="n"/>
    </row>
    <row r="1649">
      <c r="P1649" s="421" t="n"/>
    </row>
    <row r="1650">
      <c r="P1650" s="421" t="n"/>
    </row>
    <row r="1651">
      <c r="P1651" s="421" t="n"/>
    </row>
    <row r="1652">
      <c r="P1652" s="421" t="n"/>
    </row>
    <row r="1653">
      <c r="P1653" s="421" t="n"/>
    </row>
    <row r="1654">
      <c r="P1654" s="421" t="n"/>
    </row>
    <row r="1655">
      <c r="P1655" s="421" t="n"/>
    </row>
    <row r="1656">
      <c r="P1656" s="421" t="n"/>
    </row>
    <row r="1657">
      <c r="P1657" s="421" t="n"/>
    </row>
    <row r="1658">
      <c r="P1658" s="421" t="n"/>
    </row>
    <row r="1659">
      <c r="P1659" s="421" t="n"/>
    </row>
    <row r="1660">
      <c r="P1660" s="421" t="n"/>
    </row>
    <row r="1661">
      <c r="P1661" s="421" t="n"/>
    </row>
    <row r="1662">
      <c r="P1662" s="421" t="n"/>
    </row>
    <row r="1663">
      <c r="P1663" s="421" t="n"/>
    </row>
    <row r="1664">
      <c r="P1664" s="421" t="n"/>
    </row>
    <row r="1665">
      <c r="P1665" s="421" t="n"/>
    </row>
    <row r="1666">
      <c r="P1666" s="421" t="n"/>
    </row>
    <row r="1667">
      <c r="P1667" s="421" t="n"/>
    </row>
    <row r="1668">
      <c r="P1668" s="421" t="n"/>
    </row>
    <row r="1669">
      <c r="P1669" s="421" t="n"/>
    </row>
    <row r="1670">
      <c r="P1670" s="421" t="n"/>
    </row>
    <row r="1671">
      <c r="P1671" s="421" t="n"/>
    </row>
    <row r="1672">
      <c r="P1672" s="421" t="n"/>
    </row>
    <row r="1673">
      <c r="P1673" s="421" t="n"/>
    </row>
    <row r="1674">
      <c r="P1674" s="421" t="n"/>
    </row>
    <row r="1675">
      <c r="P1675" s="421" t="n"/>
    </row>
    <row r="1676">
      <c r="P1676" s="421" t="n"/>
    </row>
    <row r="1677">
      <c r="P1677" s="421" t="n"/>
    </row>
    <row r="1678">
      <c r="P1678" s="421" t="n"/>
    </row>
    <row r="1679">
      <c r="P1679" s="421" t="n"/>
    </row>
    <row r="1680">
      <c r="P1680" s="421" t="n"/>
    </row>
    <row r="1681">
      <c r="P1681" s="421" t="n"/>
    </row>
    <row r="1682">
      <c r="P1682" s="421" t="n"/>
    </row>
    <row r="1683">
      <c r="P1683" s="421" t="n"/>
    </row>
    <row r="1684">
      <c r="P1684" s="421" t="n"/>
    </row>
    <row r="1685">
      <c r="P1685" s="421" t="n"/>
    </row>
    <row r="1686">
      <c r="P1686" s="421" t="n"/>
    </row>
    <row r="1687">
      <c r="P1687" s="421" t="n"/>
    </row>
    <row r="1688">
      <c r="P1688" s="421" t="n"/>
    </row>
    <row r="1689">
      <c r="P1689" s="421" t="n"/>
    </row>
    <row r="1690">
      <c r="P1690" s="421" t="n"/>
    </row>
    <row r="1691">
      <c r="P1691" s="421" t="n"/>
    </row>
    <row r="1692">
      <c r="P1692" s="421" t="n"/>
    </row>
    <row r="1693">
      <c r="P1693" s="421" t="n"/>
    </row>
    <row r="1694">
      <c r="P1694" s="421" t="n"/>
    </row>
    <row r="1695">
      <c r="P1695" s="421" t="n"/>
    </row>
    <row r="1696">
      <c r="P1696" s="421" t="n"/>
    </row>
    <row r="1697">
      <c r="P1697" s="421" t="n"/>
    </row>
    <row r="1698">
      <c r="P1698" s="421" t="n"/>
    </row>
    <row r="1699">
      <c r="P1699" s="421" t="n"/>
    </row>
    <row r="1700">
      <c r="P1700" s="421" t="n"/>
    </row>
    <row r="1701">
      <c r="P1701" s="421" t="n"/>
    </row>
    <row r="1702">
      <c r="P1702" s="421" t="n"/>
    </row>
    <row r="1703">
      <c r="P1703" s="421" t="n"/>
    </row>
    <row r="1704">
      <c r="P1704" s="421" t="n"/>
    </row>
    <row r="1705">
      <c r="P1705" s="421" t="n"/>
    </row>
    <row r="1706">
      <c r="P1706" s="421" t="n"/>
    </row>
    <row r="1707">
      <c r="P1707" s="421" t="n"/>
    </row>
    <row r="1708">
      <c r="P1708" s="421" t="n"/>
    </row>
    <row r="1709">
      <c r="P1709" s="421" t="n"/>
    </row>
    <row r="1710">
      <c r="P1710" s="421" t="n"/>
    </row>
    <row r="1711">
      <c r="P1711" s="421" t="n"/>
    </row>
    <row r="1712">
      <c r="P1712" s="421" t="n"/>
    </row>
    <row r="1713">
      <c r="P1713" s="421" t="n"/>
    </row>
    <row r="1714">
      <c r="P1714" s="421" t="n"/>
    </row>
    <row r="1715">
      <c r="P1715" s="421" t="n"/>
    </row>
    <row r="1716">
      <c r="P1716" s="421" t="n"/>
    </row>
    <row r="1717">
      <c r="P1717" s="421" t="n"/>
    </row>
    <row r="1718">
      <c r="P1718" s="421" t="n"/>
    </row>
    <row r="1719">
      <c r="P1719" s="421" t="n"/>
    </row>
    <row r="1720">
      <c r="P1720" s="421" t="n"/>
    </row>
    <row r="1721">
      <c r="P1721" s="421" t="n"/>
    </row>
    <row r="1722">
      <c r="P1722" s="421" t="n"/>
    </row>
    <row r="1723">
      <c r="P1723" s="421" t="n"/>
    </row>
    <row r="1724">
      <c r="P1724" s="421" t="n"/>
    </row>
    <row r="1725">
      <c r="P1725" s="421" t="n"/>
    </row>
    <row r="1726">
      <c r="P1726" s="421" t="n"/>
    </row>
    <row r="1727">
      <c r="P1727" s="421" t="n"/>
    </row>
    <row r="1728">
      <c r="P1728" s="421" t="n"/>
    </row>
    <row r="1729">
      <c r="P1729" s="421" t="n"/>
    </row>
    <row r="1730">
      <c r="P1730" s="421" t="n"/>
    </row>
    <row r="1731">
      <c r="P1731" s="421" t="n"/>
    </row>
    <row r="1732">
      <c r="P1732" s="421" t="n"/>
    </row>
    <row r="1733">
      <c r="P1733" s="421" t="n"/>
    </row>
    <row r="1734">
      <c r="P1734" s="421" t="n"/>
    </row>
    <row r="1735">
      <c r="P1735" s="421" t="n"/>
    </row>
    <row r="1736">
      <c r="P1736" s="421" t="n"/>
    </row>
    <row r="1737">
      <c r="P1737" s="421" t="n"/>
    </row>
    <row r="1738">
      <c r="P1738" s="421" t="n"/>
    </row>
    <row r="1739">
      <c r="P1739" s="421" t="n"/>
    </row>
    <row r="1740">
      <c r="P1740" s="421" t="n"/>
    </row>
    <row r="1741">
      <c r="P1741" s="421" t="n"/>
    </row>
    <row r="1742">
      <c r="P1742" s="421" t="n"/>
    </row>
    <row r="1743">
      <c r="P1743" s="421" t="n"/>
    </row>
    <row r="1744">
      <c r="P1744" s="421" t="n"/>
    </row>
    <row r="1745">
      <c r="P1745" s="421" t="n"/>
    </row>
    <row r="1746">
      <c r="P1746" s="421" t="n"/>
    </row>
    <row r="1747">
      <c r="P1747" s="421" t="n"/>
    </row>
    <row r="1748">
      <c r="P1748" s="421" t="n"/>
    </row>
    <row r="1749">
      <c r="P1749" s="421" t="n"/>
    </row>
    <row r="1750">
      <c r="P1750" s="421" t="n"/>
    </row>
    <row r="1751">
      <c r="P1751" s="421" t="n"/>
    </row>
    <row r="1752">
      <c r="P1752" s="421" t="n"/>
    </row>
    <row r="1753">
      <c r="P1753" s="421" t="n"/>
    </row>
    <row r="1754">
      <c r="P1754" s="421" t="n"/>
    </row>
    <row r="1755">
      <c r="P1755" s="421" t="n"/>
    </row>
    <row r="1756">
      <c r="P1756" s="421" t="n"/>
    </row>
    <row r="1757">
      <c r="P1757" s="421" t="n"/>
    </row>
    <row r="1758">
      <c r="P1758" s="421" t="n"/>
    </row>
    <row r="1759">
      <c r="P1759" s="421" t="n"/>
    </row>
    <row r="1760">
      <c r="P1760" s="421" t="n"/>
    </row>
    <row r="1761">
      <c r="P1761" s="421" t="n"/>
    </row>
    <row r="1762">
      <c r="P1762" s="421" t="n"/>
    </row>
    <row r="1763">
      <c r="P1763" s="421" t="n"/>
    </row>
    <row r="1764">
      <c r="P1764" s="421" t="n"/>
    </row>
    <row r="1765">
      <c r="P1765" s="421" t="n"/>
    </row>
    <row r="1766">
      <c r="P1766" s="421" t="n"/>
    </row>
    <row r="1767">
      <c r="P1767" s="421" t="n"/>
    </row>
    <row r="1768">
      <c r="P1768" s="421" t="n"/>
    </row>
    <row r="1769">
      <c r="P1769" s="421" t="n"/>
    </row>
    <row r="1770">
      <c r="P1770" s="421" t="n"/>
    </row>
    <row r="1771">
      <c r="P1771" s="421" t="n"/>
    </row>
    <row r="1772">
      <c r="P1772" s="421" t="n"/>
    </row>
    <row r="1773">
      <c r="P1773" s="421" t="n"/>
    </row>
    <row r="1774">
      <c r="P1774" s="421" t="n"/>
    </row>
    <row r="1775">
      <c r="P1775" s="421" t="n"/>
    </row>
    <row r="1776">
      <c r="P1776" s="421" t="n"/>
    </row>
    <row r="1777">
      <c r="P1777" s="421" t="n"/>
    </row>
    <row r="1778">
      <c r="P1778" s="421" t="n"/>
    </row>
    <row r="1779">
      <c r="P1779" s="421" t="n"/>
    </row>
    <row r="1780">
      <c r="P1780" s="421" t="n"/>
    </row>
    <row r="1781">
      <c r="P1781" s="421" t="n"/>
    </row>
    <row r="1782">
      <c r="P1782" s="421" t="n"/>
    </row>
    <row r="1783">
      <c r="P1783" s="421" t="n"/>
    </row>
    <row r="1784">
      <c r="P1784" s="421" t="n"/>
    </row>
    <row r="1785">
      <c r="P1785" s="421" t="n"/>
    </row>
    <row r="1786">
      <c r="P1786" s="421" t="n"/>
    </row>
    <row r="1787">
      <c r="P1787" s="421" t="n"/>
    </row>
    <row r="1788">
      <c r="P1788" s="421" t="n"/>
    </row>
    <row r="1789">
      <c r="P1789" s="421" t="n"/>
    </row>
    <row r="1790">
      <c r="P1790" s="421" t="n"/>
    </row>
    <row r="1791">
      <c r="P1791" s="421" t="n"/>
    </row>
    <row r="1792">
      <c r="P1792" s="421" t="n"/>
    </row>
    <row r="1793">
      <c r="P1793" s="421" t="n"/>
    </row>
    <row r="1794">
      <c r="P1794" s="421" t="n"/>
    </row>
    <row r="1795">
      <c r="P1795" s="421" t="n"/>
    </row>
    <row r="1796">
      <c r="P1796" s="421" t="n"/>
    </row>
    <row r="1797">
      <c r="P1797" s="421" t="n"/>
    </row>
    <row r="1798">
      <c r="P1798" s="421" t="n"/>
    </row>
    <row r="1799">
      <c r="P1799" s="421" t="n"/>
    </row>
    <row r="1800">
      <c r="P1800" s="421" t="n"/>
    </row>
    <row r="1801">
      <c r="P1801" s="421" t="n"/>
    </row>
    <row r="1802">
      <c r="P1802" s="421" t="n"/>
    </row>
    <row r="1803">
      <c r="P1803" s="421" t="n"/>
    </row>
    <row r="1804">
      <c r="P1804" s="421" t="n"/>
    </row>
    <row r="1805">
      <c r="P1805" s="421" t="n"/>
    </row>
    <row r="1806">
      <c r="P1806" s="421" t="n"/>
    </row>
    <row r="1807">
      <c r="P1807" s="421" t="n"/>
    </row>
    <row r="1808">
      <c r="P1808" s="421" t="n"/>
    </row>
    <row r="1809">
      <c r="P1809" s="421" t="n"/>
    </row>
    <row r="1810">
      <c r="P1810" s="421" t="n"/>
    </row>
    <row r="1811">
      <c r="P1811" s="421" t="n"/>
    </row>
    <row r="1812">
      <c r="P1812" s="421" t="n"/>
    </row>
    <row r="1813">
      <c r="P1813" s="421" t="n"/>
    </row>
    <row r="1814">
      <c r="P1814" s="421" t="n"/>
    </row>
    <row r="1815">
      <c r="P1815" s="421" t="n"/>
    </row>
    <row r="1816">
      <c r="P1816" s="421" t="n"/>
    </row>
    <row r="1817">
      <c r="P1817" s="421" t="n"/>
    </row>
    <row r="1818">
      <c r="P1818" s="421" t="n"/>
    </row>
    <row r="1819">
      <c r="P1819" s="421" t="n"/>
    </row>
    <row r="1820">
      <c r="P1820" s="421" t="n"/>
    </row>
    <row r="1821">
      <c r="P1821" s="421" t="n"/>
    </row>
    <row r="1822">
      <c r="P1822" s="421" t="n"/>
    </row>
    <row r="1823">
      <c r="P1823" s="421" t="n"/>
    </row>
    <row r="1824">
      <c r="P1824" s="421" t="n"/>
    </row>
    <row r="1825">
      <c r="P1825" s="421" t="n"/>
    </row>
    <row r="1826">
      <c r="P1826" s="421" t="n"/>
    </row>
    <row r="1827">
      <c r="P1827" s="421" t="n"/>
    </row>
    <row r="1828">
      <c r="P1828" s="421" t="n"/>
    </row>
    <row r="1829">
      <c r="P1829" s="421" t="n"/>
    </row>
    <row r="1830">
      <c r="P1830" s="421" t="n"/>
    </row>
    <row r="1831">
      <c r="P1831" s="421" t="n"/>
    </row>
    <row r="1832">
      <c r="P1832" s="421" t="n"/>
    </row>
    <row r="1833">
      <c r="P1833" s="421" t="n"/>
    </row>
    <row r="1834">
      <c r="P1834" s="421" t="n"/>
    </row>
    <row r="1835">
      <c r="P1835" s="421" t="n"/>
    </row>
    <row r="1836">
      <c r="P1836" s="421" t="n"/>
    </row>
    <row r="1837">
      <c r="P1837" s="421" t="n"/>
    </row>
    <row r="1838">
      <c r="P1838" s="421" t="n"/>
    </row>
    <row r="1839">
      <c r="P1839" s="421" t="n"/>
    </row>
    <row r="1840">
      <c r="P1840" s="421" t="n"/>
    </row>
    <row r="1841">
      <c r="P1841" s="421" t="n"/>
    </row>
    <row r="1842">
      <c r="P1842" s="421" t="n"/>
    </row>
    <row r="1843">
      <c r="P1843" s="421" t="n"/>
    </row>
    <row r="1844">
      <c r="P1844" s="421" t="n"/>
    </row>
    <row r="1845">
      <c r="P1845" s="421" t="n"/>
    </row>
    <row r="1846">
      <c r="P1846" s="421" t="n"/>
    </row>
    <row r="1847">
      <c r="P1847" s="421" t="n"/>
    </row>
    <row r="1848">
      <c r="P1848" s="421" t="n"/>
    </row>
    <row r="1849">
      <c r="P1849" s="421" t="n"/>
    </row>
    <row r="1850">
      <c r="P1850" s="421" t="n"/>
    </row>
    <row r="1851">
      <c r="P1851" s="421" t="n"/>
    </row>
    <row r="1852">
      <c r="P1852" s="421" t="n"/>
    </row>
    <row r="1853">
      <c r="P1853" s="421" t="n"/>
    </row>
    <row r="1854">
      <c r="P1854" s="421" t="n"/>
    </row>
    <row r="1855">
      <c r="P1855" s="421" t="n"/>
    </row>
    <row r="1856">
      <c r="P1856" s="421" t="n"/>
    </row>
    <row r="1857">
      <c r="P1857" s="421" t="n"/>
    </row>
    <row r="1858">
      <c r="P1858" s="421" t="n"/>
    </row>
    <row r="1859">
      <c r="P1859" s="421" t="n"/>
    </row>
    <row r="1860">
      <c r="P1860" s="421" t="n"/>
    </row>
    <row r="1861">
      <c r="P1861" s="421" t="n"/>
    </row>
    <row r="1862">
      <c r="P1862" s="421" t="n"/>
    </row>
    <row r="1863">
      <c r="P1863" s="421" t="n"/>
    </row>
    <row r="1864">
      <c r="P1864" s="421" t="n"/>
    </row>
    <row r="1865">
      <c r="P1865" s="421" t="n"/>
    </row>
    <row r="1866">
      <c r="P1866" s="421" t="n"/>
    </row>
    <row r="1867">
      <c r="P1867" s="421" t="n"/>
    </row>
    <row r="1868">
      <c r="P1868" s="421" t="n"/>
    </row>
    <row r="1869">
      <c r="P1869" s="421" t="n"/>
    </row>
    <row r="1870">
      <c r="P1870" s="421" t="n"/>
    </row>
    <row r="1871">
      <c r="P1871" s="421" t="n"/>
    </row>
    <row r="1872">
      <c r="P1872" s="421" t="n"/>
    </row>
    <row r="1873">
      <c r="P1873" s="421" t="n"/>
    </row>
    <row r="1874">
      <c r="P1874" s="421" t="n"/>
    </row>
    <row r="1875">
      <c r="P1875" s="421" t="n"/>
    </row>
    <row r="1876">
      <c r="P1876" s="421" t="n"/>
    </row>
    <row r="1877">
      <c r="P1877" s="421" t="n"/>
    </row>
    <row r="1878">
      <c r="P1878" s="421" t="n"/>
    </row>
    <row r="1879">
      <c r="P1879" s="421" t="n"/>
    </row>
    <row r="1880">
      <c r="P1880" s="421" t="n"/>
    </row>
    <row r="1881">
      <c r="P1881" s="421" t="n"/>
    </row>
    <row r="1882">
      <c r="P1882" s="421" t="n"/>
    </row>
    <row r="1883">
      <c r="P1883" s="421" t="n"/>
    </row>
    <row r="1884">
      <c r="P1884" s="421" t="n"/>
    </row>
    <row r="1885">
      <c r="P1885" s="421" t="n"/>
    </row>
    <row r="1886">
      <c r="P1886" s="421" t="n"/>
    </row>
    <row r="1887">
      <c r="P1887" s="421" t="n"/>
    </row>
    <row r="1888">
      <c r="P1888" s="421" t="n"/>
    </row>
    <row r="1889">
      <c r="P1889" s="421" t="n"/>
    </row>
    <row r="1890">
      <c r="P1890" s="421" t="n"/>
    </row>
    <row r="1891">
      <c r="P1891" s="421" t="n"/>
    </row>
    <row r="1892">
      <c r="P1892" s="421" t="n"/>
    </row>
    <row r="1893">
      <c r="P1893" s="421" t="n"/>
    </row>
    <row r="1894">
      <c r="P1894" s="421" t="n"/>
    </row>
    <row r="1895">
      <c r="P1895" s="421" t="n"/>
    </row>
    <row r="1896">
      <c r="P1896" s="421" t="n"/>
    </row>
    <row r="1897">
      <c r="P1897" s="421" t="n"/>
    </row>
    <row r="1898">
      <c r="P1898" s="421" t="n"/>
    </row>
    <row r="1899">
      <c r="P1899" s="421" t="n"/>
    </row>
    <row r="1900">
      <c r="P1900" s="421" t="n"/>
    </row>
    <row r="1901">
      <c r="P1901" s="421" t="n"/>
    </row>
    <row r="1902">
      <c r="P1902" s="421" t="n"/>
    </row>
    <row r="1903">
      <c r="P1903" s="421" t="n"/>
    </row>
    <row r="1904">
      <c r="P1904" s="421" t="n"/>
    </row>
    <row r="1905">
      <c r="P1905" s="421" t="n"/>
    </row>
    <row r="1906">
      <c r="P1906" s="421" t="n"/>
    </row>
    <row r="1907">
      <c r="P1907" s="421" t="n"/>
    </row>
    <row r="1908">
      <c r="P1908" s="421" t="n"/>
    </row>
    <row r="1909">
      <c r="P1909" s="421" t="n"/>
    </row>
    <row r="1910">
      <c r="P1910" s="421" t="n"/>
    </row>
    <row r="1911">
      <c r="P1911" s="421" t="n"/>
    </row>
    <row r="1912">
      <c r="P1912" s="421" t="n"/>
    </row>
    <row r="1913">
      <c r="P1913" s="421" t="n"/>
    </row>
    <row r="1914">
      <c r="P1914" s="421" t="n"/>
    </row>
    <row r="1915">
      <c r="P1915" s="421" t="n"/>
    </row>
    <row r="1916">
      <c r="P1916" s="421" t="n"/>
    </row>
    <row r="1917">
      <c r="P1917" s="421" t="n"/>
    </row>
    <row r="1918">
      <c r="P1918" s="421" t="n"/>
    </row>
    <row r="1919">
      <c r="P1919" s="421" t="n"/>
    </row>
    <row r="1920">
      <c r="P1920" s="421" t="n"/>
    </row>
    <row r="1921">
      <c r="P1921" s="421" t="n"/>
    </row>
    <row r="1922">
      <c r="P1922" s="421" t="n"/>
    </row>
    <row r="1923">
      <c r="P1923" s="421" t="n"/>
    </row>
    <row r="1924">
      <c r="P1924" s="421" t="n"/>
    </row>
    <row r="1925">
      <c r="P1925" s="421" t="n"/>
    </row>
    <row r="1926">
      <c r="P1926" s="421" t="n"/>
    </row>
    <row r="1927">
      <c r="P1927" s="421" t="n"/>
    </row>
    <row r="1928">
      <c r="P1928" s="421" t="n"/>
    </row>
    <row r="1929">
      <c r="P1929" s="421" t="n"/>
    </row>
    <row r="1930">
      <c r="P1930" s="421" t="n"/>
    </row>
    <row r="1931">
      <c r="P1931" s="421" t="n"/>
    </row>
    <row r="1932">
      <c r="P1932" s="421" t="n"/>
    </row>
    <row r="1933">
      <c r="P1933" s="421" t="n"/>
    </row>
    <row r="1934">
      <c r="P1934" s="421" t="n"/>
    </row>
    <row r="1935">
      <c r="P1935" s="421" t="n"/>
    </row>
    <row r="1936">
      <c r="P1936" s="421" t="n"/>
    </row>
    <row r="1937">
      <c r="P1937" s="421" t="n"/>
    </row>
    <row r="1938">
      <c r="P1938" s="421" t="n"/>
    </row>
    <row r="1939">
      <c r="P1939" s="421" t="n"/>
    </row>
    <row r="1940">
      <c r="P1940" s="421" t="n"/>
    </row>
    <row r="1941">
      <c r="P1941" s="421" t="n"/>
    </row>
    <row r="1942">
      <c r="P1942" s="421" t="n"/>
    </row>
    <row r="1943">
      <c r="P1943" s="421" t="n"/>
    </row>
    <row r="1944">
      <c r="P1944" s="421" t="n"/>
    </row>
    <row r="1945">
      <c r="P1945" s="421" t="n"/>
    </row>
    <row r="1946">
      <c r="P1946" s="421" t="n"/>
    </row>
    <row r="1947">
      <c r="P1947" s="421" t="n"/>
    </row>
    <row r="1948">
      <c r="P1948" s="421" t="n"/>
    </row>
    <row r="1949">
      <c r="P1949" s="421" t="n"/>
    </row>
    <row r="1950">
      <c r="P1950" s="421" t="n"/>
    </row>
    <row r="1951">
      <c r="P1951" s="421" t="n"/>
    </row>
    <row r="1952">
      <c r="P1952" s="421" t="n"/>
    </row>
    <row r="1953">
      <c r="P1953" s="421" t="n"/>
    </row>
    <row r="1954">
      <c r="P1954" s="421" t="n"/>
    </row>
    <row r="1955">
      <c r="P1955" s="421" t="n"/>
    </row>
    <row r="1956">
      <c r="P1956" s="421" t="n"/>
    </row>
    <row r="1957">
      <c r="P1957" s="421" t="n"/>
    </row>
    <row r="1958">
      <c r="P1958" s="421" t="n"/>
    </row>
    <row r="1959">
      <c r="P1959" s="421" t="n"/>
    </row>
    <row r="1960">
      <c r="P1960" s="421" t="n"/>
    </row>
    <row r="1961">
      <c r="P1961" s="421" t="n"/>
    </row>
    <row r="1962">
      <c r="P1962" s="421" t="n"/>
    </row>
    <row r="1963">
      <c r="P1963" s="421" t="n"/>
    </row>
    <row r="1964">
      <c r="P1964" s="421" t="n"/>
    </row>
    <row r="1965">
      <c r="P1965" s="421" t="n"/>
    </row>
    <row r="1966">
      <c r="P1966" s="421" t="n"/>
    </row>
    <row r="1967">
      <c r="P1967" s="421" t="n"/>
    </row>
    <row r="1968">
      <c r="P1968" s="421" t="n"/>
    </row>
    <row r="1969">
      <c r="P1969" s="421" t="n"/>
    </row>
    <row r="1970">
      <c r="P1970" s="421" t="n"/>
    </row>
    <row r="1971">
      <c r="P1971" s="421" t="n"/>
    </row>
    <row r="1972">
      <c r="P1972" s="421" t="n"/>
    </row>
    <row r="1973">
      <c r="P1973" s="421" t="n"/>
    </row>
    <row r="1974">
      <c r="P1974" s="421" t="n"/>
    </row>
    <row r="1975">
      <c r="P1975" s="421" t="n"/>
    </row>
    <row r="1976">
      <c r="P1976" s="421" t="n"/>
    </row>
    <row r="1977">
      <c r="P1977" s="421" t="n"/>
    </row>
    <row r="1978">
      <c r="P1978" s="421" t="n"/>
    </row>
    <row r="1979">
      <c r="P1979" s="421" t="n"/>
    </row>
    <row r="1980">
      <c r="P1980" s="421" t="n"/>
    </row>
    <row r="1981">
      <c r="P1981" s="421" t="n"/>
    </row>
    <row r="1982">
      <c r="P1982" s="421" t="n"/>
    </row>
    <row r="1983">
      <c r="P1983" s="421" t="n"/>
    </row>
    <row r="1984">
      <c r="P1984" s="421" t="n"/>
    </row>
    <row r="1985">
      <c r="P1985" s="421" t="n"/>
    </row>
    <row r="1986">
      <c r="P1986" s="421" t="n"/>
    </row>
    <row r="1987">
      <c r="P1987" s="421" t="n"/>
    </row>
    <row r="1988">
      <c r="P1988" s="421" t="n"/>
    </row>
    <row r="1989">
      <c r="P1989" s="421" t="n"/>
    </row>
    <row r="1990">
      <c r="P1990" s="421" t="n"/>
    </row>
    <row r="1991">
      <c r="P1991" s="421" t="n"/>
    </row>
    <row r="1992">
      <c r="P1992" s="421" t="n"/>
    </row>
    <row r="1993">
      <c r="P1993" s="421" t="n"/>
    </row>
    <row r="1994">
      <c r="P1994" s="421" t="n"/>
    </row>
    <row r="1995">
      <c r="P1995" s="421" t="n"/>
    </row>
    <row r="1996">
      <c r="P1996" s="421" t="n"/>
    </row>
    <row r="1997">
      <c r="P1997" s="421" t="n"/>
    </row>
    <row r="1998">
      <c r="P1998" s="421" t="n"/>
    </row>
    <row r="1999">
      <c r="P1999" s="421" t="n"/>
    </row>
    <row r="2000">
      <c r="P2000" s="421" t="n"/>
    </row>
    <row r="2001">
      <c r="P2001" s="421" t="n"/>
    </row>
    <row r="2002">
      <c r="P2002" s="421" t="n"/>
    </row>
    <row r="2003">
      <c r="P2003" s="421" t="n"/>
    </row>
    <row r="2004">
      <c r="P2004" s="421" t="n"/>
    </row>
    <row r="2005">
      <c r="P2005" s="421" t="n"/>
    </row>
    <row r="2006">
      <c r="P2006" s="421" t="n"/>
    </row>
    <row r="2007">
      <c r="P2007" s="421" t="n"/>
    </row>
    <row r="2008">
      <c r="P2008" s="421" t="n"/>
    </row>
    <row r="2009">
      <c r="P2009" s="421" t="n"/>
    </row>
    <row r="2010">
      <c r="P2010" s="421" t="n"/>
    </row>
    <row r="2011">
      <c r="P2011" s="421" t="n"/>
    </row>
    <row r="2012">
      <c r="P2012" s="421" t="n"/>
    </row>
    <row r="2013">
      <c r="P2013" s="421" t="n"/>
    </row>
    <row r="2014">
      <c r="P2014" s="421" t="n"/>
    </row>
    <row r="2015">
      <c r="P2015" s="421" t="n"/>
    </row>
    <row r="2016">
      <c r="P2016" s="421" t="n"/>
    </row>
    <row r="2017">
      <c r="P2017" s="421" t="n"/>
    </row>
    <row r="2018">
      <c r="P2018" s="421" t="n"/>
    </row>
    <row r="2019">
      <c r="P2019" s="421" t="n"/>
    </row>
    <row r="2020">
      <c r="P2020" s="421" t="n"/>
    </row>
    <row r="2021">
      <c r="P2021" s="421" t="n"/>
    </row>
    <row r="2022">
      <c r="P2022" s="421" t="n"/>
    </row>
    <row r="2023">
      <c r="P2023" s="421" t="n"/>
    </row>
    <row r="2024">
      <c r="P2024" s="421" t="n"/>
    </row>
    <row r="2025">
      <c r="P2025" s="421" t="n"/>
    </row>
    <row r="2026">
      <c r="P2026" s="421" t="n"/>
    </row>
    <row r="2027">
      <c r="P2027" s="421" t="n"/>
    </row>
    <row r="2028">
      <c r="P2028" s="421" t="n"/>
    </row>
    <row r="2029">
      <c r="P2029" s="421" t="n"/>
    </row>
    <row r="2030">
      <c r="P2030" s="421" t="n"/>
    </row>
    <row r="2031">
      <c r="P2031" s="421" t="n"/>
    </row>
    <row r="2032">
      <c r="P2032" s="421" t="n"/>
    </row>
    <row r="2033">
      <c r="P2033" s="421" t="n"/>
    </row>
    <row r="2034">
      <c r="P2034" s="421" t="n"/>
    </row>
    <row r="2035">
      <c r="P2035" s="421" t="n"/>
    </row>
    <row r="2036">
      <c r="P2036" s="421" t="n"/>
    </row>
    <row r="2037">
      <c r="P2037" s="421" t="n"/>
    </row>
    <row r="2038">
      <c r="P2038" s="421" t="n"/>
    </row>
    <row r="2039">
      <c r="P2039" s="421" t="n"/>
    </row>
    <row r="2040">
      <c r="P2040" s="421" t="n"/>
    </row>
    <row r="2041">
      <c r="P2041" s="421" t="n"/>
    </row>
    <row r="2042">
      <c r="P2042" s="421" t="n"/>
    </row>
    <row r="2043">
      <c r="P2043" s="421" t="n"/>
    </row>
    <row r="2044">
      <c r="P2044" s="421" t="n"/>
    </row>
    <row r="2045">
      <c r="P2045" s="421" t="n"/>
    </row>
    <row r="2046">
      <c r="P2046" s="421" t="n"/>
    </row>
    <row r="2047">
      <c r="P2047" s="421" t="n"/>
    </row>
    <row r="2048">
      <c r="P2048" s="421" t="n"/>
    </row>
    <row r="2049">
      <c r="P2049" s="421" t="n"/>
    </row>
    <row r="2050">
      <c r="P2050" s="421" t="n"/>
    </row>
    <row r="2051">
      <c r="P2051" s="421" t="n"/>
    </row>
    <row r="2052">
      <c r="P2052" s="421" t="n"/>
    </row>
    <row r="2053">
      <c r="P2053" s="421" t="n"/>
    </row>
    <row r="2054">
      <c r="P2054" s="421" t="n"/>
    </row>
    <row r="2055">
      <c r="P2055" s="421" t="n"/>
    </row>
    <row r="2056">
      <c r="P2056" s="421" t="n"/>
    </row>
    <row r="2057">
      <c r="P2057" s="421" t="n"/>
    </row>
    <row r="2058">
      <c r="P2058" s="421" t="n"/>
    </row>
    <row r="2059">
      <c r="P2059" s="421" t="n"/>
    </row>
    <row r="2060">
      <c r="P2060" s="421" t="n"/>
    </row>
    <row r="2061">
      <c r="P2061" s="421" t="n"/>
    </row>
    <row r="2062">
      <c r="P2062" s="421" t="n"/>
    </row>
    <row r="2063">
      <c r="P2063" s="421" t="n"/>
    </row>
    <row r="2064">
      <c r="P2064" s="421" t="n"/>
    </row>
    <row r="2065">
      <c r="P2065" s="421" t="n"/>
    </row>
    <row r="2066">
      <c r="P2066" s="421" t="n"/>
    </row>
    <row r="2067">
      <c r="P2067" s="421" t="n"/>
    </row>
    <row r="2068">
      <c r="P2068" s="421" t="n"/>
    </row>
    <row r="2069">
      <c r="P2069" s="421" t="n"/>
    </row>
    <row r="2070">
      <c r="P2070" s="421" t="n"/>
    </row>
    <row r="2071">
      <c r="P2071" s="421" t="n"/>
    </row>
    <row r="2072">
      <c r="P2072" s="421" t="n"/>
    </row>
    <row r="2073">
      <c r="P2073" s="421" t="n"/>
    </row>
    <row r="2074">
      <c r="P2074" s="421" t="n"/>
    </row>
    <row r="2075">
      <c r="P2075" s="421" t="n"/>
    </row>
    <row r="2076">
      <c r="P2076" s="421" t="n"/>
    </row>
    <row r="2077">
      <c r="P2077" s="421" t="n"/>
    </row>
    <row r="2078">
      <c r="P2078" s="421" t="n"/>
    </row>
    <row r="2079">
      <c r="P2079" s="421" t="n"/>
    </row>
    <row r="2080">
      <c r="P2080" s="421" t="n"/>
    </row>
    <row r="2081">
      <c r="P2081" s="421" t="n"/>
    </row>
    <row r="2082">
      <c r="P2082" s="421" t="n"/>
    </row>
    <row r="2083">
      <c r="P2083" s="421" t="n"/>
    </row>
    <row r="2084">
      <c r="P2084" s="421" t="n"/>
    </row>
    <row r="2085">
      <c r="P2085" s="421" t="n"/>
    </row>
    <row r="2086">
      <c r="P2086" s="421" t="n"/>
    </row>
    <row r="2087">
      <c r="P2087" s="421" t="n"/>
    </row>
    <row r="2088">
      <c r="P2088" s="421" t="n"/>
    </row>
    <row r="2089">
      <c r="P2089" s="421" t="n"/>
    </row>
    <row r="2090">
      <c r="P2090" s="421" t="n"/>
    </row>
    <row r="2091">
      <c r="P2091" s="421" t="n"/>
    </row>
    <row r="2092">
      <c r="P2092" s="421" t="n"/>
    </row>
    <row r="2093">
      <c r="P2093" s="421" t="n"/>
    </row>
    <row r="2094">
      <c r="P2094" s="421" t="n"/>
    </row>
    <row r="2095">
      <c r="P2095" s="421" t="n"/>
    </row>
    <row r="2096">
      <c r="P2096" s="421" t="n"/>
    </row>
    <row r="2097">
      <c r="P2097" s="421" t="n"/>
    </row>
    <row r="2098">
      <c r="P2098" s="421" t="n"/>
    </row>
    <row r="2099">
      <c r="P2099" s="421" t="n"/>
    </row>
    <row r="2100">
      <c r="P2100" s="421" t="n"/>
    </row>
    <row r="2101">
      <c r="P2101" s="421" t="n"/>
    </row>
    <row r="2102">
      <c r="P2102" s="421" t="n"/>
    </row>
    <row r="2103">
      <c r="P2103" s="421" t="n"/>
    </row>
    <row r="2104">
      <c r="P2104" s="421" t="n"/>
    </row>
    <row r="2105">
      <c r="P2105" s="421" t="n"/>
    </row>
    <row r="2106">
      <c r="P2106" s="421" t="n"/>
    </row>
    <row r="2107">
      <c r="P2107" s="421" t="n"/>
    </row>
    <row r="2108">
      <c r="P2108" s="421" t="n"/>
    </row>
    <row r="2109">
      <c r="P2109" s="421" t="n"/>
    </row>
    <row r="2110">
      <c r="P2110" s="421" t="n"/>
    </row>
    <row r="2111">
      <c r="P2111" s="421" t="n"/>
    </row>
    <row r="2112">
      <c r="P2112" s="421" t="n"/>
    </row>
    <row r="2113">
      <c r="P2113" s="421" t="n"/>
    </row>
    <row r="2114">
      <c r="P2114" s="421" t="n"/>
    </row>
    <row r="2115">
      <c r="P2115" s="421" t="n"/>
    </row>
    <row r="2116">
      <c r="P2116" s="421" t="n"/>
    </row>
    <row r="2117">
      <c r="P2117" s="421" t="n"/>
    </row>
    <row r="2118">
      <c r="P2118" s="421" t="n"/>
    </row>
    <row r="2119">
      <c r="P2119" s="421" t="n"/>
    </row>
    <row r="2120">
      <c r="P2120" s="421" t="n"/>
    </row>
    <row r="2121">
      <c r="P2121" s="421" t="n"/>
    </row>
    <row r="2122">
      <c r="P2122" s="421" t="n"/>
    </row>
    <row r="2123">
      <c r="P2123" s="421" t="n"/>
    </row>
    <row r="2124">
      <c r="P2124" s="421" t="n"/>
    </row>
    <row r="2125">
      <c r="P2125" s="421" t="n"/>
    </row>
    <row r="2126">
      <c r="P2126" s="421" t="n"/>
    </row>
    <row r="2127">
      <c r="P2127" s="421" t="n"/>
    </row>
    <row r="2128">
      <c r="P2128" s="421" t="n"/>
    </row>
    <row r="2129">
      <c r="P2129" s="421" t="n"/>
    </row>
    <row r="2130">
      <c r="P2130" s="421" t="n"/>
    </row>
    <row r="2131">
      <c r="P2131" s="421" t="n"/>
    </row>
    <row r="2132">
      <c r="P2132" s="421" t="n"/>
    </row>
    <row r="2133">
      <c r="P2133" s="421" t="n"/>
    </row>
    <row r="2134">
      <c r="P2134" s="421" t="n"/>
    </row>
    <row r="2135">
      <c r="P2135" s="421" t="n"/>
    </row>
    <row r="2136">
      <c r="P2136" s="421" t="n"/>
    </row>
    <row r="2137">
      <c r="P2137" s="421" t="n"/>
    </row>
    <row r="2138">
      <c r="P2138" s="421" t="n"/>
    </row>
    <row r="2139">
      <c r="P2139" s="421" t="n"/>
    </row>
    <row r="2140">
      <c r="P2140" s="421" t="n"/>
    </row>
    <row r="2141">
      <c r="P2141" s="421" t="n"/>
    </row>
    <row r="2142">
      <c r="P2142" s="421" t="n"/>
    </row>
    <row r="2143">
      <c r="P2143" s="421" t="n"/>
    </row>
    <row r="2144">
      <c r="P2144" s="421" t="n"/>
    </row>
    <row r="2145">
      <c r="P2145" s="421" t="n"/>
    </row>
    <row r="2146">
      <c r="P2146" s="421" t="n"/>
    </row>
    <row r="2147">
      <c r="P2147" s="421" t="n"/>
    </row>
    <row r="2148">
      <c r="P2148" s="421" t="n"/>
    </row>
    <row r="2149">
      <c r="P2149" s="421" t="n"/>
    </row>
    <row r="2150">
      <c r="P2150" s="421" t="n"/>
    </row>
    <row r="2151">
      <c r="P2151" s="421" t="n"/>
    </row>
    <row r="2152">
      <c r="P2152" s="421" t="n"/>
    </row>
    <row r="2153">
      <c r="P2153" s="421" t="n"/>
    </row>
    <row r="2154">
      <c r="P2154" s="421" t="n"/>
    </row>
    <row r="2155">
      <c r="P2155" s="421" t="n"/>
    </row>
    <row r="2156">
      <c r="P2156" s="421" t="n"/>
    </row>
    <row r="2157">
      <c r="P2157" s="421" t="n"/>
    </row>
    <row r="2158">
      <c r="P2158" s="421" t="n"/>
    </row>
    <row r="2159">
      <c r="P2159" s="421" t="n"/>
    </row>
    <row r="2160">
      <c r="P2160" s="421" t="n"/>
    </row>
    <row r="2161">
      <c r="P2161" s="421" t="n"/>
    </row>
    <row r="2162">
      <c r="P2162" s="421" t="n"/>
    </row>
    <row r="2163">
      <c r="P2163" s="421" t="n"/>
    </row>
    <row r="2164">
      <c r="P2164" s="421" t="n"/>
    </row>
    <row r="2165">
      <c r="P2165" s="421" t="n"/>
    </row>
    <row r="2166">
      <c r="P2166" s="421" t="n"/>
    </row>
    <row r="2167">
      <c r="P2167" s="421" t="n"/>
    </row>
    <row r="2168">
      <c r="P2168" s="421" t="n"/>
    </row>
    <row r="2169">
      <c r="P2169" s="421" t="n"/>
    </row>
    <row r="2170">
      <c r="P2170" s="421" t="n"/>
    </row>
    <row r="2171">
      <c r="P2171" s="421" t="n"/>
    </row>
    <row r="2172">
      <c r="P2172" s="421" t="n"/>
    </row>
    <row r="2173">
      <c r="P2173" s="421" t="n"/>
    </row>
    <row r="2174">
      <c r="P2174" s="421" t="n"/>
    </row>
    <row r="2175">
      <c r="P2175" s="421" t="n"/>
    </row>
    <row r="2176">
      <c r="P2176" s="421" t="n"/>
    </row>
    <row r="2177">
      <c r="P2177" s="421" t="n"/>
    </row>
    <row r="2178">
      <c r="P2178" s="421" t="n"/>
    </row>
    <row r="2179">
      <c r="P2179" s="421" t="n"/>
    </row>
    <row r="2180">
      <c r="P2180" s="421" t="n"/>
    </row>
    <row r="2181">
      <c r="P2181" s="421" t="n"/>
    </row>
    <row r="2182">
      <c r="P2182" s="421" t="n"/>
    </row>
    <row r="2183">
      <c r="P2183" s="421" t="n"/>
    </row>
    <row r="2184">
      <c r="P2184" s="421" t="n"/>
    </row>
    <row r="2185">
      <c r="P2185" s="421" t="n"/>
    </row>
    <row r="2186">
      <c r="P2186" s="421" t="n"/>
    </row>
    <row r="2187">
      <c r="P2187" s="421" t="n"/>
    </row>
    <row r="2188">
      <c r="P2188" s="421" t="n"/>
    </row>
    <row r="2189">
      <c r="P2189" s="421" t="n"/>
    </row>
    <row r="2190">
      <c r="P2190" s="421" t="n"/>
    </row>
    <row r="2191">
      <c r="P2191" s="421" t="n"/>
    </row>
    <row r="2192">
      <c r="P2192" s="421" t="n"/>
    </row>
    <row r="2193">
      <c r="P2193" s="421" t="n"/>
    </row>
    <row r="2194">
      <c r="P2194" s="421" t="n"/>
    </row>
    <row r="2195">
      <c r="P2195" s="421" t="n"/>
    </row>
    <row r="2196">
      <c r="P2196" s="421" t="n"/>
    </row>
    <row r="2197">
      <c r="P2197" s="421" t="n"/>
    </row>
    <row r="2198">
      <c r="P2198" s="421" t="n"/>
    </row>
    <row r="2199">
      <c r="P2199" s="421" t="n"/>
    </row>
    <row r="2200">
      <c r="P2200" s="421" t="n"/>
    </row>
    <row r="2201">
      <c r="P2201" s="421" t="n"/>
    </row>
    <row r="2202">
      <c r="P2202" s="421" t="n"/>
    </row>
    <row r="2203">
      <c r="P2203" s="421" t="n"/>
    </row>
    <row r="2204">
      <c r="P2204" s="421" t="n"/>
    </row>
    <row r="2205">
      <c r="P2205" s="421" t="n"/>
    </row>
    <row r="2206">
      <c r="P2206" s="421" t="n"/>
    </row>
    <row r="2207">
      <c r="P2207" s="421" t="n"/>
    </row>
    <row r="2208">
      <c r="P2208" s="421" t="n"/>
    </row>
    <row r="2209">
      <c r="P2209" s="421" t="n"/>
    </row>
    <row r="2210">
      <c r="P2210" s="421" t="n"/>
    </row>
    <row r="2211">
      <c r="P2211" s="421" t="n"/>
    </row>
    <row r="2212">
      <c r="P2212" s="421" t="n"/>
    </row>
    <row r="2213">
      <c r="P2213" s="421" t="n"/>
    </row>
    <row r="2214">
      <c r="P2214" s="421" t="n"/>
    </row>
    <row r="2215">
      <c r="P2215" s="421" t="n"/>
    </row>
    <row r="2216">
      <c r="P2216" s="421" t="n"/>
    </row>
    <row r="2217">
      <c r="P2217" s="421" t="n"/>
    </row>
    <row r="2218">
      <c r="P2218" s="421" t="n"/>
    </row>
    <row r="2219">
      <c r="P2219" s="421" t="n"/>
    </row>
    <row r="2220">
      <c r="P2220" s="421" t="n"/>
    </row>
    <row r="2221">
      <c r="P2221" s="421" t="n"/>
    </row>
    <row r="2222">
      <c r="P2222" s="421" t="n"/>
    </row>
    <row r="2223">
      <c r="P2223" s="421" t="n"/>
    </row>
    <row r="2224">
      <c r="P2224" s="421" t="n"/>
    </row>
    <row r="2225">
      <c r="P2225" s="421" t="n"/>
    </row>
    <row r="2226">
      <c r="P2226" s="421" t="n"/>
    </row>
    <row r="2227">
      <c r="P2227" s="421" t="n"/>
    </row>
    <row r="2228">
      <c r="P2228" s="421" t="n"/>
    </row>
    <row r="2229">
      <c r="P2229" s="421" t="n"/>
    </row>
    <row r="2230">
      <c r="P2230" s="421" t="n"/>
    </row>
    <row r="2231">
      <c r="P2231" s="421" t="n"/>
    </row>
    <row r="2232">
      <c r="P2232" s="421" t="n"/>
    </row>
    <row r="2233">
      <c r="P2233" s="421" t="n"/>
    </row>
    <row r="2234">
      <c r="P2234" s="421" t="n"/>
    </row>
    <row r="2235">
      <c r="P2235" s="421" t="n"/>
    </row>
    <row r="2236">
      <c r="P2236" s="421" t="n"/>
    </row>
    <row r="2237">
      <c r="P2237" s="421" t="n"/>
    </row>
    <row r="2238">
      <c r="P2238" s="421" t="n"/>
    </row>
    <row r="2239">
      <c r="P2239" s="421" t="n"/>
    </row>
    <row r="2240">
      <c r="P2240" s="421" t="n"/>
    </row>
    <row r="2241">
      <c r="P2241" s="421" t="n"/>
    </row>
    <row r="2242">
      <c r="P2242" s="421" t="n"/>
    </row>
    <row r="2243">
      <c r="P2243" s="421" t="n"/>
    </row>
    <row r="2244">
      <c r="P2244" s="421" t="n"/>
    </row>
    <row r="2245">
      <c r="P2245" s="421" t="n"/>
    </row>
    <row r="2246">
      <c r="P2246" s="421" t="n"/>
    </row>
    <row r="2247">
      <c r="P2247" s="421" t="n"/>
    </row>
    <row r="2248">
      <c r="P2248" s="421" t="n"/>
    </row>
    <row r="2249">
      <c r="P2249" s="421" t="n"/>
    </row>
    <row r="2250">
      <c r="P2250" s="421" t="n"/>
    </row>
    <row r="2251">
      <c r="P2251" s="421" t="n"/>
    </row>
    <row r="2252">
      <c r="P2252" s="421" t="n"/>
    </row>
    <row r="2253">
      <c r="P2253" s="421" t="n"/>
    </row>
    <row r="2254">
      <c r="P2254" s="421" t="n"/>
    </row>
    <row r="2255">
      <c r="P2255" s="421" t="n"/>
    </row>
    <row r="2256">
      <c r="P2256" s="421" t="n"/>
    </row>
    <row r="2257">
      <c r="P2257" s="421" t="n"/>
    </row>
    <row r="2258">
      <c r="P2258" s="421" t="n"/>
    </row>
    <row r="2259">
      <c r="P2259" s="421" t="n"/>
    </row>
    <row r="2260">
      <c r="P2260" s="421" t="n"/>
    </row>
    <row r="2261">
      <c r="P2261" s="421" t="n"/>
    </row>
    <row r="2262">
      <c r="P2262" s="421" t="n"/>
    </row>
    <row r="2263">
      <c r="P2263" s="421" t="n"/>
    </row>
    <row r="2264">
      <c r="P2264" s="421" t="n"/>
    </row>
    <row r="2265">
      <c r="P2265" s="421" t="n"/>
    </row>
    <row r="2266">
      <c r="P2266" s="421" t="n"/>
    </row>
    <row r="2267">
      <c r="P2267" s="421" t="n"/>
    </row>
    <row r="2268">
      <c r="P2268" s="421" t="n"/>
    </row>
    <row r="2269">
      <c r="P2269" s="421" t="n"/>
    </row>
    <row r="2270">
      <c r="P2270" s="421" t="n"/>
    </row>
    <row r="2271">
      <c r="P2271" s="421" t="n"/>
    </row>
    <row r="2272">
      <c r="P2272" s="421" t="n"/>
    </row>
    <row r="2273">
      <c r="P2273" s="421" t="n"/>
    </row>
    <row r="2274">
      <c r="P2274" s="421" t="n"/>
    </row>
    <row r="2275">
      <c r="P2275" s="421" t="n"/>
    </row>
    <row r="2276">
      <c r="P2276" s="421" t="n"/>
    </row>
    <row r="2277">
      <c r="P2277" s="421" t="n"/>
    </row>
    <row r="2278">
      <c r="P2278" s="421" t="n"/>
    </row>
    <row r="2279">
      <c r="P2279" s="421" t="n"/>
    </row>
    <row r="2280">
      <c r="P2280" s="421" t="n"/>
    </row>
    <row r="2281">
      <c r="P2281" s="421" t="n"/>
    </row>
    <row r="2282">
      <c r="P2282" s="421" t="n"/>
    </row>
    <row r="2283">
      <c r="P2283" s="421" t="n"/>
    </row>
    <row r="2284">
      <c r="P2284" s="421" t="n"/>
    </row>
    <row r="2285">
      <c r="P2285" s="421" t="n"/>
    </row>
    <row r="2286">
      <c r="P2286" s="421" t="n"/>
    </row>
    <row r="2287">
      <c r="P2287" s="421" t="n"/>
    </row>
    <row r="2288">
      <c r="P2288" s="421" t="n"/>
    </row>
    <row r="2289">
      <c r="P2289" s="421" t="n"/>
    </row>
    <row r="2290">
      <c r="P2290" s="421" t="n"/>
    </row>
    <row r="2291">
      <c r="P2291" s="421" t="n"/>
    </row>
    <row r="2292">
      <c r="P2292" s="421" t="n"/>
    </row>
    <row r="2293">
      <c r="P2293" s="421" t="n"/>
    </row>
    <row r="2294">
      <c r="P2294" s="421" t="n"/>
    </row>
    <row r="2295">
      <c r="P2295" s="421" t="n"/>
    </row>
    <row r="2296">
      <c r="P2296" s="421" t="n"/>
    </row>
    <row r="2297">
      <c r="P2297" s="421" t="n"/>
    </row>
    <row r="2298">
      <c r="P2298" s="421" t="n"/>
    </row>
    <row r="2299">
      <c r="P2299" s="421" t="n"/>
    </row>
    <row r="2300">
      <c r="P2300" s="421" t="n"/>
    </row>
    <row r="2301">
      <c r="P2301" s="421" t="n"/>
    </row>
    <row r="2302">
      <c r="P2302" s="421" t="n"/>
    </row>
    <row r="2303">
      <c r="P2303" s="421" t="n"/>
    </row>
    <row r="2304">
      <c r="P2304" s="421" t="n"/>
    </row>
    <row r="2305">
      <c r="P2305" s="421" t="n"/>
    </row>
    <row r="2306">
      <c r="P2306" s="421" t="n"/>
    </row>
    <row r="2307">
      <c r="P2307" s="421" t="n"/>
    </row>
    <row r="2308">
      <c r="P2308" s="421" t="n"/>
    </row>
    <row r="2309">
      <c r="P2309" s="421" t="n"/>
    </row>
    <row r="2310">
      <c r="P2310" s="421" t="n"/>
    </row>
    <row r="2311">
      <c r="P2311" s="421" t="n"/>
    </row>
    <row r="2312">
      <c r="P2312" s="421" t="n"/>
    </row>
    <row r="2313">
      <c r="P2313" s="421" t="n"/>
    </row>
    <row r="2314">
      <c r="P2314" s="421" t="n"/>
    </row>
    <row r="2315">
      <c r="P2315" s="421" t="n"/>
    </row>
    <row r="2316">
      <c r="P2316" s="421" t="n"/>
    </row>
    <row r="2317">
      <c r="P2317" s="421" t="n"/>
    </row>
    <row r="2318">
      <c r="P2318" s="421" t="n"/>
    </row>
    <row r="2319">
      <c r="P2319" s="421" t="n"/>
    </row>
    <row r="2320">
      <c r="P2320" s="421" t="n"/>
    </row>
    <row r="2321">
      <c r="P2321" s="421" t="n"/>
    </row>
    <row r="2322">
      <c r="P2322" s="421" t="n"/>
    </row>
    <row r="2323">
      <c r="P2323" s="421" t="n"/>
    </row>
    <row r="2324">
      <c r="P2324" s="421" t="n"/>
    </row>
    <row r="2325">
      <c r="P2325" s="421" t="n"/>
    </row>
    <row r="2326">
      <c r="P2326" s="421" t="n"/>
    </row>
    <row r="2327">
      <c r="P2327" s="421" t="n"/>
    </row>
    <row r="2328">
      <c r="P2328" s="421" t="n"/>
    </row>
    <row r="2329">
      <c r="P2329" s="421" t="n"/>
    </row>
    <row r="2330">
      <c r="P2330" s="421" t="n"/>
    </row>
    <row r="2331">
      <c r="P2331" s="421" t="n"/>
    </row>
    <row r="2332">
      <c r="P2332" s="421" t="n"/>
    </row>
    <row r="2333">
      <c r="P2333" s="421" t="n"/>
    </row>
    <row r="2334">
      <c r="P2334" s="421" t="n"/>
    </row>
    <row r="2335">
      <c r="P2335" s="421" t="n"/>
    </row>
    <row r="2336">
      <c r="P2336" s="421" t="n"/>
    </row>
    <row r="2337">
      <c r="P2337" s="421" t="n"/>
    </row>
    <row r="2338">
      <c r="P2338" s="421" t="n"/>
    </row>
    <row r="2339">
      <c r="P2339" s="421" t="n"/>
    </row>
    <row r="2340">
      <c r="P2340" s="421" t="n"/>
    </row>
    <row r="2341">
      <c r="P2341" s="421" t="n"/>
    </row>
    <row r="2342">
      <c r="P2342" s="421" t="n"/>
    </row>
    <row r="2343">
      <c r="P2343" s="421" t="n"/>
    </row>
    <row r="2344">
      <c r="P2344" s="421" t="n"/>
    </row>
    <row r="2345">
      <c r="P2345" s="421" t="n"/>
    </row>
    <row r="2346">
      <c r="P2346" s="421" t="n"/>
    </row>
    <row r="2347">
      <c r="P2347" s="421" t="n"/>
    </row>
    <row r="2348">
      <c r="P2348" s="421" t="n"/>
    </row>
    <row r="2349">
      <c r="P2349" s="421" t="n"/>
    </row>
    <row r="2350">
      <c r="P2350" s="421" t="n"/>
    </row>
    <row r="2351">
      <c r="P2351" s="421" t="n"/>
    </row>
    <row r="2352">
      <c r="P2352" s="421" t="n"/>
    </row>
    <row r="2353">
      <c r="P2353" s="421" t="n"/>
    </row>
    <row r="2354">
      <c r="P2354" s="421" t="n"/>
    </row>
    <row r="2355">
      <c r="P2355" s="421" t="n"/>
    </row>
    <row r="2356">
      <c r="P2356" s="421" t="n"/>
    </row>
    <row r="2357">
      <c r="P2357" s="421" t="n"/>
    </row>
    <row r="2358">
      <c r="P2358" s="421" t="n"/>
    </row>
    <row r="2359">
      <c r="P2359" s="421" t="n"/>
    </row>
    <row r="2360">
      <c r="P2360" s="421" t="n"/>
    </row>
    <row r="2361">
      <c r="P2361" s="421" t="n"/>
    </row>
    <row r="2362">
      <c r="P2362" s="421" t="n"/>
    </row>
    <row r="2363">
      <c r="P2363" s="421" t="n"/>
    </row>
    <row r="2364">
      <c r="P2364" s="421" t="n"/>
    </row>
    <row r="2365">
      <c r="P2365" s="421" t="n"/>
    </row>
    <row r="2366">
      <c r="P2366" s="421" t="n"/>
    </row>
    <row r="2367">
      <c r="P2367" s="421" t="n"/>
    </row>
    <row r="2368">
      <c r="P2368" s="421" t="n"/>
    </row>
    <row r="2369">
      <c r="P2369" s="421" t="n"/>
    </row>
    <row r="2370">
      <c r="P2370" s="421" t="n"/>
    </row>
    <row r="2371">
      <c r="P2371" s="421" t="n"/>
    </row>
    <row r="2372">
      <c r="P2372" s="421" t="n"/>
    </row>
    <row r="2373">
      <c r="P2373" s="421" t="n"/>
    </row>
    <row r="2374">
      <c r="P2374" s="421" t="n"/>
    </row>
    <row r="2375">
      <c r="P2375" s="421" t="n"/>
    </row>
    <row r="2376">
      <c r="P2376" s="421" t="n"/>
    </row>
    <row r="2377">
      <c r="P2377" s="421" t="n"/>
    </row>
    <row r="2378">
      <c r="P2378" s="421" t="n"/>
    </row>
    <row r="2379">
      <c r="P2379" s="421" t="n"/>
    </row>
    <row r="2380">
      <c r="P2380" s="421" t="n"/>
    </row>
    <row r="2381">
      <c r="P2381" s="421" t="n"/>
    </row>
    <row r="2382">
      <c r="P2382" s="421" t="n"/>
    </row>
    <row r="2383">
      <c r="P2383" s="421" t="n"/>
    </row>
    <row r="2384">
      <c r="P2384" s="421" t="n"/>
    </row>
    <row r="2385">
      <c r="P2385" s="421" t="n"/>
    </row>
    <row r="2386">
      <c r="P2386" s="421" t="n"/>
    </row>
    <row r="2387">
      <c r="P2387" s="421" t="n"/>
    </row>
    <row r="2388">
      <c r="P2388" s="421" t="n"/>
    </row>
    <row r="2389">
      <c r="P2389" s="421" t="n"/>
    </row>
    <row r="2390">
      <c r="P2390" s="421" t="n"/>
    </row>
    <row r="2391">
      <c r="P2391" s="421" t="n"/>
    </row>
    <row r="2392">
      <c r="P2392" s="421" t="n"/>
    </row>
    <row r="2393">
      <c r="P2393" s="421" t="n"/>
    </row>
    <row r="2394">
      <c r="P2394" s="421" t="n"/>
    </row>
    <row r="2395">
      <c r="P2395" s="421" t="n"/>
    </row>
    <row r="2396">
      <c r="P2396" s="421" t="n"/>
    </row>
    <row r="2397">
      <c r="P2397" s="421" t="n"/>
    </row>
    <row r="2398">
      <c r="P2398" s="421" t="n"/>
    </row>
    <row r="2399">
      <c r="P2399" s="421" t="n"/>
    </row>
    <row r="2400">
      <c r="P2400" s="421" t="n"/>
    </row>
    <row r="2401">
      <c r="P2401" s="421" t="n"/>
    </row>
    <row r="2402">
      <c r="P2402" s="421" t="n"/>
    </row>
    <row r="2403">
      <c r="P2403" s="421" t="n"/>
    </row>
    <row r="2404">
      <c r="P2404" s="421" t="n"/>
    </row>
    <row r="2405">
      <c r="P2405" s="421" t="n"/>
    </row>
    <row r="2406">
      <c r="P2406" s="421" t="n"/>
    </row>
    <row r="2407">
      <c r="P2407" s="421" t="n"/>
    </row>
    <row r="2408">
      <c r="P2408" s="421" t="n"/>
    </row>
    <row r="2409">
      <c r="P2409" s="421" t="n"/>
    </row>
    <row r="2410">
      <c r="P2410" s="421" t="n"/>
    </row>
    <row r="2411">
      <c r="P2411" s="421" t="n"/>
    </row>
    <row r="2412">
      <c r="P2412" s="421" t="n"/>
    </row>
    <row r="2413">
      <c r="P2413" s="421" t="n"/>
    </row>
    <row r="2414">
      <c r="P2414" s="421" t="n"/>
    </row>
    <row r="2415">
      <c r="P2415" s="421" t="n"/>
    </row>
    <row r="2416">
      <c r="P2416" s="421" t="n"/>
    </row>
    <row r="2417">
      <c r="P2417" s="421" t="n"/>
    </row>
    <row r="2418">
      <c r="P2418" s="421" t="n"/>
    </row>
    <row r="2419">
      <c r="P2419" s="421" t="n"/>
    </row>
    <row r="2420">
      <c r="P2420" s="421" t="n"/>
    </row>
    <row r="2421">
      <c r="P2421" s="421" t="n"/>
    </row>
    <row r="2422">
      <c r="P2422" s="421" t="n"/>
    </row>
    <row r="2423">
      <c r="P2423" s="421" t="n"/>
    </row>
    <row r="2424">
      <c r="P2424" s="421" t="n"/>
    </row>
    <row r="2425">
      <c r="P2425" s="421" t="n"/>
    </row>
    <row r="2426">
      <c r="P2426" s="421" t="n"/>
    </row>
    <row r="2427">
      <c r="P2427" s="421" t="n"/>
    </row>
    <row r="2428">
      <c r="P2428" s="421" t="n"/>
    </row>
    <row r="2429">
      <c r="P2429" s="421" t="n"/>
    </row>
    <row r="2430">
      <c r="P2430" s="421" t="n"/>
    </row>
    <row r="2431">
      <c r="P2431" s="421" t="n"/>
    </row>
    <row r="2432">
      <c r="P2432" s="421" t="n"/>
    </row>
    <row r="2433">
      <c r="P2433" s="421" t="n"/>
    </row>
    <row r="2434">
      <c r="P2434" s="421" t="n"/>
    </row>
    <row r="2435">
      <c r="P2435" s="421" t="n"/>
    </row>
    <row r="2436">
      <c r="P2436" s="421" t="n"/>
    </row>
    <row r="2437">
      <c r="P2437" s="421" t="n"/>
    </row>
    <row r="2438">
      <c r="P2438" s="421" t="n"/>
    </row>
    <row r="2439">
      <c r="P2439" s="421" t="n"/>
    </row>
    <row r="2440">
      <c r="P2440" s="421" t="n"/>
    </row>
    <row r="2441">
      <c r="P2441" s="421" t="n"/>
    </row>
    <row r="2442">
      <c r="P2442" s="421" t="n"/>
    </row>
    <row r="2443">
      <c r="P2443" s="421" t="n"/>
    </row>
    <row r="2444">
      <c r="P2444" s="421" t="n"/>
    </row>
    <row r="2445">
      <c r="P2445" s="421" t="n"/>
    </row>
    <row r="2446">
      <c r="P2446" s="421" t="n"/>
    </row>
    <row r="2447">
      <c r="P2447" s="421" t="n"/>
    </row>
    <row r="2448">
      <c r="P2448" s="421" t="n"/>
    </row>
    <row r="2449">
      <c r="P2449" s="421" t="n"/>
    </row>
    <row r="2450">
      <c r="P2450" s="421" t="n"/>
    </row>
    <row r="2451">
      <c r="P2451" s="421" t="n"/>
    </row>
    <row r="2452">
      <c r="P2452" s="421" t="n"/>
    </row>
    <row r="2453">
      <c r="P2453" s="421" t="n"/>
    </row>
    <row r="2454">
      <c r="P2454" s="421" t="n"/>
    </row>
    <row r="2455">
      <c r="P2455" s="421" t="n"/>
    </row>
    <row r="2456">
      <c r="P2456" s="421" t="n"/>
    </row>
    <row r="2457">
      <c r="P2457" s="421" t="n"/>
    </row>
    <row r="2458">
      <c r="P2458" s="421" t="n"/>
    </row>
    <row r="2459">
      <c r="P2459" s="421" t="n"/>
    </row>
    <row r="2460">
      <c r="P2460" s="421" t="n"/>
    </row>
    <row r="2461">
      <c r="P2461" s="421" t="n"/>
    </row>
    <row r="2462">
      <c r="P2462" s="421" t="n"/>
    </row>
    <row r="2463">
      <c r="P2463" s="421" t="n"/>
    </row>
    <row r="2464">
      <c r="P2464" s="421" t="n"/>
    </row>
    <row r="2465">
      <c r="P2465" s="421" t="n"/>
    </row>
    <row r="2466">
      <c r="P2466" s="421" t="n"/>
    </row>
    <row r="2467">
      <c r="P2467" s="421" t="n"/>
    </row>
    <row r="2468">
      <c r="P2468" s="421" t="n"/>
    </row>
    <row r="2469">
      <c r="P2469" s="421" t="n"/>
    </row>
    <row r="2470">
      <c r="P2470" s="421" t="n"/>
    </row>
    <row r="2471">
      <c r="P2471" s="421" t="n"/>
    </row>
    <row r="2472">
      <c r="P2472" s="421" t="n"/>
    </row>
    <row r="2473">
      <c r="P2473" s="421" t="n"/>
    </row>
    <row r="2474">
      <c r="P2474" s="421" t="n"/>
    </row>
    <row r="2475">
      <c r="P2475" s="421" t="n"/>
    </row>
    <row r="2476">
      <c r="P2476" s="421" t="n"/>
    </row>
    <row r="2477">
      <c r="P2477" s="421" t="n"/>
    </row>
    <row r="2478">
      <c r="P2478" s="421" t="n"/>
    </row>
    <row r="2479">
      <c r="P2479" s="421" t="n"/>
    </row>
    <row r="2480">
      <c r="P2480" s="421" t="n"/>
    </row>
    <row r="2481">
      <c r="P2481" s="421" t="n"/>
    </row>
    <row r="2482">
      <c r="P2482" s="421" t="n"/>
    </row>
    <row r="2483">
      <c r="P2483" s="421" t="n"/>
    </row>
    <row r="2484">
      <c r="P2484" s="421" t="n"/>
    </row>
    <row r="2485">
      <c r="P2485" s="421" t="n"/>
    </row>
    <row r="2486">
      <c r="P2486" s="421" t="n"/>
    </row>
    <row r="2487">
      <c r="P2487" s="421" t="n"/>
    </row>
    <row r="2488">
      <c r="P2488" s="421" t="n"/>
    </row>
    <row r="2489">
      <c r="P2489" s="421" t="n"/>
    </row>
    <row r="2490">
      <c r="P2490" s="421" t="n"/>
    </row>
    <row r="2491">
      <c r="P2491" s="421" t="n"/>
    </row>
    <row r="2492">
      <c r="P2492" s="421" t="n"/>
    </row>
    <row r="2493">
      <c r="P2493" s="421" t="n"/>
    </row>
    <row r="2494">
      <c r="P2494" s="421" t="n"/>
    </row>
    <row r="2495">
      <c r="P2495" s="421" t="n"/>
    </row>
    <row r="2496">
      <c r="P2496" s="421" t="n"/>
    </row>
    <row r="2497">
      <c r="P2497" s="421" t="n"/>
    </row>
    <row r="2498">
      <c r="P2498" s="421" t="n"/>
    </row>
    <row r="2499">
      <c r="P2499" s="421" t="n"/>
    </row>
    <row r="2500">
      <c r="P2500" s="421" t="n"/>
    </row>
    <row r="2501">
      <c r="P2501" s="421" t="n"/>
    </row>
    <row r="2502">
      <c r="P2502" s="421" t="n"/>
    </row>
    <row r="2503">
      <c r="P2503" s="421" t="n"/>
    </row>
    <row r="2504">
      <c r="P2504" s="421" t="n"/>
    </row>
    <row r="2505">
      <c r="P2505" s="421" t="n"/>
    </row>
    <row r="2506">
      <c r="P2506" s="421" t="n"/>
    </row>
    <row r="2507">
      <c r="P2507" s="421" t="n"/>
    </row>
    <row r="2508">
      <c r="P2508" s="421" t="n"/>
    </row>
    <row r="2509">
      <c r="P2509" s="421" t="n"/>
    </row>
    <row r="2510">
      <c r="P2510" s="421" t="n"/>
    </row>
    <row r="2511">
      <c r="P2511" s="421" t="n"/>
    </row>
    <row r="2512">
      <c r="P2512" s="421" t="n"/>
    </row>
    <row r="2513">
      <c r="P2513" s="421" t="n"/>
    </row>
    <row r="2514">
      <c r="P2514" s="421" t="n"/>
    </row>
    <row r="2515">
      <c r="P2515" s="421" t="n"/>
    </row>
    <row r="2516">
      <c r="P2516" s="421" t="n"/>
    </row>
    <row r="2517">
      <c r="P2517" s="421" t="n"/>
    </row>
    <row r="2518">
      <c r="P2518" s="421" t="n"/>
    </row>
    <row r="2519">
      <c r="P2519" s="421" t="n"/>
    </row>
    <row r="2520">
      <c r="P2520" s="421" t="n"/>
    </row>
    <row r="2521">
      <c r="P2521" s="421" t="n"/>
    </row>
    <row r="2522">
      <c r="P2522" s="421" t="n"/>
    </row>
    <row r="2523">
      <c r="P2523" s="421" t="n"/>
    </row>
    <row r="2524">
      <c r="P2524" s="421" t="n"/>
    </row>
    <row r="2525">
      <c r="P2525" s="421" t="n"/>
    </row>
    <row r="2526">
      <c r="P2526" s="421" t="n"/>
    </row>
    <row r="2527">
      <c r="P2527" s="421" t="n"/>
    </row>
    <row r="2528">
      <c r="P2528" s="421" t="n"/>
    </row>
    <row r="2529">
      <c r="P2529" s="421" t="n"/>
    </row>
    <row r="2530">
      <c r="P2530" s="421" t="n"/>
    </row>
    <row r="2531">
      <c r="P2531" s="421" t="n"/>
    </row>
    <row r="2532">
      <c r="P2532" s="421" t="n"/>
    </row>
    <row r="2533">
      <c r="P2533" s="421" t="n"/>
    </row>
    <row r="2534">
      <c r="P2534" s="421" t="n"/>
    </row>
    <row r="2535">
      <c r="P2535" s="421" t="n"/>
    </row>
    <row r="2536">
      <c r="P2536" s="421" t="n"/>
    </row>
    <row r="2537">
      <c r="P2537" s="421" t="n"/>
    </row>
    <row r="2538">
      <c r="P2538" s="421" t="n"/>
    </row>
    <row r="2539">
      <c r="P2539" s="421" t="n"/>
    </row>
    <row r="2540">
      <c r="P2540" s="421" t="n"/>
    </row>
    <row r="2541">
      <c r="P2541" s="421" t="n"/>
    </row>
    <row r="2542">
      <c r="P2542" s="421" t="n"/>
    </row>
    <row r="2543">
      <c r="P2543" s="421" t="n"/>
    </row>
    <row r="2544">
      <c r="P2544" s="421" t="n"/>
    </row>
    <row r="2545">
      <c r="P2545" s="421" t="n"/>
    </row>
    <row r="2546">
      <c r="P2546" s="421" t="n"/>
    </row>
    <row r="2547">
      <c r="P2547" s="421" t="n"/>
    </row>
    <row r="2548">
      <c r="P2548" s="421" t="n"/>
    </row>
    <row r="2549">
      <c r="P2549" s="421" t="n"/>
    </row>
    <row r="2550">
      <c r="P2550" s="421" t="n"/>
    </row>
    <row r="2551">
      <c r="P2551" s="421" t="n"/>
    </row>
    <row r="2552">
      <c r="P2552" s="421" t="n"/>
    </row>
    <row r="2553">
      <c r="P2553" s="421" t="n"/>
    </row>
    <row r="2554">
      <c r="P2554" s="421" t="n"/>
    </row>
    <row r="2555">
      <c r="P2555" s="421" t="n"/>
    </row>
    <row r="2556">
      <c r="P2556" s="421" t="n"/>
    </row>
    <row r="2557">
      <c r="P2557" s="421" t="n"/>
    </row>
    <row r="2558">
      <c r="P2558" s="421" t="n"/>
    </row>
    <row r="2559">
      <c r="P2559" s="421" t="n"/>
    </row>
    <row r="2560">
      <c r="P2560" s="421" t="n"/>
    </row>
    <row r="2561">
      <c r="P2561" s="421" t="n"/>
    </row>
    <row r="2562">
      <c r="P2562" s="421" t="n"/>
    </row>
    <row r="2563">
      <c r="P2563" s="421" t="n"/>
    </row>
    <row r="2564">
      <c r="P2564" s="421" t="n"/>
    </row>
    <row r="2565">
      <c r="P2565" s="421" t="n"/>
    </row>
    <row r="2566">
      <c r="P2566" s="421" t="n"/>
    </row>
    <row r="2567">
      <c r="P2567" s="421" t="n"/>
    </row>
    <row r="2568">
      <c r="P2568" s="421" t="n"/>
    </row>
    <row r="2569">
      <c r="P2569" s="421" t="n"/>
    </row>
    <row r="2570">
      <c r="P2570" s="421" t="n"/>
    </row>
    <row r="2571">
      <c r="P2571" s="421" t="n"/>
    </row>
    <row r="2572">
      <c r="P2572" s="421" t="n"/>
    </row>
    <row r="2573">
      <c r="P2573" s="421" t="n"/>
    </row>
    <row r="2574">
      <c r="P2574" s="421" t="n"/>
    </row>
    <row r="2575">
      <c r="P2575" s="421" t="n"/>
    </row>
    <row r="2576">
      <c r="P2576" s="421" t="n"/>
    </row>
    <row r="2577">
      <c r="P2577" s="421" t="n"/>
    </row>
    <row r="2578">
      <c r="P2578" s="421" t="n"/>
    </row>
    <row r="2579">
      <c r="P2579" s="421" t="n"/>
    </row>
    <row r="2580">
      <c r="P2580" s="421" t="n"/>
    </row>
    <row r="2581">
      <c r="P2581" s="421" t="n"/>
    </row>
    <row r="2582">
      <c r="P2582" s="421" t="n"/>
    </row>
    <row r="2583">
      <c r="P2583" s="421" t="n"/>
    </row>
    <row r="2584">
      <c r="P2584" s="421" t="n"/>
    </row>
    <row r="2585">
      <c r="P2585" s="421" t="n"/>
    </row>
    <row r="2586">
      <c r="P2586" s="421" t="n"/>
    </row>
    <row r="2587">
      <c r="P2587" s="421" t="n"/>
    </row>
    <row r="2588">
      <c r="P2588" s="421" t="n"/>
    </row>
    <row r="2589">
      <c r="P2589" s="421" t="n"/>
    </row>
    <row r="2590">
      <c r="P2590" s="421" t="n"/>
    </row>
    <row r="2591">
      <c r="P2591" s="421" t="n"/>
    </row>
    <row r="2592">
      <c r="P2592" s="421" t="n"/>
    </row>
    <row r="2593">
      <c r="P2593" s="421" t="n"/>
    </row>
    <row r="2594">
      <c r="P2594" s="421" t="n"/>
    </row>
    <row r="2595">
      <c r="P2595" s="421" t="n"/>
    </row>
    <row r="2596">
      <c r="P2596" s="421" t="n"/>
    </row>
    <row r="2597">
      <c r="P2597" s="421" t="n"/>
    </row>
    <row r="2598">
      <c r="P2598" s="421" t="n"/>
    </row>
    <row r="2599">
      <c r="P2599" s="421" t="n"/>
    </row>
    <row r="2600">
      <c r="P2600" s="421" t="n"/>
    </row>
    <row r="2601">
      <c r="P2601" s="421" t="n"/>
    </row>
    <row r="2602">
      <c r="P2602" s="421" t="n"/>
    </row>
    <row r="2603">
      <c r="P2603" s="421" t="n"/>
    </row>
    <row r="2604">
      <c r="P2604" s="421" t="n"/>
    </row>
    <row r="2605">
      <c r="P2605" s="421" t="n"/>
    </row>
    <row r="2606">
      <c r="P2606" s="421" t="n"/>
    </row>
    <row r="2607">
      <c r="P2607" s="421" t="n"/>
    </row>
    <row r="2608">
      <c r="P2608" s="421" t="n"/>
    </row>
    <row r="2609">
      <c r="P2609" s="421" t="n"/>
    </row>
    <row r="2610">
      <c r="P2610" s="421" t="n"/>
    </row>
    <row r="2611">
      <c r="P2611" s="421" t="n"/>
    </row>
    <row r="2612">
      <c r="P2612" s="421" t="n"/>
    </row>
    <row r="2613">
      <c r="P2613" s="421" t="n"/>
    </row>
    <row r="2614">
      <c r="P2614" s="421" t="n"/>
    </row>
    <row r="2615">
      <c r="P2615" s="421" t="n"/>
    </row>
    <row r="2616">
      <c r="P2616" s="421" t="n"/>
    </row>
    <row r="2617">
      <c r="P2617" s="421" t="n"/>
    </row>
    <row r="2618">
      <c r="P2618" s="421" t="n"/>
    </row>
    <row r="2619">
      <c r="P2619" s="421" t="n"/>
    </row>
    <row r="2620">
      <c r="P2620" s="421" t="n"/>
    </row>
    <row r="2621">
      <c r="P2621" s="421" t="n"/>
    </row>
    <row r="2622">
      <c r="P2622" s="421" t="n"/>
    </row>
    <row r="2623">
      <c r="P2623" s="421" t="n"/>
    </row>
    <row r="2624">
      <c r="P2624" s="421" t="n"/>
    </row>
    <row r="2625">
      <c r="P2625" s="421" t="n"/>
    </row>
    <row r="2626">
      <c r="P2626" s="421" t="n"/>
    </row>
    <row r="2627">
      <c r="P2627" s="421" t="n"/>
    </row>
    <row r="2628">
      <c r="P2628" s="421" t="n"/>
    </row>
    <row r="2629">
      <c r="P2629" s="421" t="n"/>
    </row>
    <row r="2630">
      <c r="P2630" s="421" t="n"/>
    </row>
    <row r="2631">
      <c r="P2631" s="421" t="n"/>
    </row>
    <row r="2632">
      <c r="P2632" s="421" t="n"/>
    </row>
    <row r="2633">
      <c r="P2633" s="421" t="n"/>
    </row>
    <row r="2634">
      <c r="P2634" s="421" t="n"/>
    </row>
    <row r="2635">
      <c r="P2635" s="421" t="n"/>
    </row>
    <row r="2636">
      <c r="P2636" s="421" t="n"/>
    </row>
    <row r="2637">
      <c r="P2637" s="421" t="n"/>
    </row>
    <row r="2638">
      <c r="P2638" s="421" t="n"/>
    </row>
    <row r="2639">
      <c r="P2639" s="421" t="n"/>
    </row>
    <row r="2640">
      <c r="P2640" s="421" t="n"/>
    </row>
    <row r="2641">
      <c r="P2641" s="421" t="n"/>
    </row>
    <row r="2642">
      <c r="P2642" s="421" t="n"/>
    </row>
    <row r="2643">
      <c r="P2643" s="421" t="n"/>
    </row>
    <row r="2644">
      <c r="P2644" s="421" t="n"/>
    </row>
    <row r="2645">
      <c r="P2645" s="421" t="n"/>
    </row>
    <row r="2646">
      <c r="P2646" s="421" t="n"/>
    </row>
    <row r="2647">
      <c r="P2647" s="421" t="n"/>
    </row>
    <row r="2648">
      <c r="P2648" s="421" t="n"/>
    </row>
    <row r="2649">
      <c r="P2649" s="421" t="n"/>
    </row>
    <row r="2650">
      <c r="P2650" s="421" t="n"/>
    </row>
    <row r="2651">
      <c r="P2651" s="421" t="n"/>
    </row>
    <row r="2652">
      <c r="P2652" s="421" t="n"/>
    </row>
    <row r="2653">
      <c r="P2653" s="421" t="n"/>
    </row>
    <row r="2654">
      <c r="P2654" s="421" t="n"/>
    </row>
    <row r="2655">
      <c r="P2655" s="421" t="n"/>
    </row>
    <row r="2656">
      <c r="P2656" s="421" t="n"/>
    </row>
    <row r="2657">
      <c r="P2657" s="421" t="n"/>
    </row>
    <row r="2658">
      <c r="P2658" s="421" t="n"/>
    </row>
    <row r="2659">
      <c r="P2659" s="421" t="n"/>
    </row>
    <row r="2660">
      <c r="P2660" s="421" t="n"/>
    </row>
    <row r="2661">
      <c r="P2661" s="421" t="n"/>
    </row>
    <row r="2662">
      <c r="P2662" s="421" t="n"/>
    </row>
    <row r="2663">
      <c r="P2663" s="421" t="n"/>
    </row>
    <row r="2664">
      <c r="P2664" s="421" t="n"/>
    </row>
    <row r="2665">
      <c r="P2665" s="421" t="n"/>
    </row>
    <row r="2666">
      <c r="P2666" s="421" t="n"/>
    </row>
    <row r="2667">
      <c r="P2667" s="421" t="n"/>
    </row>
    <row r="2668">
      <c r="P2668" s="421" t="n"/>
    </row>
    <row r="2669">
      <c r="P2669" s="421" t="n"/>
    </row>
    <row r="2670">
      <c r="P2670" s="421" t="n"/>
    </row>
    <row r="2671">
      <c r="P2671" s="421" t="n"/>
    </row>
    <row r="2672">
      <c r="P2672" s="421" t="n"/>
    </row>
    <row r="2673">
      <c r="P2673" s="421" t="n"/>
    </row>
    <row r="2674">
      <c r="P2674" s="421" t="n"/>
    </row>
    <row r="2675">
      <c r="P2675" s="421" t="n"/>
    </row>
    <row r="2676">
      <c r="P2676" s="421" t="n"/>
    </row>
    <row r="2677">
      <c r="P2677" s="421" t="n"/>
    </row>
    <row r="2678">
      <c r="P2678" s="421" t="n"/>
    </row>
    <row r="2679">
      <c r="P2679" s="421" t="n"/>
    </row>
    <row r="2680">
      <c r="P2680" s="421" t="n"/>
    </row>
    <row r="2681">
      <c r="P2681" s="421" t="n"/>
    </row>
    <row r="2682">
      <c r="P2682" s="421" t="n"/>
    </row>
    <row r="2683">
      <c r="P2683" s="421" t="n"/>
    </row>
    <row r="2684">
      <c r="P2684" s="421" t="n"/>
    </row>
    <row r="2685">
      <c r="P2685" s="421" t="n"/>
    </row>
    <row r="2686">
      <c r="P2686" s="421" t="n"/>
    </row>
    <row r="2687">
      <c r="P2687" s="421" t="n"/>
    </row>
    <row r="2688">
      <c r="P2688" s="421" t="n"/>
    </row>
    <row r="2689">
      <c r="P2689" s="421" t="n"/>
    </row>
    <row r="2690">
      <c r="P2690" s="421" t="n"/>
    </row>
    <row r="2691">
      <c r="P2691" s="421" t="n"/>
    </row>
    <row r="2692">
      <c r="P2692" s="421" t="n"/>
    </row>
    <row r="2693">
      <c r="P2693" s="421" t="n"/>
    </row>
    <row r="2694">
      <c r="P2694" s="421" t="n"/>
    </row>
    <row r="2695">
      <c r="P2695" s="421" t="n"/>
    </row>
    <row r="2696">
      <c r="P2696" s="421" t="n"/>
    </row>
    <row r="2697">
      <c r="P2697" s="421" t="n"/>
    </row>
    <row r="2698">
      <c r="P2698" s="421" t="n"/>
    </row>
    <row r="2699">
      <c r="P2699" s="421" t="n"/>
    </row>
    <row r="2700">
      <c r="P2700" s="421" t="n"/>
    </row>
    <row r="2701">
      <c r="P2701" s="421" t="n"/>
    </row>
    <row r="2702">
      <c r="P2702" s="421" t="n"/>
    </row>
    <row r="2703">
      <c r="P2703" s="421" t="n"/>
    </row>
    <row r="2704">
      <c r="P2704" s="421" t="n"/>
    </row>
    <row r="2705">
      <c r="P2705" s="421" t="n"/>
    </row>
    <row r="2706">
      <c r="P2706" s="421" t="n"/>
    </row>
    <row r="2707">
      <c r="P2707" s="421" t="n"/>
    </row>
    <row r="2708">
      <c r="P2708" s="421" t="n"/>
    </row>
    <row r="2709">
      <c r="P2709" s="421" t="n"/>
    </row>
    <row r="2710">
      <c r="P2710" s="421" t="n"/>
    </row>
    <row r="2711">
      <c r="P2711" s="421" t="n"/>
    </row>
    <row r="2712">
      <c r="P2712" s="421" t="n"/>
    </row>
    <row r="2713">
      <c r="P2713" s="421" t="n"/>
    </row>
    <row r="2714">
      <c r="P2714" s="421" t="n"/>
    </row>
    <row r="2715">
      <c r="P2715" s="421" t="n"/>
    </row>
    <row r="2716">
      <c r="P2716" s="421" t="n"/>
    </row>
    <row r="2717">
      <c r="P2717" s="421" t="n"/>
    </row>
    <row r="2718">
      <c r="P2718" s="421" t="n"/>
    </row>
    <row r="2719">
      <c r="P2719" s="421" t="n"/>
    </row>
    <row r="2720">
      <c r="P2720" s="421" t="n"/>
    </row>
    <row r="2721">
      <c r="P2721" s="421" t="n"/>
    </row>
    <row r="2722">
      <c r="P2722" s="421" t="n"/>
    </row>
    <row r="2723">
      <c r="P2723" s="421" t="n"/>
    </row>
    <row r="2724">
      <c r="P2724" s="421" t="n"/>
    </row>
    <row r="2725">
      <c r="P2725" s="421" t="n"/>
    </row>
    <row r="2726">
      <c r="P2726" s="421" t="n"/>
    </row>
    <row r="2727">
      <c r="P2727" s="421" t="n"/>
    </row>
    <row r="2728">
      <c r="P2728" s="421" t="n"/>
    </row>
    <row r="2729">
      <c r="P2729" s="421" t="n"/>
    </row>
    <row r="2730">
      <c r="P2730" s="421" t="n"/>
    </row>
    <row r="2731">
      <c r="P2731" s="421" t="n"/>
    </row>
    <row r="2732">
      <c r="P2732" s="421" t="n"/>
    </row>
    <row r="2733">
      <c r="P2733" s="421" t="n"/>
    </row>
    <row r="2734">
      <c r="P2734" s="421" t="n"/>
    </row>
    <row r="2735">
      <c r="P2735" s="421" t="n"/>
    </row>
    <row r="2736">
      <c r="P2736" s="421" t="n"/>
    </row>
    <row r="2737">
      <c r="P2737" s="421" t="n"/>
    </row>
    <row r="2738">
      <c r="P2738" s="421" t="n"/>
    </row>
    <row r="2739">
      <c r="P2739" s="421" t="n"/>
    </row>
    <row r="2740">
      <c r="P2740" s="421" t="n"/>
    </row>
    <row r="2741">
      <c r="P2741" s="421" t="n"/>
    </row>
    <row r="2742">
      <c r="P2742" s="421" t="n"/>
    </row>
    <row r="2743">
      <c r="P2743" s="421" t="n"/>
    </row>
    <row r="2744">
      <c r="P2744" s="421" t="n"/>
    </row>
    <row r="2745">
      <c r="P2745" s="421" t="n"/>
    </row>
    <row r="2746">
      <c r="P2746" s="421" t="n"/>
    </row>
    <row r="2747">
      <c r="P2747" s="421" t="n"/>
    </row>
    <row r="2748">
      <c r="P2748" s="421" t="n"/>
    </row>
    <row r="2749">
      <c r="P2749" s="421" t="n"/>
    </row>
    <row r="2750">
      <c r="P2750" s="421" t="n"/>
    </row>
    <row r="2751">
      <c r="P2751" s="421" t="n"/>
    </row>
    <row r="2752">
      <c r="P2752" s="421" t="n"/>
    </row>
    <row r="2753">
      <c r="P2753" s="421" t="n"/>
    </row>
    <row r="2754">
      <c r="P2754" s="421" t="n"/>
    </row>
    <row r="2755">
      <c r="P2755" s="421" t="n"/>
    </row>
    <row r="2756">
      <c r="P2756" s="421" t="n"/>
    </row>
    <row r="2757">
      <c r="P2757" s="421" t="n"/>
    </row>
    <row r="2758">
      <c r="P2758" s="421" t="n"/>
    </row>
    <row r="2759">
      <c r="P2759" s="421" t="n"/>
    </row>
    <row r="2760">
      <c r="P2760" s="421" t="n"/>
    </row>
    <row r="2761">
      <c r="P2761" s="421" t="n"/>
    </row>
    <row r="2762">
      <c r="P2762" s="421" t="n"/>
    </row>
    <row r="2763">
      <c r="P2763" s="421" t="n"/>
    </row>
    <row r="2764">
      <c r="P2764" s="421" t="n"/>
    </row>
    <row r="2765">
      <c r="P2765" s="421" t="n"/>
    </row>
    <row r="2766">
      <c r="P2766" s="421" t="n"/>
    </row>
    <row r="2767">
      <c r="P2767" s="421" t="n"/>
    </row>
    <row r="2768">
      <c r="P2768" s="421" t="n"/>
    </row>
    <row r="2769">
      <c r="P2769" s="421" t="n"/>
    </row>
    <row r="2770">
      <c r="P2770" s="421" t="n"/>
    </row>
    <row r="2771">
      <c r="P2771" s="421" t="n"/>
    </row>
    <row r="2772">
      <c r="P2772" s="421" t="n"/>
    </row>
    <row r="2773">
      <c r="P2773" s="421" t="n"/>
    </row>
    <row r="2774">
      <c r="P2774" s="421" t="n"/>
    </row>
    <row r="2775">
      <c r="P2775" s="421" t="n"/>
    </row>
    <row r="2776">
      <c r="P2776" s="421" t="n"/>
    </row>
    <row r="2777">
      <c r="P2777" s="421" t="n"/>
    </row>
    <row r="2778">
      <c r="P2778" s="421" t="n"/>
    </row>
    <row r="2779">
      <c r="P2779" s="421" t="n"/>
    </row>
    <row r="2780">
      <c r="P2780" s="421" t="n"/>
    </row>
    <row r="2781">
      <c r="P2781" s="421" t="n"/>
    </row>
    <row r="2782">
      <c r="P2782" s="421" t="n"/>
    </row>
    <row r="2783">
      <c r="P2783" s="421" t="n"/>
    </row>
    <row r="2784">
      <c r="P2784" s="421" t="n"/>
    </row>
    <row r="2785">
      <c r="P2785" s="421" t="n"/>
    </row>
    <row r="2786">
      <c r="P2786" s="421" t="n"/>
    </row>
    <row r="2787">
      <c r="P2787" s="421" t="n"/>
    </row>
    <row r="2788">
      <c r="P2788" s="421" t="n"/>
    </row>
    <row r="2789">
      <c r="P2789" s="421" t="n"/>
    </row>
    <row r="2790">
      <c r="P2790" s="421" t="n"/>
    </row>
    <row r="2791">
      <c r="P2791" s="421" t="n"/>
    </row>
    <row r="2792">
      <c r="P2792" s="421" t="n"/>
    </row>
    <row r="2793">
      <c r="P2793" s="421" t="n"/>
    </row>
    <row r="2794">
      <c r="P2794" s="421" t="n"/>
    </row>
    <row r="2795">
      <c r="P2795" s="421" t="n"/>
    </row>
    <row r="2796">
      <c r="P2796" s="421" t="n"/>
    </row>
    <row r="2797">
      <c r="P2797" s="421" t="n"/>
    </row>
    <row r="2798">
      <c r="P2798" s="421" t="n"/>
    </row>
    <row r="2799">
      <c r="P2799" s="421" t="n"/>
    </row>
    <row r="2800">
      <c r="P2800" s="421" t="n"/>
    </row>
    <row r="2801">
      <c r="P2801" s="421" t="n"/>
    </row>
    <row r="2802">
      <c r="P2802" s="421" t="n"/>
    </row>
    <row r="2803">
      <c r="P2803" s="421" t="n"/>
    </row>
    <row r="2804">
      <c r="P2804" s="421" t="n"/>
    </row>
    <row r="2805">
      <c r="P2805" s="421" t="n"/>
    </row>
    <row r="2806">
      <c r="P2806" s="421" t="n"/>
    </row>
    <row r="2807">
      <c r="P2807" s="421" t="n"/>
    </row>
    <row r="2808">
      <c r="P2808" s="421" t="n"/>
    </row>
    <row r="2809">
      <c r="P2809" s="421" t="n"/>
    </row>
    <row r="2810">
      <c r="P2810" s="421" t="n"/>
    </row>
    <row r="2811">
      <c r="P2811" s="421" t="n"/>
    </row>
    <row r="2812">
      <c r="P2812" s="421" t="n"/>
    </row>
    <row r="2813">
      <c r="P2813" s="421" t="n"/>
    </row>
    <row r="2814">
      <c r="P2814" s="421" t="n"/>
    </row>
    <row r="2815">
      <c r="P2815" s="421" t="n"/>
    </row>
    <row r="2816">
      <c r="P2816" s="421" t="n"/>
    </row>
    <row r="2817">
      <c r="P2817" s="421" t="n"/>
    </row>
    <row r="2818">
      <c r="P2818" s="421" t="n"/>
    </row>
    <row r="2819">
      <c r="P2819" s="421" t="n"/>
    </row>
    <row r="2820">
      <c r="P2820" s="421" t="n"/>
    </row>
    <row r="2821">
      <c r="P2821" s="421" t="n"/>
    </row>
    <row r="2822">
      <c r="P2822" s="421" t="n"/>
    </row>
    <row r="2823">
      <c r="P2823" s="421" t="n"/>
    </row>
    <row r="2824">
      <c r="P2824" s="421" t="n"/>
    </row>
    <row r="2825">
      <c r="P2825" s="421" t="n"/>
    </row>
    <row r="2826">
      <c r="P2826" s="421" t="n"/>
    </row>
    <row r="2827">
      <c r="P2827" s="421" t="n"/>
    </row>
    <row r="2828">
      <c r="P2828" s="421" t="n"/>
    </row>
    <row r="2829">
      <c r="P2829" s="421" t="n"/>
    </row>
    <row r="2830">
      <c r="P2830" s="421" t="n"/>
    </row>
    <row r="2831">
      <c r="P2831" s="421" t="n"/>
    </row>
    <row r="2832">
      <c r="P2832" s="421" t="n"/>
    </row>
    <row r="2833">
      <c r="P2833" s="421" t="n"/>
    </row>
    <row r="2834">
      <c r="P2834" s="421" t="n"/>
    </row>
    <row r="2835">
      <c r="P2835" s="421" t="n"/>
    </row>
    <row r="2836">
      <c r="P2836" s="421" t="n"/>
    </row>
    <row r="2837">
      <c r="P2837" s="421" t="n"/>
    </row>
    <row r="2838">
      <c r="P2838" s="421" t="n"/>
    </row>
    <row r="2839">
      <c r="P2839" s="421" t="n"/>
    </row>
    <row r="2840">
      <c r="P2840" s="421" t="n"/>
    </row>
    <row r="2841">
      <c r="P2841" s="421" t="n"/>
    </row>
    <row r="2842">
      <c r="P2842" s="421" t="n"/>
    </row>
    <row r="2843">
      <c r="P2843" s="421" t="n"/>
    </row>
    <row r="2844">
      <c r="P2844" s="421" t="n"/>
    </row>
    <row r="2845">
      <c r="P2845" s="421" t="n"/>
    </row>
    <row r="2846">
      <c r="P2846" s="421" t="n"/>
    </row>
    <row r="2847">
      <c r="P2847" s="421" t="n"/>
    </row>
    <row r="2848">
      <c r="P2848" s="421" t="n"/>
    </row>
    <row r="2849">
      <c r="P2849" s="421" t="n"/>
    </row>
    <row r="2850">
      <c r="P2850" s="421" t="n"/>
    </row>
    <row r="2851">
      <c r="P2851" s="421" t="n"/>
    </row>
    <row r="2852">
      <c r="P2852" s="421" t="n"/>
    </row>
    <row r="2853">
      <c r="P2853" s="421" t="n"/>
    </row>
    <row r="2854">
      <c r="P2854" s="421" t="n"/>
    </row>
    <row r="2855">
      <c r="P2855" s="421" t="n"/>
    </row>
    <row r="2856">
      <c r="P2856" s="421" t="n"/>
    </row>
    <row r="2857">
      <c r="P2857" s="421" t="n"/>
    </row>
    <row r="2858">
      <c r="P2858" s="421" t="n"/>
    </row>
    <row r="2859">
      <c r="P2859" s="421" t="n"/>
    </row>
    <row r="2860">
      <c r="P2860" s="421" t="n"/>
    </row>
    <row r="2861">
      <c r="P2861" s="421" t="n"/>
    </row>
    <row r="2862">
      <c r="P2862" s="421" t="n"/>
    </row>
    <row r="2863">
      <c r="P2863" s="421" t="n"/>
    </row>
    <row r="2864">
      <c r="P2864" s="421" t="n"/>
    </row>
    <row r="2865">
      <c r="P2865" s="421" t="n"/>
    </row>
    <row r="2866">
      <c r="P2866" s="421" t="n"/>
    </row>
    <row r="2867">
      <c r="P2867" s="421" t="n"/>
    </row>
    <row r="2868">
      <c r="P2868" s="421" t="n"/>
    </row>
    <row r="2869">
      <c r="P2869" s="421" t="n"/>
    </row>
    <row r="2870">
      <c r="P2870" s="421" t="n"/>
    </row>
    <row r="2871">
      <c r="P2871" s="421" t="n"/>
    </row>
    <row r="2872">
      <c r="P2872" s="421" t="n"/>
    </row>
    <row r="2873">
      <c r="P2873" s="421" t="n"/>
    </row>
    <row r="2874">
      <c r="P2874" s="421" t="n"/>
    </row>
    <row r="2875">
      <c r="P2875" s="421" t="n"/>
    </row>
    <row r="2876">
      <c r="P2876" s="421" t="n"/>
    </row>
    <row r="2877">
      <c r="P2877" s="421" t="n"/>
    </row>
    <row r="2878">
      <c r="P2878" s="421" t="n"/>
    </row>
    <row r="2879">
      <c r="P2879" s="421" t="n"/>
    </row>
    <row r="2880">
      <c r="P2880" s="421" t="n"/>
    </row>
    <row r="2881">
      <c r="P2881" s="421" t="n"/>
    </row>
    <row r="2882">
      <c r="P2882" s="421" t="n"/>
    </row>
    <row r="2883">
      <c r="P2883" s="421" t="n"/>
    </row>
    <row r="2884">
      <c r="P2884" s="421" t="n"/>
    </row>
    <row r="2885">
      <c r="P2885" s="421" t="n"/>
    </row>
    <row r="2886">
      <c r="P2886" s="421" t="n"/>
    </row>
    <row r="2887">
      <c r="P2887" s="421" t="n"/>
    </row>
    <row r="2888">
      <c r="P2888" s="421" t="n"/>
    </row>
    <row r="2889">
      <c r="P2889" s="421" t="n"/>
    </row>
    <row r="2890">
      <c r="P2890" s="421" t="n"/>
    </row>
    <row r="2891">
      <c r="P2891" s="421" t="n"/>
    </row>
    <row r="2892">
      <c r="P2892" s="421" t="n"/>
    </row>
    <row r="2893">
      <c r="P2893" s="421" t="n"/>
    </row>
    <row r="2894">
      <c r="P2894" s="421" t="n"/>
    </row>
    <row r="2895">
      <c r="P2895" s="421" t="n"/>
    </row>
    <row r="2896">
      <c r="P2896" s="421" t="n"/>
    </row>
    <row r="2897">
      <c r="P2897" s="421" t="n"/>
    </row>
    <row r="2898">
      <c r="P2898" s="421" t="n"/>
    </row>
    <row r="2899">
      <c r="P2899" s="421" t="n"/>
    </row>
    <row r="2900">
      <c r="P2900" s="421" t="n"/>
    </row>
    <row r="2901">
      <c r="P2901" s="421" t="n"/>
    </row>
    <row r="2902">
      <c r="P2902" s="421" t="n"/>
    </row>
    <row r="2903">
      <c r="P2903" s="421" t="n"/>
    </row>
    <row r="2904">
      <c r="P2904" s="421" t="n"/>
    </row>
    <row r="2905">
      <c r="P2905" s="421" t="n"/>
    </row>
    <row r="2906">
      <c r="P2906" s="421" t="n"/>
    </row>
    <row r="2907">
      <c r="P2907" s="421" t="n"/>
    </row>
    <row r="2908">
      <c r="P2908" s="421" t="n"/>
    </row>
    <row r="2909">
      <c r="P2909" s="421" t="n"/>
    </row>
    <row r="2910">
      <c r="P2910" s="421" t="n"/>
    </row>
    <row r="2911">
      <c r="P2911" s="421" t="n"/>
    </row>
    <row r="2912">
      <c r="P2912" s="421" t="n"/>
    </row>
    <row r="2913">
      <c r="P2913" s="421" t="n"/>
    </row>
    <row r="2914">
      <c r="P2914" s="421" t="n"/>
    </row>
    <row r="2915">
      <c r="P2915" s="421" t="n"/>
    </row>
    <row r="2916">
      <c r="P2916" s="421" t="n"/>
    </row>
    <row r="2917">
      <c r="P2917" s="421" t="n"/>
    </row>
    <row r="2918">
      <c r="P2918" s="421" t="n"/>
    </row>
    <row r="2919">
      <c r="P2919" s="421" t="n"/>
    </row>
    <row r="2920">
      <c r="P2920" s="421" t="n"/>
    </row>
    <row r="2921">
      <c r="P2921" s="421" t="n"/>
    </row>
    <row r="2922">
      <c r="P2922" s="421" t="n"/>
    </row>
    <row r="2923">
      <c r="P2923" s="421" t="n"/>
    </row>
    <row r="2924">
      <c r="P2924" s="421" t="n"/>
    </row>
    <row r="2925">
      <c r="P2925" s="421" t="n"/>
    </row>
    <row r="2926">
      <c r="P2926" s="421" t="n"/>
    </row>
    <row r="2927">
      <c r="P2927" s="421" t="n"/>
    </row>
    <row r="2928">
      <c r="P2928" s="421" t="n"/>
    </row>
    <row r="2929">
      <c r="P2929" s="421" t="n"/>
    </row>
    <row r="2930">
      <c r="P2930" s="421" t="n"/>
    </row>
    <row r="2931">
      <c r="P2931" s="421" t="n"/>
    </row>
    <row r="2932">
      <c r="P2932" s="421" t="n"/>
    </row>
    <row r="2933">
      <c r="P2933" s="421" t="n"/>
    </row>
    <row r="2934">
      <c r="P2934" s="421" t="n"/>
    </row>
    <row r="2935">
      <c r="P2935" s="421" t="n"/>
    </row>
    <row r="2936">
      <c r="P2936" s="421" t="n"/>
    </row>
    <row r="2937">
      <c r="P2937" s="421" t="n"/>
    </row>
    <row r="2938">
      <c r="P2938" s="421" t="n"/>
    </row>
    <row r="2939">
      <c r="P2939" s="421" t="n"/>
    </row>
    <row r="2940">
      <c r="P2940" s="421" t="n"/>
    </row>
    <row r="2941">
      <c r="P2941" s="421" t="n"/>
    </row>
    <row r="2942">
      <c r="P2942" s="421" t="n"/>
    </row>
    <row r="2943">
      <c r="P2943" s="421" t="n"/>
    </row>
    <row r="2944">
      <c r="P2944" s="421" t="n"/>
    </row>
    <row r="2945">
      <c r="P2945" s="421" t="n"/>
    </row>
    <row r="2946">
      <c r="P2946" s="421" t="n"/>
    </row>
    <row r="2947">
      <c r="P2947" s="421" t="n"/>
    </row>
    <row r="2948">
      <c r="P2948" s="421" t="n"/>
    </row>
    <row r="2949">
      <c r="P2949" s="421" t="n"/>
    </row>
    <row r="2950">
      <c r="P2950" s="421" t="n"/>
    </row>
    <row r="2951">
      <c r="P2951" s="421" t="n"/>
    </row>
    <row r="2952">
      <c r="P2952" s="421" t="n"/>
    </row>
    <row r="2953">
      <c r="P2953" s="421" t="n"/>
    </row>
    <row r="2954">
      <c r="P2954" s="421" t="n"/>
    </row>
    <row r="2955">
      <c r="P2955" s="421" t="n"/>
    </row>
    <row r="2956">
      <c r="P2956" s="421" t="n"/>
    </row>
    <row r="2957">
      <c r="P2957" s="421" t="n"/>
    </row>
    <row r="2958">
      <c r="P2958" s="421" t="n"/>
    </row>
    <row r="2959">
      <c r="P2959" s="421" t="n"/>
    </row>
    <row r="2960">
      <c r="P2960" s="421" t="n"/>
    </row>
    <row r="2961">
      <c r="P2961" s="421" t="n"/>
    </row>
    <row r="2962">
      <c r="P2962" s="421" t="n"/>
    </row>
    <row r="2963">
      <c r="P2963" s="421" t="n"/>
    </row>
    <row r="2964">
      <c r="P2964" s="421" t="n"/>
    </row>
    <row r="2965">
      <c r="P2965" s="421" t="n"/>
    </row>
    <row r="2966">
      <c r="P2966" s="421" t="n"/>
    </row>
    <row r="2967">
      <c r="P2967" s="421" t="n"/>
    </row>
    <row r="2968">
      <c r="P2968" s="421" t="n"/>
    </row>
    <row r="2969">
      <c r="P2969" s="421" t="n"/>
    </row>
    <row r="2970">
      <c r="P2970" s="421" t="n"/>
    </row>
    <row r="2971">
      <c r="P2971" s="421" t="n"/>
    </row>
    <row r="2972">
      <c r="P2972" s="421" t="n"/>
    </row>
    <row r="2973">
      <c r="P2973" s="421" t="n"/>
    </row>
    <row r="2974">
      <c r="P2974" s="421" t="n"/>
    </row>
    <row r="2975">
      <c r="P2975" s="421" t="n"/>
    </row>
    <row r="2976">
      <c r="P2976" s="421" t="n"/>
    </row>
    <row r="2977">
      <c r="P2977" s="421" t="n"/>
    </row>
    <row r="2978">
      <c r="P2978" s="421" t="n"/>
    </row>
    <row r="2979">
      <c r="P2979" s="421" t="n"/>
    </row>
    <row r="2980">
      <c r="P2980" s="421" t="n"/>
    </row>
    <row r="2981">
      <c r="P2981" s="421" t="n"/>
    </row>
    <row r="2982">
      <c r="P2982" s="421" t="n"/>
    </row>
    <row r="2983">
      <c r="P2983" s="421" t="n"/>
    </row>
    <row r="2984">
      <c r="P2984" s="421" t="n"/>
    </row>
    <row r="2985">
      <c r="P2985" s="421" t="n"/>
    </row>
    <row r="2986">
      <c r="P2986" s="421" t="n"/>
    </row>
    <row r="2987">
      <c r="P2987" s="421" t="n"/>
    </row>
    <row r="2988">
      <c r="P2988" s="421" t="n"/>
    </row>
    <row r="2989">
      <c r="P2989" s="421" t="n"/>
    </row>
    <row r="2990">
      <c r="P2990" s="421" t="n"/>
    </row>
    <row r="2991">
      <c r="P2991" s="421" t="n"/>
    </row>
    <row r="2992">
      <c r="P2992" s="421" t="n"/>
    </row>
    <row r="2993">
      <c r="P2993" s="421" t="n"/>
    </row>
    <row r="2994">
      <c r="P2994" s="421" t="n"/>
    </row>
    <row r="2995">
      <c r="P2995" s="421" t="n"/>
    </row>
    <row r="2996">
      <c r="P2996" s="421" t="n"/>
    </row>
    <row r="2997">
      <c r="P2997" s="421" t="n"/>
    </row>
    <row r="2998">
      <c r="P2998" s="421" t="n"/>
    </row>
    <row r="2999">
      <c r="P2999" s="421" t="n"/>
    </row>
    <row r="3000">
      <c r="P3000" s="421" t="n"/>
    </row>
    <row r="3001">
      <c r="P3001" s="421" t="n"/>
    </row>
    <row r="3002">
      <c r="P3002" s="421" t="n"/>
    </row>
    <row r="3003">
      <c r="P3003" s="421" t="n"/>
    </row>
    <row r="3004">
      <c r="P3004" s="421" t="n"/>
    </row>
    <row r="3005">
      <c r="P3005" s="421" t="n"/>
    </row>
    <row r="3006">
      <c r="P3006" s="421" t="n"/>
    </row>
    <row r="3007">
      <c r="P3007" s="421" t="n"/>
    </row>
    <row r="3008">
      <c r="P3008" s="421" t="n"/>
    </row>
    <row r="3009">
      <c r="P3009" s="421" t="n"/>
    </row>
    <row r="3010">
      <c r="P3010" s="421" t="n"/>
    </row>
    <row r="3011">
      <c r="P3011" s="421" t="n"/>
    </row>
    <row r="3012">
      <c r="P3012" s="421" t="n"/>
    </row>
    <row r="3013">
      <c r="P3013" s="421" t="n"/>
    </row>
    <row r="3014">
      <c r="P3014" s="421" t="n"/>
    </row>
    <row r="3015">
      <c r="P3015" s="421" t="n"/>
    </row>
    <row r="3016">
      <c r="P3016" s="421" t="n"/>
    </row>
    <row r="3017">
      <c r="P3017" s="421" t="n"/>
    </row>
    <row r="3018">
      <c r="P3018" s="421" t="n"/>
    </row>
    <row r="3019">
      <c r="P3019" s="421" t="n"/>
    </row>
    <row r="3020">
      <c r="P3020" s="421" t="n"/>
    </row>
    <row r="3021">
      <c r="P3021" s="421" t="n"/>
    </row>
    <row r="3022">
      <c r="P3022" s="421" t="n"/>
    </row>
    <row r="3023">
      <c r="P3023" s="421" t="n"/>
    </row>
    <row r="3024">
      <c r="P3024" s="421" t="n"/>
    </row>
    <row r="3025">
      <c r="P3025" s="421" t="n"/>
    </row>
    <row r="3026">
      <c r="P3026" s="421" t="n"/>
    </row>
    <row r="3027">
      <c r="P3027" s="421" t="n"/>
    </row>
    <row r="3028">
      <c r="P3028" s="421" t="n"/>
    </row>
    <row r="3029">
      <c r="P3029" s="421" t="n"/>
    </row>
    <row r="3030">
      <c r="P3030" s="421" t="n"/>
    </row>
    <row r="3031">
      <c r="P3031" s="421" t="n"/>
    </row>
    <row r="3032">
      <c r="P3032" s="421" t="n"/>
    </row>
    <row r="3033">
      <c r="P3033" s="421" t="n"/>
    </row>
    <row r="3034">
      <c r="P3034" s="421" t="n"/>
    </row>
    <row r="3035">
      <c r="P3035" s="421" t="n"/>
    </row>
    <row r="3036">
      <c r="P3036" s="421" t="n"/>
    </row>
    <row r="3037">
      <c r="P3037" s="421" t="n"/>
    </row>
    <row r="3038">
      <c r="P3038" s="421" t="n"/>
    </row>
    <row r="3039">
      <c r="P3039" s="421" t="n"/>
    </row>
    <row r="3040">
      <c r="P3040" s="421" t="n"/>
    </row>
    <row r="3041">
      <c r="P3041" s="421" t="n"/>
    </row>
    <row r="3042">
      <c r="P3042" s="421" t="n"/>
    </row>
    <row r="3043">
      <c r="P3043" s="421" t="n"/>
    </row>
    <row r="3044">
      <c r="P3044" s="421" t="n"/>
    </row>
    <row r="3045">
      <c r="P3045" s="421" t="n"/>
    </row>
    <row r="3046">
      <c r="P3046" s="421" t="n"/>
    </row>
    <row r="3047">
      <c r="P3047" s="421" t="n"/>
    </row>
    <row r="3048">
      <c r="P3048" s="421" t="n"/>
    </row>
    <row r="3049">
      <c r="P3049" s="421" t="n"/>
    </row>
    <row r="3050">
      <c r="P3050" s="421" t="n"/>
    </row>
    <row r="3051">
      <c r="P3051" s="421" t="n"/>
    </row>
    <row r="3052">
      <c r="P3052" s="421" t="n"/>
    </row>
    <row r="3053">
      <c r="P3053" s="421" t="n"/>
    </row>
    <row r="3054">
      <c r="P3054" s="421" t="n"/>
    </row>
    <row r="3055">
      <c r="P3055" s="421" t="n"/>
    </row>
    <row r="3056">
      <c r="P3056" s="421" t="n"/>
    </row>
    <row r="3057">
      <c r="P3057" s="421" t="n"/>
    </row>
    <row r="3058">
      <c r="P3058" s="421" t="n"/>
    </row>
    <row r="3059">
      <c r="P3059" s="421" t="n"/>
    </row>
    <row r="3060">
      <c r="P3060" s="421" t="n"/>
    </row>
    <row r="3061">
      <c r="P3061" s="421" t="n"/>
    </row>
    <row r="3062">
      <c r="P3062" s="421" t="n"/>
    </row>
    <row r="3063">
      <c r="P3063" s="421" t="n"/>
    </row>
    <row r="3064">
      <c r="P3064" s="421" t="n"/>
    </row>
    <row r="3065">
      <c r="P3065" s="421" t="n"/>
    </row>
    <row r="3066">
      <c r="P3066" s="421" t="n"/>
    </row>
    <row r="3067">
      <c r="P3067" s="421" t="n"/>
    </row>
    <row r="3068">
      <c r="P3068" s="421" t="n"/>
    </row>
    <row r="3069">
      <c r="P3069" s="421" t="n"/>
    </row>
    <row r="3070">
      <c r="P3070" s="421" t="n"/>
    </row>
    <row r="3071">
      <c r="P3071" s="421" t="n"/>
    </row>
    <row r="3072">
      <c r="P3072" s="421" t="n"/>
    </row>
    <row r="3073">
      <c r="P3073" s="421" t="n"/>
    </row>
    <row r="3074">
      <c r="P3074" s="421" t="n"/>
    </row>
    <row r="3075">
      <c r="P3075" s="421" t="n"/>
    </row>
    <row r="3076">
      <c r="P3076" s="421" t="n"/>
    </row>
    <row r="3077">
      <c r="P3077" s="421" t="n"/>
    </row>
    <row r="3078">
      <c r="P3078" s="421" t="n"/>
    </row>
    <row r="3079">
      <c r="P3079" s="421" t="n"/>
    </row>
    <row r="3080">
      <c r="P3080" s="421" t="n"/>
    </row>
    <row r="3081">
      <c r="P3081" s="421" t="n"/>
    </row>
    <row r="3082">
      <c r="P3082" s="421" t="n"/>
    </row>
    <row r="3083">
      <c r="P3083" s="421" t="n"/>
    </row>
    <row r="3084">
      <c r="P3084" s="421" t="n"/>
    </row>
    <row r="3085">
      <c r="P3085" s="421" t="n"/>
    </row>
    <row r="3086">
      <c r="P3086" s="421" t="n"/>
    </row>
    <row r="3087">
      <c r="P3087" s="421" t="n"/>
    </row>
    <row r="3088">
      <c r="P3088" s="421" t="n"/>
    </row>
    <row r="3089">
      <c r="P3089" s="421" t="n"/>
    </row>
    <row r="3090">
      <c r="P3090" s="421" t="n"/>
    </row>
    <row r="3091">
      <c r="P3091" s="421" t="n"/>
    </row>
    <row r="3092">
      <c r="P3092" s="421" t="n"/>
    </row>
    <row r="3093">
      <c r="P3093" s="421" t="n"/>
    </row>
    <row r="3094">
      <c r="P3094" s="421" t="n"/>
    </row>
    <row r="3095">
      <c r="P3095" s="421" t="n"/>
    </row>
    <row r="3096">
      <c r="P3096" s="421" t="n"/>
    </row>
    <row r="3097">
      <c r="P3097" s="421" t="n"/>
    </row>
    <row r="3098">
      <c r="P3098" s="421" t="n"/>
    </row>
    <row r="3099">
      <c r="P3099" s="421" t="n"/>
    </row>
    <row r="3100">
      <c r="P3100" s="421" t="n"/>
    </row>
    <row r="3101">
      <c r="P3101" s="421" t="n"/>
    </row>
    <row r="3102">
      <c r="P3102" s="421" t="n"/>
    </row>
    <row r="3103">
      <c r="P3103" s="421" t="n"/>
    </row>
    <row r="3104">
      <c r="P3104" s="421" t="n"/>
    </row>
    <row r="3105">
      <c r="P3105" s="421" t="n"/>
    </row>
    <row r="3106">
      <c r="P3106" s="421" t="n"/>
    </row>
    <row r="3107">
      <c r="P3107" s="421" t="n"/>
    </row>
    <row r="3108">
      <c r="P3108" s="421" t="n"/>
    </row>
    <row r="3109">
      <c r="P3109" s="421" t="n"/>
    </row>
    <row r="3110">
      <c r="P3110" s="421" t="n"/>
    </row>
    <row r="3111">
      <c r="P3111" s="421" t="n"/>
    </row>
    <row r="3112">
      <c r="P3112" s="421" t="n"/>
    </row>
    <row r="3113">
      <c r="P3113" s="421" t="n"/>
    </row>
    <row r="3114">
      <c r="P3114" s="421" t="n"/>
    </row>
    <row r="3115">
      <c r="P3115" s="421" t="n"/>
    </row>
    <row r="3116">
      <c r="P3116" s="421" t="n"/>
    </row>
    <row r="3117">
      <c r="P3117" s="421" t="n"/>
    </row>
    <row r="3118">
      <c r="P3118" s="421" t="n"/>
    </row>
    <row r="3119">
      <c r="P3119" s="421" t="n"/>
    </row>
    <row r="3120">
      <c r="P3120" s="421" t="n"/>
    </row>
    <row r="3121">
      <c r="P3121" s="421" t="n"/>
    </row>
    <row r="3122">
      <c r="P3122" s="421" t="n"/>
    </row>
    <row r="3123">
      <c r="P3123" s="421" t="n"/>
    </row>
    <row r="3124">
      <c r="P3124" s="421" t="n"/>
    </row>
    <row r="3125">
      <c r="P3125" s="421" t="n"/>
    </row>
    <row r="3126">
      <c r="P3126" s="421" t="n"/>
    </row>
    <row r="3127">
      <c r="P3127" s="421" t="n"/>
    </row>
    <row r="3128">
      <c r="P3128" s="421" t="n"/>
    </row>
    <row r="3129">
      <c r="P3129" s="421" t="n"/>
    </row>
    <row r="3130">
      <c r="P3130" s="421" t="n"/>
    </row>
    <row r="3131">
      <c r="P3131" s="421" t="n"/>
    </row>
    <row r="3132">
      <c r="P3132" s="421" t="n"/>
    </row>
    <row r="3133">
      <c r="P3133" s="421" t="n"/>
    </row>
    <row r="3134">
      <c r="P3134" s="421" t="n"/>
    </row>
    <row r="3135">
      <c r="P3135" s="421" t="n"/>
    </row>
    <row r="3136">
      <c r="P3136" s="421" t="n"/>
    </row>
    <row r="3137">
      <c r="P3137" s="421" t="n"/>
    </row>
    <row r="3138">
      <c r="P3138" s="421" t="n"/>
    </row>
    <row r="3139">
      <c r="P3139" s="421" t="n"/>
    </row>
    <row r="3140">
      <c r="P3140" s="421" t="n"/>
    </row>
    <row r="3141">
      <c r="P3141" s="421" t="n"/>
    </row>
    <row r="3142">
      <c r="P3142" s="421" t="n"/>
    </row>
    <row r="3143">
      <c r="P3143" s="421" t="n"/>
    </row>
    <row r="3144">
      <c r="P3144" s="421" t="n"/>
    </row>
    <row r="3145">
      <c r="P3145" s="421" t="n"/>
    </row>
    <row r="3146">
      <c r="P3146" s="421" t="n"/>
    </row>
    <row r="3147">
      <c r="P3147" s="421" t="n"/>
    </row>
    <row r="3148">
      <c r="P3148" s="421" t="n"/>
    </row>
    <row r="3149">
      <c r="P3149" s="421" t="n"/>
    </row>
    <row r="3150">
      <c r="P3150" s="421" t="n"/>
    </row>
    <row r="3151">
      <c r="P3151" s="421" t="n"/>
    </row>
    <row r="3152">
      <c r="P3152" s="421" t="n"/>
    </row>
    <row r="3153">
      <c r="P3153" s="421" t="n"/>
    </row>
    <row r="3154">
      <c r="P3154" s="421" t="n"/>
    </row>
    <row r="3155">
      <c r="P3155" s="421" t="n"/>
    </row>
    <row r="3156">
      <c r="P3156" s="421" t="n"/>
    </row>
    <row r="3157">
      <c r="P3157" s="421" t="n"/>
    </row>
    <row r="3158">
      <c r="P3158" s="421" t="n"/>
    </row>
    <row r="3159">
      <c r="P3159" s="421" t="n"/>
    </row>
    <row r="3160">
      <c r="P3160" s="421" t="n"/>
    </row>
    <row r="3161">
      <c r="P3161" s="421" t="n"/>
    </row>
    <row r="3162">
      <c r="P3162" s="421" t="n"/>
    </row>
    <row r="3163">
      <c r="P3163" s="421" t="n"/>
    </row>
    <row r="3164">
      <c r="P3164" s="421" t="n"/>
    </row>
    <row r="3165">
      <c r="P3165" s="421" t="n"/>
    </row>
    <row r="3166">
      <c r="P3166" s="421" t="n"/>
    </row>
    <row r="3167">
      <c r="P3167" s="421" t="n"/>
    </row>
    <row r="3168">
      <c r="P3168" s="421" t="n"/>
    </row>
    <row r="3169">
      <c r="P3169" s="421" t="n"/>
    </row>
    <row r="3170">
      <c r="P3170" s="421" t="n"/>
    </row>
    <row r="3171">
      <c r="P3171" s="421" t="n"/>
    </row>
    <row r="3172">
      <c r="P3172" s="421" t="n"/>
    </row>
    <row r="3173">
      <c r="P3173" s="421" t="n"/>
    </row>
    <row r="3174">
      <c r="P3174" s="421" t="n"/>
    </row>
    <row r="3175">
      <c r="P3175" s="421" t="n"/>
    </row>
    <row r="3176">
      <c r="P3176" s="421" t="n"/>
    </row>
    <row r="3177">
      <c r="P3177" s="421" t="n"/>
    </row>
    <row r="3178">
      <c r="P3178" s="421" t="n"/>
    </row>
    <row r="3179">
      <c r="P3179" s="421" t="n"/>
    </row>
    <row r="3180">
      <c r="P3180" s="421" t="n"/>
    </row>
    <row r="3181">
      <c r="P3181" s="421" t="n"/>
    </row>
    <row r="3182">
      <c r="P3182" s="421" t="n"/>
    </row>
    <row r="3183">
      <c r="P3183" s="421" t="n"/>
    </row>
    <row r="3184">
      <c r="P3184" s="421" t="n"/>
    </row>
    <row r="3185">
      <c r="P3185" s="421" t="n"/>
    </row>
    <row r="3186">
      <c r="P3186" s="421" t="n"/>
    </row>
    <row r="3187">
      <c r="P3187" s="421" t="n"/>
    </row>
    <row r="3188">
      <c r="P3188" s="421" t="n"/>
    </row>
    <row r="3189">
      <c r="P3189" s="421" t="n"/>
    </row>
    <row r="3190">
      <c r="P3190" s="421" t="n"/>
    </row>
    <row r="3191">
      <c r="P3191" s="421" t="n"/>
    </row>
    <row r="3192">
      <c r="P3192" s="421" t="n"/>
    </row>
    <row r="3193">
      <c r="P3193" s="421" t="n"/>
    </row>
    <row r="3194">
      <c r="P3194" s="421" t="n"/>
    </row>
    <row r="3195">
      <c r="P3195" s="421" t="n"/>
    </row>
    <row r="3196">
      <c r="P3196" s="421" t="n"/>
    </row>
    <row r="3197">
      <c r="P3197" s="421" t="n"/>
    </row>
    <row r="3198">
      <c r="P3198" s="421" t="n"/>
    </row>
    <row r="3199">
      <c r="P3199" s="421" t="n"/>
    </row>
    <row r="3200">
      <c r="P3200" s="421" t="n"/>
    </row>
    <row r="3201">
      <c r="P3201" s="421" t="n"/>
    </row>
    <row r="3202">
      <c r="P3202" s="421" t="n"/>
    </row>
    <row r="3203">
      <c r="P3203" s="421" t="n"/>
    </row>
    <row r="3204">
      <c r="P3204" s="421" t="n"/>
    </row>
    <row r="3205">
      <c r="P3205" s="421" t="n"/>
    </row>
    <row r="3206">
      <c r="P3206" s="421" t="n"/>
    </row>
    <row r="3207">
      <c r="P3207" s="421" t="n"/>
    </row>
    <row r="3208">
      <c r="P3208" s="421" t="n"/>
    </row>
    <row r="3209">
      <c r="P3209" s="421" t="n"/>
    </row>
    <row r="3210">
      <c r="P3210" s="421" t="n"/>
    </row>
    <row r="3211">
      <c r="P3211" s="421" t="n"/>
    </row>
    <row r="3212">
      <c r="P3212" s="421" t="n"/>
    </row>
    <row r="3213">
      <c r="P3213" s="421" t="n"/>
    </row>
    <row r="3214">
      <c r="P3214" s="421" t="n"/>
    </row>
    <row r="3215">
      <c r="P3215" s="421" t="n"/>
    </row>
    <row r="3216">
      <c r="P3216" s="421" t="n"/>
    </row>
    <row r="3217">
      <c r="P3217" s="421" t="n"/>
    </row>
    <row r="3218">
      <c r="P3218" s="421" t="n"/>
    </row>
    <row r="3219">
      <c r="P3219" s="421" t="n"/>
    </row>
    <row r="3220">
      <c r="P3220" s="421" t="n"/>
    </row>
    <row r="3221">
      <c r="P3221" s="421" t="n"/>
    </row>
    <row r="3222">
      <c r="P3222" s="421" t="n"/>
    </row>
    <row r="3223">
      <c r="P3223" s="421" t="n"/>
    </row>
    <row r="3224">
      <c r="P3224" s="421" t="n"/>
    </row>
    <row r="3225">
      <c r="P3225" s="421" t="n"/>
    </row>
    <row r="3226">
      <c r="P3226" s="421" t="n"/>
    </row>
    <row r="3227">
      <c r="P3227" s="421" t="n"/>
    </row>
    <row r="3228">
      <c r="P3228" s="421" t="n"/>
    </row>
    <row r="3229">
      <c r="P3229" s="421" t="n"/>
    </row>
    <row r="3230">
      <c r="P3230" s="421" t="n"/>
    </row>
    <row r="3231">
      <c r="P3231" s="421" t="n"/>
    </row>
    <row r="3232">
      <c r="P3232" s="421" t="n"/>
    </row>
    <row r="3233">
      <c r="P3233" s="421" t="n"/>
    </row>
    <row r="3234">
      <c r="P3234" s="421" t="n"/>
    </row>
    <row r="3235">
      <c r="P3235" s="421" t="n"/>
    </row>
    <row r="3236">
      <c r="P3236" s="421" t="n"/>
    </row>
    <row r="3237">
      <c r="P3237" s="421" t="n"/>
    </row>
    <row r="3238">
      <c r="P3238" s="421" t="n"/>
    </row>
    <row r="3239">
      <c r="P3239" s="421" t="n"/>
    </row>
    <row r="3240">
      <c r="P3240" s="421" t="n"/>
    </row>
    <row r="3241">
      <c r="P3241" s="421" t="n"/>
    </row>
    <row r="3242">
      <c r="P3242" s="421" t="n"/>
    </row>
    <row r="3243">
      <c r="P3243" s="421" t="n"/>
    </row>
    <row r="3244">
      <c r="P3244" s="421" t="n"/>
    </row>
    <row r="3245">
      <c r="P3245" s="421" t="n"/>
    </row>
    <row r="3246">
      <c r="P3246" s="421" t="n"/>
    </row>
    <row r="3247">
      <c r="P3247" s="421" t="n"/>
    </row>
    <row r="3248">
      <c r="P3248" s="421" t="n"/>
    </row>
    <row r="3249">
      <c r="P3249" s="421" t="n"/>
    </row>
    <row r="3250">
      <c r="P3250" s="421" t="n"/>
    </row>
    <row r="3251">
      <c r="P3251" s="421" t="n"/>
    </row>
    <row r="3252">
      <c r="P3252" s="421" t="n"/>
    </row>
    <row r="3253">
      <c r="P3253" s="421" t="n"/>
    </row>
    <row r="3254">
      <c r="P3254" s="421" t="n"/>
    </row>
    <row r="3255">
      <c r="P3255" s="421" t="n"/>
    </row>
    <row r="3256">
      <c r="P3256" s="421" t="n"/>
    </row>
    <row r="3257">
      <c r="P3257" s="421" t="n"/>
    </row>
    <row r="3258">
      <c r="P3258" s="421" t="n"/>
    </row>
    <row r="3259">
      <c r="P3259" s="421" t="n"/>
    </row>
    <row r="3260">
      <c r="P3260" s="421" t="n"/>
    </row>
    <row r="3261">
      <c r="P3261" s="421" t="n"/>
    </row>
    <row r="3262">
      <c r="P3262" s="421" t="n"/>
    </row>
    <row r="3263">
      <c r="P3263" s="421" t="n"/>
    </row>
    <row r="3264">
      <c r="P3264" s="421" t="n"/>
    </row>
    <row r="3265">
      <c r="P3265" s="421" t="n"/>
    </row>
    <row r="3266">
      <c r="P3266" s="421" t="n"/>
    </row>
    <row r="3267">
      <c r="P3267" s="421" t="n"/>
    </row>
    <row r="3268">
      <c r="P3268" s="421" t="n"/>
    </row>
    <row r="3269">
      <c r="P3269" s="421" t="n"/>
    </row>
    <row r="3270">
      <c r="P3270" s="421" t="n"/>
    </row>
    <row r="3271">
      <c r="P3271" s="421" t="n"/>
    </row>
    <row r="3272">
      <c r="P3272" s="421" t="n"/>
    </row>
    <row r="3273">
      <c r="P3273" s="421" t="n"/>
    </row>
    <row r="3274">
      <c r="P3274" s="421" t="n"/>
    </row>
    <row r="3275">
      <c r="P3275" s="421" t="n"/>
    </row>
    <row r="3276">
      <c r="P3276" s="421" t="n"/>
    </row>
    <row r="3277">
      <c r="P3277" s="421" t="n"/>
    </row>
    <row r="3278">
      <c r="P3278" s="421" t="n"/>
    </row>
    <row r="3279">
      <c r="P3279" s="421" t="n"/>
    </row>
    <row r="3280">
      <c r="P3280" s="421" t="n"/>
    </row>
    <row r="3281">
      <c r="P3281" s="421" t="n"/>
    </row>
    <row r="3282">
      <c r="P3282" s="421" t="n"/>
    </row>
    <row r="3283">
      <c r="P3283" s="421" t="n"/>
    </row>
    <row r="3284">
      <c r="P3284" s="421" t="n"/>
    </row>
    <row r="3285">
      <c r="P3285" s="421" t="n"/>
    </row>
    <row r="3286">
      <c r="P3286" s="421" t="n"/>
    </row>
    <row r="3287">
      <c r="P3287" s="421" t="n"/>
    </row>
    <row r="3288">
      <c r="P3288" s="421" t="n"/>
    </row>
    <row r="3289">
      <c r="P3289" s="421" t="n"/>
    </row>
    <row r="3290">
      <c r="P3290" s="421" t="n"/>
    </row>
    <row r="3291">
      <c r="P3291" s="421" t="n"/>
    </row>
    <row r="3292">
      <c r="P3292" s="421" t="n"/>
    </row>
    <row r="3293">
      <c r="P3293" s="421" t="n"/>
    </row>
    <row r="3294">
      <c r="P3294" s="421" t="n"/>
    </row>
    <row r="3295">
      <c r="P3295" s="421" t="n"/>
    </row>
    <row r="3296">
      <c r="P3296" s="421" t="n"/>
    </row>
    <row r="3297">
      <c r="P3297" s="421" t="n"/>
    </row>
    <row r="3298">
      <c r="P3298" s="421" t="n"/>
    </row>
    <row r="3299">
      <c r="P3299" s="421" t="n"/>
    </row>
    <row r="3300">
      <c r="P3300" s="421" t="n"/>
    </row>
    <row r="3301">
      <c r="P3301" s="421" t="n"/>
    </row>
    <row r="3302">
      <c r="P3302" s="421" t="n"/>
    </row>
    <row r="3303">
      <c r="P3303" s="421" t="n"/>
    </row>
    <row r="3304">
      <c r="P3304" s="421" t="n"/>
    </row>
    <row r="3305">
      <c r="P3305" s="421" t="n"/>
    </row>
    <row r="3306">
      <c r="P3306" s="421" t="n"/>
    </row>
    <row r="3307">
      <c r="P3307" s="421" t="n"/>
    </row>
    <row r="3308">
      <c r="P3308" s="421" t="n"/>
    </row>
    <row r="3309">
      <c r="P3309" s="421" t="n"/>
    </row>
    <row r="3310">
      <c r="P3310" s="421" t="n"/>
    </row>
    <row r="3311">
      <c r="P3311" s="421" t="n"/>
    </row>
    <row r="3312">
      <c r="P3312" s="421" t="n"/>
    </row>
    <row r="3313">
      <c r="P3313" s="421" t="n"/>
    </row>
    <row r="3314">
      <c r="P3314" s="421" t="n"/>
    </row>
    <row r="3315">
      <c r="P3315" s="421" t="n"/>
    </row>
    <row r="3316">
      <c r="P3316" s="421" t="n"/>
    </row>
    <row r="3317">
      <c r="P3317" s="421" t="n"/>
    </row>
    <row r="3318">
      <c r="P3318" s="421" t="n"/>
    </row>
    <row r="3319">
      <c r="P3319" s="421" t="n"/>
    </row>
    <row r="3320">
      <c r="P3320" s="421" t="n"/>
    </row>
    <row r="3321">
      <c r="P3321" s="421" t="n"/>
    </row>
    <row r="3322">
      <c r="P3322" s="421" t="n"/>
    </row>
    <row r="3323">
      <c r="P3323" s="421" t="n"/>
    </row>
    <row r="3324">
      <c r="P3324" s="421" t="n"/>
    </row>
    <row r="3325">
      <c r="P3325" s="421" t="n"/>
    </row>
    <row r="3326">
      <c r="P3326" s="421" t="n"/>
    </row>
    <row r="3327">
      <c r="P3327" s="421" t="n"/>
    </row>
    <row r="3328">
      <c r="P3328" s="421" t="n"/>
    </row>
    <row r="3329">
      <c r="P3329" s="421" t="n"/>
    </row>
    <row r="3330">
      <c r="P3330" s="421" t="n"/>
    </row>
    <row r="3331">
      <c r="P3331" s="421" t="n"/>
    </row>
    <row r="3332">
      <c r="P3332" s="421" t="n"/>
    </row>
    <row r="3333">
      <c r="P3333" s="421" t="n"/>
    </row>
    <row r="3334">
      <c r="P3334" s="421" t="n"/>
    </row>
    <row r="3335">
      <c r="P3335" s="421" t="n"/>
    </row>
    <row r="3336">
      <c r="P3336" s="421" t="n"/>
    </row>
    <row r="3337">
      <c r="P3337" s="421" t="n"/>
    </row>
    <row r="3338">
      <c r="P3338" s="421" t="n"/>
    </row>
    <row r="3339">
      <c r="P3339" s="421" t="n"/>
    </row>
    <row r="3340">
      <c r="P3340" s="421" t="n"/>
    </row>
    <row r="3341">
      <c r="P3341" s="421" t="n"/>
    </row>
    <row r="3342">
      <c r="P3342" s="421" t="n"/>
    </row>
    <row r="3343">
      <c r="P3343" s="421" t="n"/>
    </row>
    <row r="3344">
      <c r="P3344" s="421" t="n"/>
    </row>
    <row r="3345">
      <c r="P3345" s="421" t="n"/>
    </row>
    <row r="3346">
      <c r="P3346" s="421" t="n"/>
    </row>
    <row r="3347">
      <c r="P3347" s="421" t="n"/>
    </row>
    <row r="3348">
      <c r="P3348" s="421" t="n"/>
    </row>
    <row r="3349">
      <c r="P3349" s="421" t="n"/>
    </row>
    <row r="3350">
      <c r="P3350" s="421" t="n"/>
    </row>
    <row r="3351">
      <c r="P3351" s="421" t="n"/>
    </row>
    <row r="3352">
      <c r="P3352" s="421" t="n"/>
    </row>
    <row r="3353">
      <c r="P3353" s="421" t="n"/>
    </row>
    <row r="3354">
      <c r="P3354" s="421" t="n"/>
    </row>
    <row r="3355">
      <c r="P3355" s="421" t="n"/>
    </row>
    <row r="3356">
      <c r="P3356" s="421" t="n"/>
    </row>
    <row r="3357">
      <c r="P3357" s="421" t="n"/>
    </row>
    <row r="3358">
      <c r="P3358" s="421" t="n"/>
    </row>
    <row r="3359">
      <c r="P3359" s="421" t="n"/>
    </row>
    <row r="3360">
      <c r="P3360" s="421" t="n"/>
    </row>
    <row r="3361">
      <c r="P3361" s="421" t="n"/>
    </row>
    <row r="3362">
      <c r="P3362" s="421" t="n"/>
    </row>
    <row r="3363">
      <c r="P3363" s="421" t="n"/>
    </row>
    <row r="3364">
      <c r="P3364" s="421" t="n"/>
    </row>
    <row r="3365">
      <c r="P3365" s="421" t="n"/>
    </row>
    <row r="3366">
      <c r="P3366" s="421" t="n"/>
    </row>
    <row r="3367">
      <c r="P3367" s="421" t="n"/>
    </row>
    <row r="3368">
      <c r="P3368" s="421" t="n"/>
    </row>
    <row r="3369">
      <c r="P3369" s="421" t="n"/>
    </row>
    <row r="3370">
      <c r="P3370" s="421" t="n"/>
    </row>
    <row r="3371">
      <c r="P3371" s="421" t="n"/>
    </row>
    <row r="3372">
      <c r="P3372" s="421" t="n"/>
    </row>
    <row r="3373">
      <c r="P3373" s="421" t="n"/>
    </row>
    <row r="3374">
      <c r="P3374" s="421" t="n"/>
    </row>
    <row r="3375">
      <c r="P3375" s="421" t="n"/>
    </row>
    <row r="3376">
      <c r="P3376" s="421" t="n"/>
    </row>
    <row r="3377">
      <c r="P3377" s="421" t="n"/>
    </row>
    <row r="3378">
      <c r="P3378" s="421" t="n"/>
    </row>
    <row r="3379">
      <c r="P3379" s="421" t="n"/>
    </row>
    <row r="3380">
      <c r="P3380" s="421" t="n"/>
    </row>
    <row r="3381">
      <c r="P3381" s="421" t="n"/>
    </row>
    <row r="3382">
      <c r="P3382" s="421" t="n"/>
    </row>
    <row r="3383">
      <c r="P3383" s="421" t="n"/>
    </row>
    <row r="3384">
      <c r="P3384" s="421" t="n"/>
    </row>
    <row r="3385">
      <c r="P3385" s="421" t="n"/>
    </row>
    <row r="3386">
      <c r="P3386" s="421" t="n"/>
    </row>
    <row r="3387">
      <c r="P3387" s="421" t="n"/>
    </row>
    <row r="3388">
      <c r="P3388" s="421" t="n"/>
    </row>
    <row r="3389">
      <c r="P3389" s="421" t="n"/>
    </row>
    <row r="3390">
      <c r="P3390" s="421" t="n"/>
    </row>
    <row r="3391">
      <c r="P3391" s="421" t="n"/>
    </row>
    <row r="3392">
      <c r="P3392" s="421" t="n"/>
    </row>
    <row r="3393">
      <c r="P3393" s="421" t="n"/>
    </row>
    <row r="3394">
      <c r="P3394" s="421" t="n"/>
    </row>
    <row r="3395">
      <c r="P3395" s="421" t="n"/>
    </row>
    <row r="3396">
      <c r="P3396" s="421" t="n"/>
    </row>
    <row r="3397">
      <c r="P3397" s="421" t="n"/>
    </row>
    <row r="3398">
      <c r="P3398" s="421" t="n"/>
    </row>
    <row r="3399">
      <c r="P3399" s="421" t="n"/>
    </row>
    <row r="3400">
      <c r="P3400" s="421" t="n"/>
    </row>
    <row r="3401">
      <c r="P3401" s="421" t="n"/>
    </row>
    <row r="3402">
      <c r="P3402" s="421" t="n"/>
    </row>
    <row r="3403">
      <c r="P3403" s="421" t="n"/>
    </row>
    <row r="3404">
      <c r="P3404" s="421" t="n"/>
    </row>
    <row r="3405">
      <c r="P3405" s="421" t="n"/>
    </row>
    <row r="3406">
      <c r="P3406" s="421" t="n"/>
    </row>
    <row r="3407">
      <c r="P3407" s="421" t="n"/>
    </row>
    <row r="3408">
      <c r="P3408" s="421" t="n"/>
    </row>
    <row r="3409">
      <c r="P3409" s="421" t="n"/>
    </row>
    <row r="3410">
      <c r="P3410" s="421" t="n"/>
    </row>
    <row r="3411">
      <c r="P3411" s="421" t="n"/>
    </row>
    <row r="3412">
      <c r="P3412" s="421" t="n"/>
    </row>
    <row r="3413">
      <c r="P3413" s="421" t="n"/>
    </row>
    <row r="3414">
      <c r="P3414" s="421" t="n"/>
    </row>
    <row r="3415">
      <c r="P3415" s="421" t="n"/>
    </row>
    <row r="3416">
      <c r="P3416" s="421" t="n"/>
    </row>
    <row r="3417">
      <c r="P3417" s="421" t="n"/>
    </row>
    <row r="3418">
      <c r="P3418" s="421" t="n"/>
    </row>
    <row r="3419">
      <c r="P3419" s="421" t="n"/>
    </row>
    <row r="3420">
      <c r="P3420" s="421" t="n"/>
    </row>
    <row r="3421">
      <c r="P3421" s="421" t="n"/>
    </row>
    <row r="3422">
      <c r="P3422" s="421" t="n"/>
    </row>
    <row r="3423">
      <c r="P3423" s="421" t="n"/>
    </row>
    <row r="3424">
      <c r="P3424" s="421" t="n"/>
    </row>
    <row r="3425">
      <c r="P3425" s="421" t="n"/>
    </row>
    <row r="3426">
      <c r="P3426" s="421" t="n"/>
    </row>
    <row r="3427">
      <c r="P3427" s="421" t="n"/>
    </row>
    <row r="3428">
      <c r="P3428" s="421" t="n"/>
    </row>
    <row r="3429">
      <c r="P3429" s="421" t="n"/>
    </row>
    <row r="3430">
      <c r="P3430" s="421" t="n"/>
    </row>
    <row r="3431">
      <c r="P3431" s="421" t="n"/>
    </row>
    <row r="3432">
      <c r="P3432" s="421" t="n"/>
    </row>
    <row r="3433">
      <c r="P3433" s="421" t="n"/>
    </row>
    <row r="3434">
      <c r="P3434" s="421" t="n"/>
    </row>
    <row r="3435">
      <c r="P3435" s="421" t="n"/>
    </row>
    <row r="3436">
      <c r="P3436" s="421" t="n"/>
    </row>
    <row r="3437">
      <c r="P3437" s="421" t="n"/>
    </row>
  </sheetData>
  <mergeCells count="6">
    <mergeCell ref="F2:G2"/>
    <mergeCell ref="M2:N2"/>
    <mergeCell ref="B2:C2"/>
    <mergeCell ref="H2:I2"/>
    <mergeCell ref="D2:E2"/>
    <mergeCell ref="K2:L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E17" sqref="E17"/>
    </sheetView>
  </sheetViews>
  <sheetFormatPr baseColWidth="10" defaultColWidth="10.1640625" defaultRowHeight="16"/>
  <cols>
    <col width="10.1640625" customWidth="1" style="53" min="1" max="1"/>
    <col width="20.6640625" customWidth="1" style="8" min="2" max="2"/>
    <col width="15.6640625" customWidth="1" style="8" min="3" max="4"/>
    <col width="13.33203125" customWidth="1" style="8" min="5" max="5"/>
    <col width="10.1640625" customWidth="1" style="8" min="6" max="16384"/>
  </cols>
  <sheetData>
    <row r="1">
      <c r="A1" s="51" t="inlineStr">
        <is>
          <t>Date</t>
        </is>
      </c>
      <c r="B1" s="52" t="inlineStr">
        <is>
          <t>Non-recycled paper</t>
        </is>
      </c>
      <c r="C1" s="52" t="inlineStr">
        <is>
          <t>Recycled paper</t>
        </is>
      </c>
      <c r="D1" s="52" t="inlineStr">
        <is>
          <t>Total</t>
        </is>
      </c>
    </row>
    <row r="2">
      <c r="A2" s="51" t="inlineStr">
        <is>
          <t>2011/12</t>
        </is>
      </c>
      <c r="B2" s="9">
        <f>1000*37000</f>
        <v/>
      </c>
      <c r="C2" s="9">
        <f>1000*3265</f>
        <v/>
      </c>
      <c r="D2" s="9">
        <f>SUM(B2:C2)</f>
        <v/>
      </c>
    </row>
    <row r="3">
      <c r="A3" s="51" t="inlineStr">
        <is>
          <t>2012/13</t>
        </is>
      </c>
      <c r="B3" s="9">
        <f>1000*35850</f>
        <v/>
      </c>
      <c r="C3" s="9">
        <f>1000*6890</f>
        <v/>
      </c>
      <c r="D3" s="9">
        <f>SUM(B3:C3)</f>
        <v/>
      </c>
    </row>
    <row r="4">
      <c r="A4" s="51" t="inlineStr">
        <is>
          <t>2013/14</t>
        </is>
      </c>
      <c r="B4" s="9">
        <f>1000*36765</f>
        <v/>
      </c>
      <c r="C4" s="9">
        <f>1000*6775</f>
        <v/>
      </c>
      <c r="D4" s="9">
        <f>SUM(B4:C4)</f>
        <v/>
      </c>
    </row>
    <row r="5">
      <c r="A5" s="51" t="inlineStr">
        <is>
          <t>2014/15</t>
        </is>
      </c>
      <c r="B5" s="9">
        <f>1000*31720</f>
        <v/>
      </c>
      <c r="C5" s="9">
        <f>1000*7600</f>
        <v/>
      </c>
      <c r="D5" s="9">
        <f>SUM(B5:C5)</f>
        <v/>
      </c>
    </row>
    <row r="6">
      <c r="A6" s="51" t="inlineStr">
        <is>
          <t>2015/16</t>
        </is>
      </c>
      <c r="B6" s="9">
        <f>1000*31370</f>
        <v/>
      </c>
      <c r="C6" s="9">
        <f>1000*7510</f>
        <v/>
      </c>
      <c r="D6" s="9">
        <f>SUM(B6:C6)</f>
        <v/>
      </c>
    </row>
    <row r="7">
      <c r="A7" s="51" t="inlineStr">
        <is>
          <t>2016/17</t>
        </is>
      </c>
      <c r="B7" s="9">
        <f>1000*25635</f>
        <v/>
      </c>
      <c r="C7" s="9">
        <f>1000*12510</f>
        <v/>
      </c>
      <c r="D7" s="9">
        <f>SUM(B7:C7)</f>
        <v/>
      </c>
    </row>
    <row r="8">
      <c r="A8" s="51" t="inlineStr">
        <is>
          <t>2017/18</t>
        </is>
      </c>
      <c r="B8" s="9">
        <f>1000*20745</f>
        <v/>
      </c>
      <c r="C8" s="9">
        <f>1000*15195</f>
        <v/>
      </c>
      <c r="D8" s="9">
        <f>SUM(B8:C8)</f>
        <v/>
      </c>
    </row>
    <row r="9">
      <c r="A9" s="51" t="inlineStr">
        <is>
          <t>2018/19</t>
        </is>
      </c>
      <c r="B9" s="9">
        <f>1000*18710</f>
        <v/>
      </c>
      <c r="C9" s="9">
        <f>1000*15330</f>
        <v/>
      </c>
      <c r="D9" s="9">
        <f>SUM(B9:C9)</f>
        <v/>
      </c>
    </row>
    <row r="10">
      <c r="A10" s="51" t="inlineStr">
        <is>
          <t>2019/20</t>
        </is>
      </c>
      <c r="B10" s="9">
        <f>1000*16141</f>
        <v/>
      </c>
      <c r="C10" s="9">
        <f>1000*8040</f>
        <v/>
      </c>
      <c r="D10" s="9">
        <f>SUM(B10:C10)</f>
        <v/>
      </c>
    </row>
    <row r="11">
      <c r="A11" s="51" t="inlineStr">
        <is>
          <t>2020/21</t>
        </is>
      </c>
      <c r="B11" s="9">
        <f>1000*11502</f>
        <v/>
      </c>
      <c r="C11" s="9">
        <f>1000*4546</f>
        <v/>
      </c>
      <c r="D11" s="9">
        <f>SUM(B11:C11)</f>
        <v/>
      </c>
    </row>
    <row r="12">
      <c r="A12" s="51" t="inlineStr">
        <is>
          <t>2021/22</t>
        </is>
      </c>
      <c r="B12" s="9">
        <f>1000*8436</f>
        <v/>
      </c>
      <c r="C12" s="9">
        <f>1000*11032</f>
        <v/>
      </c>
      <c r="D12" s="9">
        <f>SUM(B12:C12)</f>
        <v/>
      </c>
    </row>
    <row r="13">
      <c r="A13" s="51" t="inlineStr">
        <is>
          <t>2022/23</t>
        </is>
      </c>
      <c r="B13" s="9">
        <f>1000*15930</f>
        <v/>
      </c>
      <c r="C13" s="9">
        <f>1000*4408</f>
        <v/>
      </c>
      <c r="D13" s="9">
        <f>SUM(B13:C13)</f>
        <v/>
      </c>
    </row>
    <row r="14">
      <c r="A14" s="51" t="inlineStr">
        <is>
          <t>2023/24</t>
        </is>
      </c>
      <c r="B14" s="9">
        <f>(SUM('Monthly Paper Distribution'!B156:B167)+SUM('Monthly Paper Distribution'!D156:D167))*1000</f>
        <v/>
      </c>
      <c r="C14" s="9">
        <f>(SUM('Monthly Paper Distribution'!F156:F167)+SUM('Monthly Paper Distribution'!H156:H167))*1000</f>
        <v/>
      </c>
      <c r="D14" s="9">
        <f>SUM(B14:C14)</f>
        <v/>
      </c>
    </row>
    <row r="15">
      <c r="A15" s="51" t="inlineStr">
        <is>
          <t>2024/25</t>
        </is>
      </c>
      <c r="B15" s="9">
        <f>(SUM('Monthly Paper Distribution'!B168:B179)+SUM('Monthly Paper Distribution'!D168:D179))*1000</f>
        <v/>
      </c>
      <c r="C15" s="9">
        <f>(SUM('Monthly Paper Distribution'!F168:F179)+SUM('Monthly Paper Distribution'!H168:H179))*1000</f>
        <v/>
      </c>
      <c r="D15" s="9">
        <f>SUM(B15:C15)</f>
        <v/>
      </c>
    </row>
    <row r="16">
      <c r="B16" s="522" t="n"/>
      <c r="C16" s="522" t="n"/>
    </row>
    <row r="17">
      <c r="B17" s="522" t="n"/>
      <c r="C17" s="522" t="n"/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C13" sqref="C13"/>
    </sheetView>
  </sheetViews>
  <sheetFormatPr baseColWidth="10" defaultColWidth="10.1640625" defaultRowHeight="16"/>
  <cols>
    <col width="10.1640625" customWidth="1" style="53" min="1" max="1"/>
    <col width="20.6640625" customWidth="1" style="8" min="2" max="3"/>
    <col width="15.6640625" customWidth="1" style="8" min="4" max="7"/>
    <col width="13.33203125" customWidth="1" style="8" min="8" max="8"/>
    <col width="10.1640625" customWidth="1" style="8" min="9" max="16384"/>
  </cols>
  <sheetData>
    <row r="1" ht="51" customHeight="1">
      <c r="A1" s="358" t="inlineStr">
        <is>
          <t>Date</t>
        </is>
      </c>
      <c r="B1" s="196" t="inlineStr">
        <is>
          <t>Non-recycled paper (copied from old version)</t>
        </is>
      </c>
      <c r="C1" s="196" t="inlineStr">
        <is>
          <t>Non-recycled paper (calculated)</t>
        </is>
      </c>
      <c r="D1" s="196" t="inlineStr">
        <is>
          <t>Recycled paper</t>
        </is>
      </c>
      <c r="E1" s="196" t="inlineStr">
        <is>
          <t>Recycled paper (calcuated)</t>
        </is>
      </c>
      <c r="F1" s="196" t="inlineStr">
        <is>
          <t xml:space="preserve"> Total (original)</t>
        </is>
      </c>
      <c r="G1" s="196" t="inlineStr">
        <is>
          <t>Total (calculated)</t>
        </is>
      </c>
      <c r="I1" s="676" t="inlineStr">
        <is>
          <t>This sheet is to tell you there are inconsistency in the numbers</t>
        </is>
      </c>
    </row>
    <row r="2">
      <c r="A2" s="51" t="inlineStr">
        <is>
          <t>2011/12</t>
        </is>
      </c>
      <c r="B2" s="359" t="n">
        <v>37000</v>
      </c>
      <c r="C2" s="359">
        <f>SUM('Monthly Paper Distribution'!B12:B23)+SUM('Monthly Paper Distribution'!D12:D23)</f>
        <v/>
      </c>
      <c r="D2" s="9" t="n">
        <v>3265</v>
      </c>
      <c r="E2" s="9">
        <f>SUM('Monthly Paper Distribution'!F12:F23)+SUM('Monthly Paper Distribution'!H12:H23)</f>
        <v/>
      </c>
      <c r="F2" s="9">
        <f>B2+D2</f>
        <v/>
      </c>
      <c r="G2" s="9">
        <f>C2+E2</f>
        <v/>
      </c>
    </row>
    <row r="3">
      <c r="A3" s="51" t="inlineStr">
        <is>
          <t>2012/13</t>
        </is>
      </c>
      <c r="B3" s="359" t="n">
        <v>35850</v>
      </c>
      <c r="C3" s="359">
        <f>SUM('Monthly Paper Distribution'!B24:B35)+SUM('Monthly Paper Distribution'!D24:D35)</f>
        <v/>
      </c>
      <c r="D3" s="9" t="n">
        <v>6890</v>
      </c>
      <c r="E3" s="9">
        <f>SUM('Monthly Paper Distribution'!F24:F35)+SUM('Monthly Paper Distribution'!H24:H35)</f>
        <v/>
      </c>
      <c r="F3" s="9">
        <f>B3+D3</f>
        <v/>
      </c>
      <c r="G3" s="9">
        <f>C3+E3</f>
        <v/>
      </c>
    </row>
    <row r="4">
      <c r="A4" s="51" t="inlineStr">
        <is>
          <t>2013/14</t>
        </is>
      </c>
      <c r="B4" s="359" t="n">
        <v>36765</v>
      </c>
      <c r="C4" s="359">
        <f>SUM('Monthly Paper Distribution'!B36:B47)+SUM('Monthly Paper Distribution'!D36:D47)</f>
        <v/>
      </c>
      <c r="D4" s="9" t="n">
        <v>6775</v>
      </c>
      <c r="E4" s="9">
        <f>SUM('Monthly Paper Distribution'!F36:F47)+SUM('Monthly Paper Distribution'!H36:H47)</f>
        <v/>
      </c>
      <c r="F4" s="9">
        <f>B4+D4</f>
        <v/>
      </c>
      <c r="G4" s="9">
        <f>C4+E4</f>
        <v/>
      </c>
    </row>
    <row r="5">
      <c r="A5" s="51" t="inlineStr">
        <is>
          <t>2014/15</t>
        </is>
      </c>
      <c r="B5" s="359" t="n">
        <v>31720</v>
      </c>
      <c r="C5" s="359">
        <f>SUM('Monthly Paper Distribution'!B48:B59)+SUM('Monthly Paper Distribution'!D48:D59)</f>
        <v/>
      </c>
      <c r="D5" s="9" t="n">
        <v>7600</v>
      </c>
      <c r="E5" s="9">
        <f>SUM('Monthly Paper Distribution'!F48:F59)+SUM('Monthly Paper Distribution'!H48:H59)</f>
        <v/>
      </c>
      <c r="F5" s="9">
        <f>B5+D5</f>
        <v/>
      </c>
      <c r="G5" s="9">
        <f>C5+E5</f>
        <v/>
      </c>
    </row>
    <row r="6">
      <c r="A6" s="51" t="inlineStr">
        <is>
          <t>2015/16</t>
        </is>
      </c>
      <c r="B6" s="359" t="n">
        <v>31370</v>
      </c>
      <c r="C6" s="359">
        <f>SUM('Monthly Paper Distribution'!B60:B71)+SUM('Monthly Paper Distribution'!D60:D71)</f>
        <v/>
      </c>
      <c r="D6" s="9" t="n">
        <v>7510</v>
      </c>
      <c r="E6" s="9">
        <f>SUM('Monthly Paper Distribution'!F60:F71)+SUM('Monthly Paper Distribution'!H60:H71)</f>
        <v/>
      </c>
      <c r="F6" s="9">
        <f>B6+D6</f>
        <v/>
      </c>
      <c r="G6" s="9">
        <f>C6+E6</f>
        <v/>
      </c>
    </row>
    <row r="7">
      <c r="A7" s="51" t="inlineStr">
        <is>
          <t>2016/17</t>
        </is>
      </c>
      <c r="B7" s="359" t="n">
        <v>25635</v>
      </c>
      <c r="C7" s="359">
        <f>SUM('Monthly Paper Distribution'!B72:B83)+SUM('Monthly Paper Distribution'!D72:D83)</f>
        <v/>
      </c>
      <c r="D7" s="9" t="n">
        <v>12510</v>
      </c>
      <c r="E7" s="9">
        <f>SUM('Monthly Paper Distribution'!F72:F83)+SUM('Monthly Paper Distribution'!H72:H83)</f>
        <v/>
      </c>
      <c r="F7" s="9">
        <f>B7+D7</f>
        <v/>
      </c>
      <c r="G7" s="9">
        <f>C7+E7</f>
        <v/>
      </c>
    </row>
    <row r="8">
      <c r="A8" s="51" t="inlineStr">
        <is>
          <t>2017/18</t>
        </is>
      </c>
      <c r="B8" s="359" t="n">
        <v>20745</v>
      </c>
      <c r="C8" s="359">
        <f>SUM('Monthly Paper Distribution'!B84:B95)+SUM('Monthly Paper Distribution'!D84:D95)</f>
        <v/>
      </c>
      <c r="D8" s="9" t="n">
        <v>15195</v>
      </c>
      <c r="E8" s="9">
        <f>SUM('Monthly Paper Distribution'!F84:F95)+SUM('Monthly Paper Distribution'!H84:H95)</f>
        <v/>
      </c>
      <c r="F8" s="9">
        <f>B8+D8</f>
        <v/>
      </c>
      <c r="G8" s="9">
        <f>C8+E8</f>
        <v/>
      </c>
    </row>
    <row r="9">
      <c r="A9" s="51" t="inlineStr">
        <is>
          <t>2018/19</t>
        </is>
      </c>
      <c r="B9" s="359" t="n">
        <v>18710</v>
      </c>
      <c r="C9" s="359">
        <f>SUM('Monthly Paper Distribution'!B96:B107)+SUM('Monthly Paper Distribution'!D96:D107)</f>
        <v/>
      </c>
      <c r="D9" s="9" t="n">
        <v>15330</v>
      </c>
      <c r="E9" s="9">
        <f>SUM('Monthly Paper Distribution'!F96:F107)+SUM('Monthly Paper Distribution'!H96:H107)</f>
        <v/>
      </c>
      <c r="F9" s="9">
        <f>B9+D9</f>
        <v/>
      </c>
      <c r="G9" s="9">
        <f>C9+E9</f>
        <v/>
      </c>
    </row>
    <row r="10">
      <c r="A10" s="51" t="inlineStr">
        <is>
          <t>2019/20</t>
        </is>
      </c>
      <c r="B10" s="359" t="n">
        <v>16141</v>
      </c>
      <c r="C10" s="359">
        <f>SUM('Monthly Paper Distribution'!B108:B119)+SUM('Monthly Paper Distribution'!D108:D119)</f>
        <v/>
      </c>
      <c r="D10" s="9" t="n">
        <v>8040</v>
      </c>
      <c r="E10" s="9">
        <f>SUM('Monthly Paper Distribution'!F108:F119)+SUM('Monthly Paper Distribution'!H108:H119)</f>
        <v/>
      </c>
      <c r="F10" s="9">
        <f>B10+D10</f>
        <v/>
      </c>
      <c r="G10" s="9">
        <f>C10+E10</f>
        <v/>
      </c>
    </row>
    <row r="11">
      <c r="A11" s="51" t="inlineStr">
        <is>
          <t>2020/21</t>
        </is>
      </c>
      <c r="B11" s="9" t="n">
        <v>11502</v>
      </c>
      <c r="C11" s="9">
        <f>SUM('Monthly Paper Distribution'!B120:B131)+SUM('Monthly Paper Distribution'!D120:D131)</f>
        <v/>
      </c>
      <c r="D11" s="9" t="n">
        <v>4546</v>
      </c>
      <c r="E11" s="9">
        <f>SUM('Monthly Paper Distribution'!F120:F131)+SUM('Monthly Paper Distribution'!H120:H131)</f>
        <v/>
      </c>
      <c r="F11" s="9">
        <f>B11+D11</f>
        <v/>
      </c>
      <c r="G11" s="9">
        <f>C11+E11</f>
        <v/>
      </c>
    </row>
    <row r="12">
      <c r="A12" s="51" t="inlineStr">
        <is>
          <t>2021/22</t>
        </is>
      </c>
      <c r="B12" s="9" t="n">
        <v>8436</v>
      </c>
      <c r="C12" s="9">
        <f>SUM('Monthly Paper Distribution'!B132:B143)+SUM('Monthly Paper Distribution'!D132:D143)</f>
        <v/>
      </c>
      <c r="D12" s="9" t="n">
        <v>11032</v>
      </c>
      <c r="E12" s="9">
        <f>SUM('Monthly Paper Distribution'!F132:F143)+SUM('Monthly Paper Distribution'!H132:H143)</f>
        <v/>
      </c>
      <c r="F12" s="9">
        <f>B12+D12</f>
        <v/>
      </c>
      <c r="G12" s="9">
        <f>C12+E12</f>
        <v/>
      </c>
    </row>
    <row r="13">
      <c r="A13" s="51" t="inlineStr">
        <is>
          <t>2022/23</t>
        </is>
      </c>
      <c r="B13" s="9" t="n">
        <v>15930</v>
      </c>
      <c r="C13" s="9">
        <f>SUM('Monthly Paper Distribution'!B144:B155)+SUM('Monthly Paper Distribution'!D144:D155)</f>
        <v/>
      </c>
      <c r="D13" s="9" t="n">
        <v>4408</v>
      </c>
      <c r="E13" s="9">
        <f>SUM('Monthly Paper Distribution'!F144:F155)+SUM('Monthly Paper Distribution'!H144:H155)</f>
        <v/>
      </c>
      <c r="F13" s="9">
        <f>B13+D13</f>
        <v/>
      </c>
      <c r="G13" s="9">
        <f>C13+E13</f>
        <v/>
      </c>
      <c r="H13" s="696" t="n"/>
    </row>
    <row r="14">
      <c r="A14" s="51" t="inlineStr">
        <is>
          <t>2023/24</t>
        </is>
      </c>
      <c r="B14" s="359" t="n">
        <v>8112</v>
      </c>
      <c r="C14" s="359">
        <f>SUM('Monthly Paper Distribution'!B156:B167)+SUM('Monthly Paper Distribution'!D156:D167)</f>
        <v/>
      </c>
      <c r="D14" s="359">
        <f>SUM('Monthly Paper Distribution'!H156:H167)</f>
        <v/>
      </c>
      <c r="E14" s="359">
        <f>SUM('Monthly Paper Distribution'!F156:F167)+SUM('Monthly Paper Distribution'!H156:H167)</f>
        <v/>
      </c>
      <c r="F14" s="9">
        <f>B14+D14</f>
        <v/>
      </c>
      <c r="G14" s="9">
        <f>C14+E14</f>
        <v/>
      </c>
    </row>
    <row r="15">
      <c r="B15" s="220" t="n"/>
      <c r="C15" s="220" t="n"/>
      <c r="D15" s="220" t="n"/>
      <c r="E15" s="220" t="n"/>
    </row>
    <row r="16">
      <c r="B16" s="9" t="n"/>
      <c r="C16" s="9" t="n"/>
      <c r="D16" s="9" t="n"/>
      <c r="E16" s="9" t="n"/>
    </row>
    <row r="19">
      <c r="B19" s="8" t="inlineStr">
        <is>
          <t>The red colour cells are the ones with inconsistency</t>
        </is>
      </c>
    </row>
    <row r="20">
      <c r="B20" s="8" t="inlineStr">
        <is>
          <t>Old version numbers were use</t>
        </is>
      </c>
    </row>
  </sheetData>
  <mergeCells count="1">
    <mergeCell ref="I1:N1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Law</dc:creator>
  <dcterms:created xmlns:dcterms="http://purl.org/dc/terms/" xmlns:xsi="http://www.w3.org/2001/XMLSchema-instance" xsi:type="dcterms:W3CDTF">2024-02-01T23:41:14Z</dcterms:created>
  <dcterms:modified xmlns:dcterms="http://purl.org/dc/terms/" xmlns:xsi="http://www.w3.org/2001/XMLSchema-instance" xsi:type="dcterms:W3CDTF">2026-07-03T02:10:40Z</dcterms:modified>
  <cp:lastModifiedBy>Chen Kai Xin Tiffany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0x010100A29A70560454A24D9B372805159B7667</vt:lpwstr>
  </property>
  <property name="MediaServiceImageTags" fmtid="{D5CDD505-2E9C-101B-9397-08002B2CF9AE}" pid="3">
    <vt:lpwstr xmlns:vt="http://schemas.openxmlformats.org/officeDocument/2006/docPropsVTypes"/>
  </property>
</Properties>
</file>